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josep\Downloads\"/>
    </mc:Choice>
  </mc:AlternateContent>
  <xr:revisionPtr revIDLastSave="0" documentId="13_ncr:1_{0AD4834D-AABF-434B-87B8-AB013309E5EB}" xr6:coauthVersionLast="47" xr6:coauthVersionMax="47" xr10:uidLastSave="{00000000-0000-0000-0000-000000000000}"/>
  <bookViews>
    <workbookView xWindow="-110" yWindow="-110" windowWidth="19420" windowHeight="10300" activeTab="2" xr2:uid="{6283149A-4D32-4DCB-979E-2C1D43E91BF3}"/>
  </bookViews>
  <sheets>
    <sheet name="Analysis" sheetId="3" r:id="rId1"/>
    <sheet name="Coke" sheetId="2" r:id="rId2"/>
    <sheet name="Dashbaord " sheetId="1" r:id="rId3"/>
  </sheets>
  <definedNames>
    <definedName name="_xlcn.WorksheetConnection_Book1Coke1" hidden="1">Coke[]</definedName>
    <definedName name="avg">Analysis!$D$4</definedName>
    <definedName name="ExternalData_1" localSheetId="1" hidden="1">'Coke'!$A$1:$J$3501</definedName>
    <definedName name="mar">Analysis!$E$4</definedName>
    <definedName name="pro">Analysis!$C$4</definedName>
    <definedName name="rev">Analysis!$B$4</definedName>
    <definedName name="Slicer_Region">#N/A</definedName>
    <definedName name="uni">Analysis!$F$4</definedName>
    <definedName name="yoyap">Analysis!$S$6</definedName>
    <definedName name="yoym">Analysis!$S$7</definedName>
    <definedName name="yoyp">Analysis!$S$5</definedName>
    <definedName name="yoyr">Analysis!$S$4</definedName>
    <definedName name="yoyus">Analysis!$S$8</definedName>
  </definedNames>
  <calcPr calcId="191029"/>
  <pivotCaches>
    <pivotCache cacheId="41" r:id="rId4"/>
    <pivotCache cacheId="42" r:id="rId5"/>
    <pivotCache cacheId="43" r:id="rId6"/>
    <pivotCache cacheId="44" r:id="rId7"/>
    <pivotCache cacheId="45" r:id="rId8"/>
    <pivotCache cacheId="53" r:id="rId9"/>
  </pivotCaches>
  <extLst>
    <ext xmlns:x14="http://schemas.microsoft.com/office/spreadsheetml/2009/9/main" uri="{876F7934-8845-4945-9796-88D515C7AA90}">
      <x14:pivotCaches>
        <pivotCache cacheId="47"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ke" name="Coke" connection="WorksheetConnection_Book1!Coke"/>
        </x15:modelTables>
        <x15:extLst>
          <ext xmlns:x16="http://schemas.microsoft.com/office/spreadsheetml/2014/11/main" uri="{9835A34E-60A6-4A7C-AAB8-D5F71C897F49}">
            <x16:modelTimeGroupings>
              <x16:modelTimeGrouping tableName="Cok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5" i="3" l="1"/>
  <c r="S6" i="3"/>
  <c r="S8" i="3"/>
  <c r="S7" i="3"/>
  <c r="R7" i="3"/>
  <c r="R8" i="3"/>
  <c r="Q8" i="3"/>
  <c r="P8" i="3"/>
  <c r="Q4" i="3"/>
  <c r="P5" i="3"/>
  <c r="P4" i="3"/>
  <c r="Q6" i="3"/>
  <c r="Q5" i="3"/>
  <c r="P6" i="3"/>
  <c r="Q7" i="3"/>
  <c r="P7" i="3"/>
  <c r="R4" i="3" l="1"/>
  <c r="S4" i="3" s="1"/>
  <c r="R5" i="3"/>
  <c r="R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DD63A1-9206-44C9-AD9C-CFDD1089C3E9}" keepAlive="1" name="Query - Coke" description="Connection to the 'Coke' query in the workbook." type="5" refreshedVersion="8" background="1" saveData="1">
    <dbPr connection="Provider=Microsoft.Mashup.OleDb.1;Data Source=$Workbook$;Location=Coke;Extended Properties=&quot;&quot;" command="SELECT * FROM [Coke]"/>
  </connection>
  <connection id="2" xr16:uid="{612D3608-4AC2-45E8-AC3B-101D695DD00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C9235857-EF1B-495E-A4C7-C83F118D1237}" name="WorksheetConnection_Book1!Coke" type="102" refreshedVersion="8" minRefreshableVersion="5">
    <extLst>
      <ext xmlns:x15="http://schemas.microsoft.com/office/spreadsheetml/2010/11/main" uri="{DE250136-89BD-433C-8126-D09CA5730AF9}">
        <x15:connection id="Coke">
          <x15:rangePr sourceName="_xlcn.WorksheetConnection_Book1Coke1"/>
        </x15:connection>
      </ext>
    </extLst>
  </connection>
</connections>
</file>

<file path=xl/sharedStrings.xml><?xml version="1.0" encoding="utf-8"?>
<sst xmlns="http://schemas.openxmlformats.org/spreadsheetml/2006/main" count="17578" uniqueCount="69">
  <si>
    <t>Date</t>
  </si>
  <si>
    <t>Product</t>
  </si>
  <si>
    <t>Region</t>
  </si>
  <si>
    <t>Sales_Channel</t>
  </si>
  <si>
    <t>Sales_Rep</t>
  </si>
  <si>
    <t>Units_Sold</t>
  </si>
  <si>
    <t>Unit_Price</t>
  </si>
  <si>
    <t>Total_Sales</t>
  </si>
  <si>
    <t>Profit</t>
  </si>
  <si>
    <t>Monthname</t>
  </si>
  <si>
    <t>Eva Water</t>
  </si>
  <si>
    <t>Lagos</t>
  </si>
  <si>
    <t>Distributors</t>
  </si>
  <si>
    <t>Faith</t>
  </si>
  <si>
    <t>Jan</t>
  </si>
  <si>
    <t>Coke Zero</t>
  </si>
  <si>
    <t>Port Harcourt</t>
  </si>
  <si>
    <t>Retail</t>
  </si>
  <si>
    <t>Victor</t>
  </si>
  <si>
    <t>Fanta</t>
  </si>
  <si>
    <t>Kano</t>
  </si>
  <si>
    <t>Wholesale</t>
  </si>
  <si>
    <t>John</t>
  </si>
  <si>
    <t>Abuja</t>
  </si>
  <si>
    <t>Mary</t>
  </si>
  <si>
    <t>Coca-Cola Classic</t>
  </si>
  <si>
    <t>Diet Coke</t>
  </si>
  <si>
    <t>Ibadan</t>
  </si>
  <si>
    <t>Tunde</t>
  </si>
  <si>
    <t>Enugu</t>
  </si>
  <si>
    <t>Online</t>
  </si>
  <si>
    <t>Sprite</t>
  </si>
  <si>
    <t>Peter</t>
  </si>
  <si>
    <t>Blessing</t>
  </si>
  <si>
    <t>Schweppes</t>
  </si>
  <si>
    <t>Grace</t>
  </si>
  <si>
    <t>Minute Maid</t>
  </si>
  <si>
    <t>Feb</t>
  </si>
  <si>
    <t>Mar</t>
  </si>
  <si>
    <t>Apr</t>
  </si>
  <si>
    <t>May</t>
  </si>
  <si>
    <t>Jun</t>
  </si>
  <si>
    <t>Jul</t>
  </si>
  <si>
    <t>Aug</t>
  </si>
  <si>
    <t>Sep</t>
  </si>
  <si>
    <t>Oct</t>
  </si>
  <si>
    <t>Nov</t>
  </si>
  <si>
    <t>Dec</t>
  </si>
  <si>
    <t>Total Reevenue</t>
  </si>
  <si>
    <t>Total Profit</t>
  </si>
  <si>
    <t>Avg Price</t>
  </si>
  <si>
    <t>Profit Margin%</t>
  </si>
  <si>
    <t>Row Labels</t>
  </si>
  <si>
    <t>Grand Total</t>
  </si>
  <si>
    <t>2023</t>
  </si>
  <si>
    <t>2024</t>
  </si>
  <si>
    <t>2025</t>
  </si>
  <si>
    <t>KEY PERFORMANCE INDICATORS</t>
  </si>
  <si>
    <t>VALUES</t>
  </si>
  <si>
    <t>REVENUE</t>
  </si>
  <si>
    <t>PROFIT</t>
  </si>
  <si>
    <t>AVG PRICE</t>
  </si>
  <si>
    <t>MARGIN</t>
  </si>
  <si>
    <t>CY</t>
  </si>
  <si>
    <t>PY</t>
  </si>
  <si>
    <t>YOY</t>
  </si>
  <si>
    <t>YOY%</t>
  </si>
  <si>
    <t>Unit sold</t>
  </si>
  <si>
    <t>UNIT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</si>
</sst>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quot;M&quot;"/>
    <numFmt numFmtId="166" formatCode="#,##0,&quot;K&quot;"/>
    <numFmt numFmtId="167" formatCode="&quot;$&quot;#,##0,,&quot;M&quot;"/>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rgb="FFC00000"/>
      <name val="Calibri"/>
      <family val="2"/>
      <scheme val="minor"/>
    </font>
    <font>
      <sz val="11"/>
      <color rgb="FF00B050"/>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14" fontId="0" fillId="0" borderId="0" xfId="0" applyNumberFormat="1"/>
    <xf numFmtId="0" fontId="0" fillId="0" borderId="0" xfId="0" applyNumberFormat="1"/>
    <xf numFmtId="2" fontId="0" fillId="0" borderId="0" xfId="0" applyNumberFormat="1"/>
    <xf numFmtId="164" fontId="0" fillId="0" borderId="0" xfId="0" applyNumberFormat="1"/>
    <xf numFmtId="0" fontId="0" fillId="0" borderId="0" xfId="0" pivotButton="1"/>
    <xf numFmtId="165" fontId="0" fillId="0" borderId="0" xfId="0" applyNumberFormat="1"/>
    <xf numFmtId="0" fontId="0" fillId="0" borderId="0" xfId="0" applyAlignment="1">
      <alignment horizontal="left"/>
    </xf>
    <xf numFmtId="0" fontId="0" fillId="0" borderId="1" xfId="0" applyBorder="1"/>
    <xf numFmtId="0" fontId="0" fillId="0" borderId="1" xfId="0" applyFill="1" applyBorder="1"/>
    <xf numFmtId="165" fontId="0" fillId="0" borderId="1" xfId="0" applyNumberFormat="1" applyBorder="1"/>
    <xf numFmtId="2" fontId="0" fillId="0" borderId="1" xfId="0" applyNumberFormat="1" applyBorder="1"/>
    <xf numFmtId="9" fontId="0" fillId="0" borderId="1" xfId="1" applyFont="1" applyBorder="1"/>
    <xf numFmtId="0" fontId="3" fillId="0" borderId="1" xfId="0" applyFont="1" applyBorder="1"/>
    <xf numFmtId="0" fontId="4" fillId="0" borderId="1" xfId="0" applyFont="1" applyBorder="1"/>
    <xf numFmtId="166" fontId="0" fillId="0" borderId="0" xfId="0" applyNumberFormat="1"/>
    <xf numFmtId="167" fontId="0" fillId="0" borderId="0" xfId="0" applyNumberFormat="1"/>
    <xf numFmtId="0" fontId="0" fillId="0" borderId="2" xfId="0" applyFill="1" applyBorder="1"/>
    <xf numFmtId="0" fontId="4" fillId="0" borderId="0" xfId="0" applyFont="1"/>
    <xf numFmtId="0" fontId="2" fillId="0" borderId="1" xfId="0" applyFont="1" applyBorder="1" applyAlignment="1">
      <alignment horizontal="center"/>
    </xf>
  </cellXfs>
  <cellStyles count="2">
    <cellStyle name="Normal" xfId="0" builtinId="0"/>
    <cellStyle name="Percent" xfId="1" builtinId="5"/>
  </cellStyles>
  <dxfs count="24">
    <dxf>
      <numFmt numFmtId="165" formatCode="#,##0,,&quot;M&quot;"/>
    </dxf>
    <dxf>
      <numFmt numFmtId="165" formatCode="#,##0,,&quot;M&quot;"/>
    </dxf>
    <dxf>
      <numFmt numFmtId="165" formatCode="#,##0,,&quot;M&quot;"/>
    </dxf>
    <dxf>
      <numFmt numFmtId="165" formatCode="#,##0,,&quot;M&quot;"/>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165" formatCode="#,##0,,&quot;M&quot;"/>
    </dxf>
    <dxf>
      <numFmt numFmtId="167" formatCode="&quot;$&quot;#,##0,,&quot;M&quot;"/>
    </dxf>
    <dxf>
      <numFmt numFmtId="165" formatCode="#,##0,,&quot;M&quot;"/>
    </dxf>
    <dxf>
      <numFmt numFmtId="166" formatCode="#,##0,&quot;K&quot;"/>
    </dxf>
    <dxf>
      <numFmt numFmtId="166" formatCode="#,##0,&quot;K&quot;"/>
    </dxf>
    <dxf>
      <numFmt numFmtId="165" formatCode="#,##0,,&quot;M&quot;"/>
    </dxf>
    <dxf>
      <numFmt numFmtId="165" formatCode="#,##0,,&quot;M&quot;"/>
    </dxf>
    <dxf>
      <numFmt numFmtId="165" formatCode="#,##0,,&quot;M&quot;"/>
    </dxf>
    <dxf>
      <numFmt numFmtId="165" formatCode="#,##0,,&quot;M&quot;"/>
    </dxf>
    <dxf>
      <numFmt numFmtId="165" formatCode="#,##0,,&quot;M&quot;"/>
    </dxf>
    <dxf>
      <numFmt numFmtId="165" formatCode="#,##0,,&quot;M&quot;"/>
    </dxf>
    <dxf>
      <numFmt numFmtId="165" formatCode="#,##0,,&quot;M&quot;"/>
    </dxf>
    <dxf>
      <numFmt numFmtId="166" formatCode="#,##0,&quot;K&quot;"/>
    </dxf>
    <dxf>
      <numFmt numFmtId="165" formatCode="#,##0,,&quot;M&quot;"/>
    </dxf>
  </dxfs>
  <tableStyles count="1" defaultTableStyle="TableStyleMedium2" defaultPivotStyle="PivotStyleLight16">
    <tableStyle name="Invisible" pivot="0" table="0" count="0" xr9:uid="{81BDEEC7-7F6B-4B67-A092-D2051FA6EB9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7.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[ANTY OYIN.xlsx]Analysis!PivotTable3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t>Product</a:t>
            </a:r>
            <a:r>
              <a:rPr lang="en-US" i="1" baseline="0"/>
              <a:t> by total profit </a:t>
            </a:r>
            <a:endParaRPr lang="en-US"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C00000"/>
          </a:solidFill>
          <a:ln>
            <a:noFill/>
          </a:ln>
          <a:effectLst>
            <a:innerShdw blurRad="63500" dist="50800" dir="13500000">
              <a:prstClr val="black">
                <a:alpha val="50000"/>
              </a:prstClr>
            </a:innerShdw>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Analysis!$C$7</c:f>
              <c:strCache>
                <c:ptCount val="1"/>
                <c:pt idx="0">
                  <c:v>Total</c:v>
                </c:pt>
              </c:strCache>
            </c:strRef>
          </c:tx>
          <c:spPr>
            <a:solidFill>
              <a:srgbClr val="C00000"/>
            </a:solidFill>
            <a:ln>
              <a:noFill/>
            </a:ln>
            <a:effectLst>
              <a:innerShdw blurRad="63500" dist="50800" dir="13500000">
                <a:prstClr val="black">
                  <a:alpha val="50000"/>
                </a:prstClr>
              </a:innerShdw>
            </a:effectLst>
            <a:scene3d>
              <a:camera prst="orthographicFront"/>
              <a:lightRig rig="threePt" dir="t"/>
            </a:scene3d>
            <a:sp3d>
              <a:bevelT w="139700" h="139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Analysis!$B$8:$B$16</c:f>
              <c:strCache>
                <c:ptCount val="8"/>
                <c:pt idx="0">
                  <c:v>Coca-Cola Classic</c:v>
                </c:pt>
                <c:pt idx="1">
                  <c:v>Coke Zero</c:v>
                </c:pt>
                <c:pt idx="2">
                  <c:v>Diet Coke</c:v>
                </c:pt>
                <c:pt idx="3">
                  <c:v>Eva Water</c:v>
                </c:pt>
                <c:pt idx="4">
                  <c:v>Fanta</c:v>
                </c:pt>
                <c:pt idx="5">
                  <c:v>Minute Maid</c:v>
                </c:pt>
                <c:pt idx="6">
                  <c:v>Schweppes</c:v>
                </c:pt>
                <c:pt idx="7">
                  <c:v>Sprite</c:v>
                </c:pt>
              </c:strCache>
            </c:strRef>
          </c:cat>
          <c:val>
            <c:numRef>
              <c:f>Analysis!$C$8:$C$16</c:f>
              <c:numCache>
                <c:formatCode>#,##0,,"M"</c:formatCode>
                <c:ptCount val="8"/>
                <c:pt idx="0">
                  <c:v>2217471.7286</c:v>
                </c:pt>
                <c:pt idx="1">
                  <c:v>2257885.4032000001</c:v>
                </c:pt>
                <c:pt idx="2">
                  <c:v>2199348.5211</c:v>
                </c:pt>
                <c:pt idx="3">
                  <c:v>2099678.4619999998</c:v>
                </c:pt>
                <c:pt idx="4">
                  <c:v>2305606.4792999998</c:v>
                </c:pt>
                <c:pt idx="5">
                  <c:v>2030499.4765000001</c:v>
                </c:pt>
                <c:pt idx="6">
                  <c:v>2025738.7619</c:v>
                </c:pt>
                <c:pt idx="7">
                  <c:v>1485172.1440000001</c:v>
                </c:pt>
              </c:numCache>
            </c:numRef>
          </c:val>
          <c:extLst>
            <c:ext xmlns:c16="http://schemas.microsoft.com/office/drawing/2014/chart" uri="{C3380CC4-5D6E-409C-BE32-E72D297353CC}">
              <c16:uniqueId val="{00000000-4B6B-4C81-A764-5E425FAAE97D}"/>
            </c:ext>
          </c:extLst>
        </c:ser>
        <c:dLbls>
          <c:dLblPos val="outEnd"/>
          <c:showLegendKey val="0"/>
          <c:showVal val="1"/>
          <c:showCatName val="0"/>
          <c:showSerName val="0"/>
          <c:showPercent val="0"/>
          <c:showBubbleSize val="0"/>
        </c:dLbls>
        <c:gapWidth val="182"/>
        <c:axId val="861478223"/>
        <c:axId val="861477263"/>
      </c:barChart>
      <c:catAx>
        <c:axId val="86147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1477263"/>
        <c:crosses val="autoZero"/>
        <c:auto val="1"/>
        <c:lblAlgn val="ctr"/>
        <c:lblOffset val="100"/>
        <c:noMultiLvlLbl val="0"/>
      </c:catAx>
      <c:valAx>
        <c:axId val="861477263"/>
        <c:scaling>
          <c:orientation val="minMax"/>
        </c:scaling>
        <c:delete val="0"/>
        <c:axPos val="b"/>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147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[ANTY OYIN.xlsx]Analysis!PivotTable4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t>Total revenue</a:t>
            </a:r>
            <a:r>
              <a:rPr lang="en-US" i="1" baseline="0"/>
              <a:t> by region </a:t>
            </a:r>
            <a:endParaRPr lang="en-US"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0.2361111111111111"/>
          <c:w val="0.93888888888888888"/>
          <c:h val="0.67963764946048411"/>
        </c:manualLayout>
      </c:layout>
      <c:barChart>
        <c:barDir val="col"/>
        <c:grouping val="clustered"/>
        <c:varyColors val="0"/>
        <c:ser>
          <c:idx val="0"/>
          <c:order val="0"/>
          <c:tx>
            <c:strRef>
              <c:f>Analysis!$C$18</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Analysis!$B$19:$B$25</c:f>
              <c:strCache>
                <c:ptCount val="6"/>
                <c:pt idx="0">
                  <c:v>Abuja</c:v>
                </c:pt>
                <c:pt idx="1">
                  <c:v>Enugu</c:v>
                </c:pt>
                <c:pt idx="2">
                  <c:v>Ibadan</c:v>
                </c:pt>
                <c:pt idx="3">
                  <c:v>Kano</c:v>
                </c:pt>
                <c:pt idx="4">
                  <c:v>Lagos</c:v>
                </c:pt>
                <c:pt idx="5">
                  <c:v>Port Harcourt</c:v>
                </c:pt>
              </c:strCache>
            </c:strRef>
          </c:cat>
          <c:val>
            <c:numRef>
              <c:f>Analysis!$C$19:$C$25</c:f>
              <c:numCache>
                <c:formatCode>#,##0,,"M"</c:formatCode>
                <c:ptCount val="6"/>
                <c:pt idx="0">
                  <c:v>98809257</c:v>
                </c:pt>
                <c:pt idx="1">
                  <c:v>92110759</c:v>
                </c:pt>
                <c:pt idx="2">
                  <c:v>93648555</c:v>
                </c:pt>
                <c:pt idx="3">
                  <c:v>90317019</c:v>
                </c:pt>
                <c:pt idx="4">
                  <c:v>91753332</c:v>
                </c:pt>
                <c:pt idx="5">
                  <c:v>83501508</c:v>
                </c:pt>
              </c:numCache>
            </c:numRef>
          </c:val>
          <c:extLst>
            <c:ext xmlns:c16="http://schemas.microsoft.com/office/drawing/2014/chart" uri="{C3380CC4-5D6E-409C-BE32-E72D297353CC}">
              <c16:uniqueId val="{00000000-6204-4B49-B614-29ED2F37E4BF}"/>
            </c:ext>
          </c:extLst>
        </c:ser>
        <c:dLbls>
          <c:dLblPos val="outEnd"/>
          <c:showLegendKey val="0"/>
          <c:showVal val="1"/>
          <c:showCatName val="0"/>
          <c:showSerName val="0"/>
          <c:showPercent val="0"/>
          <c:showBubbleSize val="0"/>
        </c:dLbls>
        <c:gapWidth val="219"/>
        <c:overlap val="-27"/>
        <c:axId val="1335907871"/>
        <c:axId val="1335904991"/>
      </c:barChart>
      <c:catAx>
        <c:axId val="133590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35904991"/>
        <c:crosses val="autoZero"/>
        <c:auto val="1"/>
        <c:lblAlgn val="ctr"/>
        <c:lblOffset val="100"/>
        <c:noMultiLvlLbl val="0"/>
      </c:catAx>
      <c:valAx>
        <c:axId val="1335904991"/>
        <c:scaling>
          <c:orientation val="minMax"/>
        </c:scaling>
        <c:delete val="1"/>
        <c:axPos val="l"/>
        <c:numFmt formatCode="#,##0,,&quot;M&quot;" sourceLinked="1"/>
        <c:majorTickMark val="none"/>
        <c:minorTickMark val="none"/>
        <c:tickLblPos val="nextTo"/>
        <c:crossAx val="1335907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[ANTY OYIN.xlsx]Analysis!PivotTable5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t>Monthly Trends by </a:t>
            </a:r>
            <a:r>
              <a:rPr lang="en-US" i="1" baseline="0"/>
              <a:t> Revenue</a:t>
            </a:r>
            <a:endParaRPr lang="en-US"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15875" cap="sq" cmpd="sng">
            <a:solidFill>
              <a:srgbClr val="C00000"/>
            </a:solidFill>
            <a:prstDash val="sysDot"/>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Analysis!$C$31</c:f>
              <c:strCache>
                <c:ptCount val="1"/>
                <c:pt idx="0">
                  <c:v>Total</c:v>
                </c:pt>
              </c:strCache>
            </c:strRef>
          </c:tx>
          <c:spPr>
            <a:ln w="15875" cap="sq" cmpd="sng">
              <a:solidFill>
                <a:srgbClr val="C00000"/>
              </a:solidFill>
              <a:prstDash val="sysDot"/>
              <a:bevel/>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Analysis!$B$32:$B$44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Analysis!$C$32:$C$44</c:f>
              <c:numCache>
                <c:formatCode>#,##0,,"M"</c:formatCode>
                <c:ptCount val="12"/>
                <c:pt idx="0">
                  <c:v>43363758</c:v>
                </c:pt>
                <c:pt idx="1">
                  <c:v>44993830</c:v>
                </c:pt>
                <c:pt idx="2">
                  <c:v>49024083</c:v>
                </c:pt>
                <c:pt idx="3">
                  <c:v>45235536</c:v>
                </c:pt>
                <c:pt idx="4">
                  <c:v>49023660</c:v>
                </c:pt>
                <c:pt idx="5">
                  <c:v>44462710</c:v>
                </c:pt>
                <c:pt idx="6">
                  <c:v>49197766</c:v>
                </c:pt>
                <c:pt idx="7">
                  <c:v>43947861</c:v>
                </c:pt>
                <c:pt idx="8">
                  <c:v>43829329</c:v>
                </c:pt>
                <c:pt idx="9">
                  <c:v>48984242</c:v>
                </c:pt>
                <c:pt idx="10">
                  <c:v>43801014</c:v>
                </c:pt>
                <c:pt idx="11">
                  <c:v>44276641</c:v>
                </c:pt>
              </c:numCache>
            </c:numRef>
          </c:val>
          <c:smooth val="1"/>
          <c:extLst>
            <c:ext xmlns:c16="http://schemas.microsoft.com/office/drawing/2014/chart" uri="{C3380CC4-5D6E-409C-BE32-E72D297353CC}">
              <c16:uniqueId val="{00000000-5514-4B28-B22A-4AD37D39A0BE}"/>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866868543"/>
        <c:axId val="866867103"/>
      </c:lineChart>
      <c:catAx>
        <c:axId val="86686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6867103"/>
        <c:crosses val="autoZero"/>
        <c:auto val="1"/>
        <c:lblAlgn val="ctr"/>
        <c:lblOffset val="100"/>
        <c:noMultiLvlLbl val="0"/>
      </c:catAx>
      <c:valAx>
        <c:axId val="866867103"/>
        <c:scaling>
          <c:orientation val="minMax"/>
        </c:scaling>
        <c:delete val="1"/>
        <c:axPos val="l"/>
        <c:numFmt formatCode="#,##0,,&quot;M&quot;" sourceLinked="1"/>
        <c:majorTickMark val="none"/>
        <c:minorTickMark val="none"/>
        <c:tickLblPos val="nextTo"/>
        <c:crossAx val="86686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[ANTY OYIN.xlsx]Analysis!PivotTable6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t>Sales Channel by Unit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C00000"/>
          </a:solidFill>
          <a:ln w="19050">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bg1">
              <a:lumMod val="50000"/>
            </a:schemeClr>
          </a:solidFill>
          <a:ln w="19050">
            <a:solidFill>
              <a:srgbClr val="C00000"/>
            </a:solidFill>
          </a:ln>
          <a:effectLst/>
        </c:spPr>
        <c:dLbl>
          <c:idx val="0"/>
          <c:layout>
            <c:manualLayout>
              <c:x val="0.15833333333333333"/>
              <c:y val="-7.4074074074074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bg1">
              <a:lumMod val="85000"/>
            </a:schemeClr>
          </a:solidFill>
          <a:ln w="19050">
            <a:solidFill>
              <a:srgbClr val="C00000"/>
            </a:solidFill>
          </a:ln>
          <a:effectLst/>
        </c:spPr>
        <c:dLbl>
          <c:idx val="0"/>
          <c:layout>
            <c:manualLayout>
              <c:x val="-8.6111111111111138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FF0000"/>
          </a:solidFill>
          <a:ln w="19050">
            <a:solidFill>
              <a:srgbClr val="C00000"/>
            </a:solidFill>
          </a:ln>
          <a:effectLst/>
        </c:spPr>
        <c:dLbl>
          <c:idx val="0"/>
          <c:layout>
            <c:manualLayout>
              <c:x val="-8.88888888888889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C00000"/>
          </a:solidFill>
          <a:ln w="19050">
            <a:solidFill>
              <a:srgbClr val="C00000"/>
            </a:solidFill>
          </a:ln>
          <a:effectLst/>
        </c:spPr>
        <c:dLbl>
          <c:idx val="0"/>
          <c:layout>
            <c:manualLayout>
              <c:x val="0.15555555555555556"/>
              <c:y val="6.94444444444446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Analysis!$L$32</c:f>
              <c:strCache>
                <c:ptCount val="1"/>
                <c:pt idx="0">
                  <c:v>Total</c:v>
                </c:pt>
              </c:strCache>
            </c:strRef>
          </c:tx>
          <c:spPr>
            <a:solidFill>
              <a:srgbClr val="C00000"/>
            </a:solidFill>
            <a:ln>
              <a:solidFill>
                <a:srgbClr val="C00000"/>
              </a:solidFill>
            </a:ln>
          </c:spPr>
          <c:dPt>
            <c:idx val="0"/>
            <c:bubble3D val="0"/>
            <c:spPr>
              <a:solidFill>
                <a:schemeClr val="bg1">
                  <a:lumMod val="50000"/>
                </a:schemeClr>
              </a:solidFill>
              <a:ln w="19050">
                <a:solidFill>
                  <a:srgbClr val="C00000"/>
                </a:solidFill>
              </a:ln>
              <a:effectLst/>
            </c:spPr>
            <c:extLst>
              <c:ext xmlns:c16="http://schemas.microsoft.com/office/drawing/2014/chart" uri="{C3380CC4-5D6E-409C-BE32-E72D297353CC}">
                <c16:uniqueId val="{00000002-D993-41CB-B35B-2FA51F183B17}"/>
              </c:ext>
            </c:extLst>
          </c:dPt>
          <c:dPt>
            <c:idx val="1"/>
            <c:bubble3D val="0"/>
            <c:spPr>
              <a:solidFill>
                <a:srgbClr val="C00000"/>
              </a:solidFill>
              <a:ln w="19050">
                <a:solidFill>
                  <a:srgbClr val="C00000"/>
                </a:solidFill>
              </a:ln>
              <a:effectLst/>
            </c:spPr>
            <c:extLst>
              <c:ext xmlns:c16="http://schemas.microsoft.com/office/drawing/2014/chart" uri="{C3380CC4-5D6E-409C-BE32-E72D297353CC}">
                <c16:uniqueId val="{00000005-D993-41CB-B35B-2FA51F183B17}"/>
              </c:ext>
            </c:extLst>
          </c:dPt>
          <c:dPt>
            <c:idx val="2"/>
            <c:bubble3D val="0"/>
            <c:spPr>
              <a:solidFill>
                <a:srgbClr val="FF0000"/>
              </a:solidFill>
              <a:ln w="19050">
                <a:solidFill>
                  <a:srgbClr val="C00000"/>
                </a:solidFill>
              </a:ln>
              <a:effectLst/>
            </c:spPr>
            <c:extLst>
              <c:ext xmlns:c16="http://schemas.microsoft.com/office/drawing/2014/chart" uri="{C3380CC4-5D6E-409C-BE32-E72D297353CC}">
                <c16:uniqueId val="{00000004-D993-41CB-B35B-2FA51F183B17}"/>
              </c:ext>
            </c:extLst>
          </c:dPt>
          <c:dPt>
            <c:idx val="3"/>
            <c:bubble3D val="0"/>
            <c:spPr>
              <a:solidFill>
                <a:schemeClr val="bg1">
                  <a:lumMod val="85000"/>
                </a:schemeClr>
              </a:solidFill>
              <a:ln w="19050">
                <a:solidFill>
                  <a:srgbClr val="C00000"/>
                </a:solidFill>
              </a:ln>
              <a:effectLst/>
            </c:spPr>
            <c:extLst>
              <c:ext xmlns:c16="http://schemas.microsoft.com/office/drawing/2014/chart" uri="{C3380CC4-5D6E-409C-BE32-E72D297353CC}">
                <c16:uniqueId val="{00000003-D993-41CB-B35B-2FA51F183B17}"/>
              </c:ext>
            </c:extLst>
          </c:dPt>
          <c:dLbls>
            <c:dLbl>
              <c:idx val="0"/>
              <c:layout>
                <c:manualLayout>
                  <c:x val="0.15833333333333333"/>
                  <c:y val="-7.40740740740740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993-41CB-B35B-2FA51F183B17}"/>
                </c:ext>
              </c:extLst>
            </c:dLbl>
            <c:dLbl>
              <c:idx val="1"/>
              <c:layout>
                <c:manualLayout>
                  <c:x val="0.15555555555555556"/>
                  <c:y val="6.94444444444446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993-41CB-B35B-2FA51F183B17}"/>
                </c:ext>
              </c:extLst>
            </c:dLbl>
            <c:dLbl>
              <c:idx val="2"/>
              <c:layout>
                <c:manualLayout>
                  <c:x val="-8.888888888888892E-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993-41CB-B35B-2FA51F183B17}"/>
                </c:ext>
              </c:extLst>
            </c:dLbl>
            <c:dLbl>
              <c:idx val="3"/>
              <c:layout>
                <c:manualLayout>
                  <c:x val="-8.6111111111111138E-2"/>
                  <c:y val="-9.72222222222222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993-41CB-B35B-2FA51F183B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Analysis!$K$33:$K$37</c:f>
              <c:strCache>
                <c:ptCount val="4"/>
                <c:pt idx="0">
                  <c:v>Distributors</c:v>
                </c:pt>
                <c:pt idx="1">
                  <c:v>Online</c:v>
                </c:pt>
                <c:pt idx="2">
                  <c:v>Retail</c:v>
                </c:pt>
                <c:pt idx="3">
                  <c:v>Wholesale</c:v>
                </c:pt>
              </c:strCache>
            </c:strRef>
          </c:cat>
          <c:val>
            <c:numRef>
              <c:f>Analysis!$L$33:$L$37</c:f>
              <c:numCache>
                <c:formatCode>#,##0,"K"</c:formatCode>
                <c:ptCount val="4"/>
                <c:pt idx="0">
                  <c:v>459805</c:v>
                </c:pt>
                <c:pt idx="1">
                  <c:v>467560</c:v>
                </c:pt>
                <c:pt idx="2">
                  <c:v>484418</c:v>
                </c:pt>
                <c:pt idx="3">
                  <c:v>436452</c:v>
                </c:pt>
              </c:numCache>
            </c:numRef>
          </c:val>
          <c:extLst>
            <c:ext xmlns:c16="http://schemas.microsoft.com/office/drawing/2014/chart" uri="{C3380CC4-5D6E-409C-BE32-E72D297353CC}">
              <c16:uniqueId val="{00000000-D993-41CB-B35B-2FA51F183B17}"/>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[ANTY OYIN.xlsx]Analysis!PivotTable4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t>Total revenue</a:t>
            </a:r>
            <a:r>
              <a:rPr lang="en-US" i="1" baseline="0"/>
              <a:t> by region </a:t>
            </a:r>
            <a:endParaRPr lang="en-US" i="1"/>
          </a:p>
        </c:rich>
      </c:tx>
      <c:layout>
        <c:manualLayout>
          <c:xMode val="edge"/>
          <c:yMode val="edge"/>
          <c:x val="0.13056135379128375"/>
          <c:y val="2.05493458952511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0.2361111111111111"/>
          <c:w val="0.93888888888888888"/>
          <c:h val="0.67963764946048411"/>
        </c:manualLayout>
      </c:layout>
      <c:barChart>
        <c:barDir val="col"/>
        <c:grouping val="clustered"/>
        <c:varyColors val="0"/>
        <c:ser>
          <c:idx val="0"/>
          <c:order val="0"/>
          <c:tx>
            <c:strRef>
              <c:f>Analysis!$C$18</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Analysis!$B$19:$B$25</c:f>
              <c:strCache>
                <c:ptCount val="6"/>
                <c:pt idx="0">
                  <c:v>Abuja</c:v>
                </c:pt>
                <c:pt idx="1">
                  <c:v>Enugu</c:v>
                </c:pt>
                <c:pt idx="2">
                  <c:v>Ibadan</c:v>
                </c:pt>
                <c:pt idx="3">
                  <c:v>Kano</c:v>
                </c:pt>
                <c:pt idx="4">
                  <c:v>Lagos</c:v>
                </c:pt>
                <c:pt idx="5">
                  <c:v>Port Harcourt</c:v>
                </c:pt>
              </c:strCache>
            </c:strRef>
          </c:cat>
          <c:val>
            <c:numRef>
              <c:f>Analysis!$C$19:$C$25</c:f>
              <c:numCache>
                <c:formatCode>#,##0,,"M"</c:formatCode>
                <c:ptCount val="6"/>
                <c:pt idx="0">
                  <c:v>98809257</c:v>
                </c:pt>
                <c:pt idx="1">
                  <c:v>92110759</c:v>
                </c:pt>
                <c:pt idx="2">
                  <c:v>93648555</c:v>
                </c:pt>
                <c:pt idx="3">
                  <c:v>90317019</c:v>
                </c:pt>
                <c:pt idx="4">
                  <c:v>91753332</c:v>
                </c:pt>
                <c:pt idx="5">
                  <c:v>83501508</c:v>
                </c:pt>
              </c:numCache>
            </c:numRef>
          </c:val>
          <c:extLst>
            <c:ext xmlns:c16="http://schemas.microsoft.com/office/drawing/2014/chart" uri="{C3380CC4-5D6E-409C-BE32-E72D297353CC}">
              <c16:uniqueId val="{00000000-330E-4557-9100-A187044D7CBB}"/>
            </c:ext>
          </c:extLst>
        </c:ser>
        <c:dLbls>
          <c:dLblPos val="outEnd"/>
          <c:showLegendKey val="0"/>
          <c:showVal val="1"/>
          <c:showCatName val="0"/>
          <c:showSerName val="0"/>
          <c:showPercent val="0"/>
          <c:showBubbleSize val="0"/>
        </c:dLbls>
        <c:gapWidth val="219"/>
        <c:overlap val="-27"/>
        <c:axId val="1335907871"/>
        <c:axId val="1335904991"/>
      </c:barChart>
      <c:catAx>
        <c:axId val="133590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35904991"/>
        <c:crosses val="autoZero"/>
        <c:auto val="1"/>
        <c:lblAlgn val="ctr"/>
        <c:lblOffset val="100"/>
        <c:noMultiLvlLbl val="0"/>
      </c:catAx>
      <c:valAx>
        <c:axId val="1335904991"/>
        <c:scaling>
          <c:orientation val="minMax"/>
        </c:scaling>
        <c:delete val="1"/>
        <c:axPos val="l"/>
        <c:numFmt formatCode="#,##0,,&quot;M&quot;" sourceLinked="1"/>
        <c:majorTickMark val="none"/>
        <c:minorTickMark val="none"/>
        <c:tickLblPos val="nextTo"/>
        <c:crossAx val="1335907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[ANTY OYIN.xlsx]Analysis!PivotTable6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t>Sales Channel by Unit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C00000"/>
          </a:solidFill>
          <a:ln w="19050">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bg1">
              <a:lumMod val="50000"/>
            </a:schemeClr>
          </a:solidFill>
          <a:ln w="19050">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lumMod val="85000"/>
            </a:schemeClr>
          </a:solidFill>
          <a:ln w="19050">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0000"/>
          </a:solidFill>
          <a:ln w="19050">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C00000"/>
          </a:solidFill>
          <a:ln w="19050">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C00000"/>
          </a:solidFill>
          <a:ln w="19050">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bg1">
              <a:lumMod val="50000"/>
            </a:schemeClr>
          </a:solidFill>
          <a:ln w="19050">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C00000"/>
          </a:solidFill>
          <a:ln w="19050">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FF0000"/>
          </a:solidFill>
          <a:ln w="19050">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bg1">
              <a:lumMod val="85000"/>
            </a:schemeClr>
          </a:solidFill>
          <a:ln w="19050">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C00000"/>
          </a:solidFill>
          <a:ln w="19050">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bg1">
              <a:lumMod val="50000"/>
            </a:schemeClr>
          </a:solidFill>
          <a:ln w="19050">
            <a:solidFill>
              <a:srgbClr val="C00000"/>
            </a:solidFill>
          </a:ln>
          <a:effectLst/>
        </c:spPr>
        <c:dLbl>
          <c:idx val="0"/>
          <c:layout>
            <c:manualLayout>
              <c:x val="0.19860415891033595"/>
              <c:y val="1.28832944424359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layout>
                <c:manualLayout>
                  <c:w val="0.25969911281255054"/>
                  <c:h val="0.31265337255288617"/>
                </c:manualLayout>
              </c15:layout>
            </c:ext>
          </c:extLst>
        </c:dLbl>
      </c:pivotFmt>
      <c:pivotFmt>
        <c:idx val="12"/>
        <c:spPr>
          <a:solidFill>
            <a:srgbClr val="C00000"/>
          </a:solidFill>
          <a:ln w="19050">
            <a:solidFill>
              <a:srgbClr val="C00000"/>
            </a:solidFill>
          </a:ln>
          <a:effectLst/>
        </c:spPr>
        <c:dLbl>
          <c:idx val="0"/>
          <c:layout>
            <c:manualLayout>
              <c:x val="0.15555555555555556"/>
              <c:y val="6.94444444444446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FF0000"/>
          </a:solidFill>
          <a:ln w="19050">
            <a:solidFill>
              <a:srgbClr val="C00000"/>
            </a:solidFill>
          </a:ln>
          <a:effectLst/>
        </c:spPr>
        <c:dLbl>
          <c:idx val="0"/>
          <c:layout>
            <c:manualLayout>
              <c:x val="-8.88888888888889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bg1">
              <a:lumMod val="85000"/>
            </a:schemeClr>
          </a:solidFill>
          <a:ln w="19050">
            <a:solidFill>
              <a:srgbClr val="C00000"/>
            </a:solidFill>
          </a:ln>
          <a:effectLst/>
        </c:spPr>
        <c:dLbl>
          <c:idx val="0"/>
          <c:layout>
            <c:manualLayout>
              <c:x val="-0.1500703572251946"/>
              <c:y val="3.3213374086611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layout>
                <c:manualLayout>
                  <c:w val="0.26967185778141206"/>
                  <c:h val="0.31265337255288617"/>
                </c:manualLayout>
              </c15:layout>
            </c:ext>
          </c:extLst>
        </c:dLbl>
      </c:pivotFmt>
    </c:pivotFmts>
    <c:plotArea>
      <c:layout/>
      <c:doughnutChart>
        <c:varyColors val="1"/>
        <c:ser>
          <c:idx val="0"/>
          <c:order val="0"/>
          <c:tx>
            <c:strRef>
              <c:f>Analysis!$L$32</c:f>
              <c:strCache>
                <c:ptCount val="1"/>
                <c:pt idx="0">
                  <c:v>Total</c:v>
                </c:pt>
              </c:strCache>
            </c:strRef>
          </c:tx>
          <c:spPr>
            <a:solidFill>
              <a:srgbClr val="C00000"/>
            </a:solidFill>
            <a:ln>
              <a:solidFill>
                <a:srgbClr val="C00000"/>
              </a:solidFill>
            </a:ln>
          </c:spPr>
          <c:dPt>
            <c:idx val="0"/>
            <c:bubble3D val="0"/>
            <c:spPr>
              <a:solidFill>
                <a:schemeClr val="bg1">
                  <a:lumMod val="50000"/>
                </a:schemeClr>
              </a:solidFill>
              <a:ln w="19050">
                <a:solidFill>
                  <a:srgbClr val="C00000"/>
                </a:solidFill>
              </a:ln>
              <a:effectLst/>
            </c:spPr>
            <c:extLst>
              <c:ext xmlns:c16="http://schemas.microsoft.com/office/drawing/2014/chart" uri="{C3380CC4-5D6E-409C-BE32-E72D297353CC}">
                <c16:uniqueId val="{00000001-6769-4F9A-AEA8-4B71573CBF8B}"/>
              </c:ext>
            </c:extLst>
          </c:dPt>
          <c:dPt>
            <c:idx val="1"/>
            <c:bubble3D val="0"/>
            <c:spPr>
              <a:solidFill>
                <a:srgbClr val="C00000"/>
              </a:solidFill>
              <a:ln w="19050">
                <a:solidFill>
                  <a:srgbClr val="C00000"/>
                </a:solidFill>
              </a:ln>
              <a:effectLst/>
            </c:spPr>
            <c:extLst>
              <c:ext xmlns:c16="http://schemas.microsoft.com/office/drawing/2014/chart" uri="{C3380CC4-5D6E-409C-BE32-E72D297353CC}">
                <c16:uniqueId val="{00000003-6769-4F9A-AEA8-4B71573CBF8B}"/>
              </c:ext>
            </c:extLst>
          </c:dPt>
          <c:dPt>
            <c:idx val="2"/>
            <c:bubble3D val="0"/>
            <c:spPr>
              <a:solidFill>
                <a:srgbClr val="FF0000"/>
              </a:solidFill>
              <a:ln w="19050">
                <a:solidFill>
                  <a:srgbClr val="C00000"/>
                </a:solidFill>
              </a:ln>
              <a:effectLst/>
            </c:spPr>
            <c:extLst>
              <c:ext xmlns:c16="http://schemas.microsoft.com/office/drawing/2014/chart" uri="{C3380CC4-5D6E-409C-BE32-E72D297353CC}">
                <c16:uniqueId val="{00000005-6769-4F9A-AEA8-4B71573CBF8B}"/>
              </c:ext>
            </c:extLst>
          </c:dPt>
          <c:dPt>
            <c:idx val="3"/>
            <c:bubble3D val="0"/>
            <c:spPr>
              <a:solidFill>
                <a:schemeClr val="bg1">
                  <a:lumMod val="85000"/>
                </a:schemeClr>
              </a:solidFill>
              <a:ln w="19050">
                <a:solidFill>
                  <a:srgbClr val="C00000"/>
                </a:solidFill>
              </a:ln>
              <a:effectLst/>
            </c:spPr>
            <c:extLst>
              <c:ext xmlns:c16="http://schemas.microsoft.com/office/drawing/2014/chart" uri="{C3380CC4-5D6E-409C-BE32-E72D297353CC}">
                <c16:uniqueId val="{00000007-6769-4F9A-AEA8-4B71573CBF8B}"/>
              </c:ext>
            </c:extLst>
          </c:dPt>
          <c:dLbls>
            <c:dLbl>
              <c:idx val="0"/>
              <c:layout>
                <c:manualLayout>
                  <c:x val="0.19860415891033595"/>
                  <c:y val="1.2883294442435994E-2"/>
                </c:manualLayout>
              </c:layout>
              <c:showLegendKey val="0"/>
              <c:showVal val="0"/>
              <c:showCatName val="1"/>
              <c:showSerName val="0"/>
              <c:showPercent val="1"/>
              <c:showBubbleSize val="0"/>
              <c:extLst>
                <c:ext xmlns:c15="http://schemas.microsoft.com/office/drawing/2012/chart" uri="{CE6537A1-D6FC-4f65-9D91-7224C49458BB}">
                  <c15:layout>
                    <c:manualLayout>
                      <c:w val="0.25969911281255054"/>
                      <c:h val="0.31265337255288617"/>
                    </c:manualLayout>
                  </c15:layout>
                </c:ext>
                <c:ext xmlns:c16="http://schemas.microsoft.com/office/drawing/2014/chart" uri="{C3380CC4-5D6E-409C-BE32-E72D297353CC}">
                  <c16:uniqueId val="{00000001-6769-4F9A-AEA8-4B71573CBF8B}"/>
                </c:ext>
              </c:extLst>
            </c:dLbl>
            <c:dLbl>
              <c:idx val="1"/>
              <c:layout>
                <c:manualLayout>
                  <c:x val="0.15555555555555556"/>
                  <c:y val="6.94444444444446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769-4F9A-AEA8-4B71573CBF8B}"/>
                </c:ext>
              </c:extLst>
            </c:dLbl>
            <c:dLbl>
              <c:idx val="2"/>
              <c:layout>
                <c:manualLayout>
                  <c:x val="-8.888888888888892E-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769-4F9A-AEA8-4B71573CBF8B}"/>
                </c:ext>
              </c:extLst>
            </c:dLbl>
            <c:dLbl>
              <c:idx val="3"/>
              <c:layout>
                <c:manualLayout>
                  <c:x val="-0.1500703572251946"/>
                  <c:y val="3.3213374086611631E-2"/>
                </c:manualLayout>
              </c:layout>
              <c:showLegendKey val="0"/>
              <c:showVal val="0"/>
              <c:showCatName val="1"/>
              <c:showSerName val="0"/>
              <c:showPercent val="1"/>
              <c:showBubbleSize val="0"/>
              <c:extLst>
                <c:ext xmlns:c15="http://schemas.microsoft.com/office/drawing/2012/chart" uri="{CE6537A1-D6FC-4f65-9D91-7224C49458BB}">
                  <c15:layout>
                    <c:manualLayout>
                      <c:w val="0.26967185778141206"/>
                      <c:h val="0.31265337255288617"/>
                    </c:manualLayout>
                  </c15:layout>
                </c:ext>
                <c:ext xmlns:c16="http://schemas.microsoft.com/office/drawing/2014/chart" uri="{C3380CC4-5D6E-409C-BE32-E72D297353CC}">
                  <c16:uniqueId val="{00000007-6769-4F9A-AEA8-4B71573CBF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Analysis!$K$33:$K$37</c:f>
              <c:strCache>
                <c:ptCount val="4"/>
                <c:pt idx="0">
                  <c:v>Distributors</c:v>
                </c:pt>
                <c:pt idx="1">
                  <c:v>Online</c:v>
                </c:pt>
                <c:pt idx="2">
                  <c:v>Retail</c:v>
                </c:pt>
                <c:pt idx="3">
                  <c:v>Wholesale</c:v>
                </c:pt>
              </c:strCache>
            </c:strRef>
          </c:cat>
          <c:val>
            <c:numRef>
              <c:f>Analysis!$L$33:$L$37</c:f>
              <c:numCache>
                <c:formatCode>#,##0,"K"</c:formatCode>
                <c:ptCount val="4"/>
                <c:pt idx="0">
                  <c:v>459805</c:v>
                </c:pt>
                <c:pt idx="1">
                  <c:v>467560</c:v>
                </c:pt>
                <c:pt idx="2">
                  <c:v>484418</c:v>
                </c:pt>
                <c:pt idx="3">
                  <c:v>436452</c:v>
                </c:pt>
              </c:numCache>
            </c:numRef>
          </c:val>
          <c:extLst>
            <c:ext xmlns:c16="http://schemas.microsoft.com/office/drawing/2014/chart" uri="{C3380CC4-5D6E-409C-BE32-E72D297353CC}">
              <c16:uniqueId val="{00000008-6769-4F9A-AEA8-4B71573CBF8B}"/>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[ANTY OYIN.xlsx]Analysis!PivotTable5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t>Monthly Trends by </a:t>
            </a:r>
            <a:r>
              <a:rPr lang="en-US" i="1" baseline="0"/>
              <a:t> Revenue</a:t>
            </a:r>
            <a:endParaRPr lang="en-US"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5875" cap="sq" cmpd="sng">
            <a:solidFill>
              <a:srgbClr val="C00000"/>
            </a:solidFill>
            <a:prstDash val="sysDot"/>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sq" cmpd="sng">
            <a:solidFill>
              <a:srgbClr val="C00000"/>
            </a:solidFill>
            <a:prstDash val="sysDot"/>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15875" cap="sq" cmpd="sng">
            <a:solidFill>
              <a:srgbClr val="C00000"/>
            </a:solidFill>
            <a:prstDash val="sysDot"/>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Analysis!$C$31</c:f>
              <c:strCache>
                <c:ptCount val="1"/>
                <c:pt idx="0">
                  <c:v>Total</c:v>
                </c:pt>
              </c:strCache>
            </c:strRef>
          </c:tx>
          <c:spPr>
            <a:ln w="15875" cap="sq" cmpd="sng">
              <a:solidFill>
                <a:srgbClr val="C00000"/>
              </a:solidFill>
              <a:prstDash val="sysDot"/>
              <a:bevel/>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Analysis!$B$32:$B$44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Analysis!$C$32:$C$44</c:f>
              <c:numCache>
                <c:formatCode>#,##0,,"M"</c:formatCode>
                <c:ptCount val="12"/>
                <c:pt idx="0">
                  <c:v>43363758</c:v>
                </c:pt>
                <c:pt idx="1">
                  <c:v>44993830</c:v>
                </c:pt>
                <c:pt idx="2">
                  <c:v>49024083</c:v>
                </c:pt>
                <c:pt idx="3">
                  <c:v>45235536</c:v>
                </c:pt>
                <c:pt idx="4">
                  <c:v>49023660</c:v>
                </c:pt>
                <c:pt idx="5">
                  <c:v>44462710</c:v>
                </c:pt>
                <c:pt idx="6">
                  <c:v>49197766</c:v>
                </c:pt>
                <c:pt idx="7">
                  <c:v>43947861</c:v>
                </c:pt>
                <c:pt idx="8">
                  <c:v>43829329</c:v>
                </c:pt>
                <c:pt idx="9">
                  <c:v>48984242</c:v>
                </c:pt>
                <c:pt idx="10">
                  <c:v>43801014</c:v>
                </c:pt>
                <c:pt idx="11">
                  <c:v>44276641</c:v>
                </c:pt>
              </c:numCache>
            </c:numRef>
          </c:val>
          <c:smooth val="1"/>
          <c:extLst>
            <c:ext xmlns:c16="http://schemas.microsoft.com/office/drawing/2014/chart" uri="{C3380CC4-5D6E-409C-BE32-E72D297353CC}">
              <c16:uniqueId val="{00000000-BA3A-4C51-9CCC-0A81202E4209}"/>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866868543"/>
        <c:axId val="866867103"/>
      </c:lineChart>
      <c:catAx>
        <c:axId val="86686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6867103"/>
        <c:crosses val="autoZero"/>
        <c:auto val="1"/>
        <c:lblAlgn val="ctr"/>
        <c:lblOffset val="100"/>
        <c:noMultiLvlLbl val="0"/>
      </c:catAx>
      <c:valAx>
        <c:axId val="866867103"/>
        <c:scaling>
          <c:orientation val="minMax"/>
        </c:scaling>
        <c:delete val="1"/>
        <c:axPos val="l"/>
        <c:numFmt formatCode="#,##0,,&quot;M&quot;" sourceLinked="1"/>
        <c:majorTickMark val="none"/>
        <c:minorTickMark val="none"/>
        <c:tickLblPos val="nextTo"/>
        <c:crossAx val="86686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[ANTY OYIN.xlsx]Analysis!PivotTable3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t>Product</a:t>
            </a:r>
            <a:r>
              <a:rPr lang="en-US" i="1" baseline="0"/>
              <a:t> by total profit </a:t>
            </a:r>
            <a:endParaRPr lang="en-US"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C00000"/>
          </a:solidFill>
          <a:ln>
            <a:noFill/>
          </a:ln>
          <a:effectLst>
            <a:innerShdw blurRad="63500" dist="50800" dir="13500000">
              <a:prstClr val="black">
                <a:alpha val="50000"/>
              </a:prstClr>
            </a:innerShdw>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innerShdw blurRad="63500" dist="50800" dir="13500000">
              <a:prstClr val="black">
                <a:alpha val="50000"/>
              </a:prstClr>
            </a:innerShdw>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innerShdw blurRad="63500" dist="50800" dir="13500000">
              <a:prstClr val="black">
                <a:alpha val="50000"/>
              </a:prstClr>
            </a:innerShdw>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Analysis!$C$7</c:f>
              <c:strCache>
                <c:ptCount val="1"/>
                <c:pt idx="0">
                  <c:v>Total</c:v>
                </c:pt>
              </c:strCache>
            </c:strRef>
          </c:tx>
          <c:spPr>
            <a:solidFill>
              <a:srgbClr val="C00000"/>
            </a:solidFill>
            <a:ln>
              <a:noFill/>
            </a:ln>
            <a:effectLst>
              <a:innerShdw blurRad="63500" dist="50800" dir="13500000">
                <a:prstClr val="black">
                  <a:alpha val="50000"/>
                </a:prstClr>
              </a:innerShdw>
            </a:effectLst>
            <a:scene3d>
              <a:camera prst="orthographicFront"/>
              <a:lightRig rig="threePt" dir="t"/>
            </a:scene3d>
            <a:sp3d>
              <a:bevelT w="139700" h="139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Analysis!$B$8:$B$16</c:f>
              <c:strCache>
                <c:ptCount val="8"/>
                <c:pt idx="0">
                  <c:v>Coca-Cola Classic</c:v>
                </c:pt>
                <c:pt idx="1">
                  <c:v>Coke Zero</c:v>
                </c:pt>
                <c:pt idx="2">
                  <c:v>Diet Coke</c:v>
                </c:pt>
                <c:pt idx="3">
                  <c:v>Eva Water</c:v>
                </c:pt>
                <c:pt idx="4">
                  <c:v>Fanta</c:v>
                </c:pt>
                <c:pt idx="5">
                  <c:v>Minute Maid</c:v>
                </c:pt>
                <c:pt idx="6">
                  <c:v>Schweppes</c:v>
                </c:pt>
                <c:pt idx="7">
                  <c:v>Sprite</c:v>
                </c:pt>
              </c:strCache>
            </c:strRef>
          </c:cat>
          <c:val>
            <c:numRef>
              <c:f>Analysis!$C$8:$C$16</c:f>
              <c:numCache>
                <c:formatCode>#,##0,,"M"</c:formatCode>
                <c:ptCount val="8"/>
                <c:pt idx="0">
                  <c:v>2217471.7286</c:v>
                </c:pt>
                <c:pt idx="1">
                  <c:v>2257885.4032000001</c:v>
                </c:pt>
                <c:pt idx="2">
                  <c:v>2199348.5211</c:v>
                </c:pt>
                <c:pt idx="3">
                  <c:v>2099678.4619999998</c:v>
                </c:pt>
                <c:pt idx="4">
                  <c:v>2305606.4792999998</c:v>
                </c:pt>
                <c:pt idx="5">
                  <c:v>2030499.4765000001</c:v>
                </c:pt>
                <c:pt idx="6">
                  <c:v>2025738.7619</c:v>
                </c:pt>
                <c:pt idx="7">
                  <c:v>1485172.1440000001</c:v>
                </c:pt>
              </c:numCache>
            </c:numRef>
          </c:val>
          <c:extLst>
            <c:ext xmlns:c16="http://schemas.microsoft.com/office/drawing/2014/chart" uri="{C3380CC4-5D6E-409C-BE32-E72D297353CC}">
              <c16:uniqueId val="{00000000-E108-4988-8DAD-2698D82E4909}"/>
            </c:ext>
          </c:extLst>
        </c:ser>
        <c:dLbls>
          <c:dLblPos val="outEnd"/>
          <c:showLegendKey val="0"/>
          <c:showVal val="1"/>
          <c:showCatName val="0"/>
          <c:showSerName val="0"/>
          <c:showPercent val="0"/>
          <c:showBubbleSize val="0"/>
        </c:dLbls>
        <c:gapWidth val="182"/>
        <c:axId val="861478223"/>
        <c:axId val="861477263"/>
      </c:barChart>
      <c:catAx>
        <c:axId val="86147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1477263"/>
        <c:crosses val="autoZero"/>
        <c:auto val="1"/>
        <c:lblAlgn val="ctr"/>
        <c:lblOffset val="100"/>
        <c:noMultiLvlLbl val="0"/>
      </c:catAx>
      <c:valAx>
        <c:axId val="861477263"/>
        <c:scaling>
          <c:orientation val="minMax"/>
        </c:scaling>
        <c:delete val="1"/>
        <c:axPos val="b"/>
        <c:numFmt formatCode="#,##0,,&quot;M&quot;" sourceLinked="1"/>
        <c:majorTickMark val="none"/>
        <c:minorTickMark val="none"/>
        <c:tickLblPos val="nextTo"/>
        <c:crossAx val="86147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6.png"/><Relationship Id="rId3" Type="http://schemas.openxmlformats.org/officeDocument/2006/relationships/chart" Target="../charts/chart7.xml"/><Relationship Id="rId7" Type="http://schemas.openxmlformats.org/officeDocument/2006/relationships/image" Target="../media/image2.png"/><Relationship Id="rId12" Type="http://schemas.openxmlformats.org/officeDocument/2006/relationships/hyperlink" Target="#'Dashbaord '!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Coke'!A1"/><Relationship Id="rId11" Type="http://schemas.openxmlformats.org/officeDocument/2006/relationships/image" Target="../media/image5.svg"/><Relationship Id="rId5" Type="http://schemas.openxmlformats.org/officeDocument/2006/relationships/image" Target="../media/image1.png"/><Relationship Id="rId15" Type="http://schemas.openxmlformats.org/officeDocument/2006/relationships/image" Target="../media/image8.jpeg"/><Relationship Id="rId10" Type="http://schemas.openxmlformats.org/officeDocument/2006/relationships/image" Target="../media/image4.png"/><Relationship Id="rId4" Type="http://schemas.openxmlformats.org/officeDocument/2006/relationships/chart" Target="../charts/chart8.xml"/><Relationship Id="rId9" Type="http://schemas.openxmlformats.org/officeDocument/2006/relationships/hyperlink" Target="#Analysis!A1"/><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600075</xdr:colOff>
      <xdr:row>8</xdr:row>
      <xdr:rowOff>176212</xdr:rowOff>
    </xdr:from>
    <xdr:to>
      <xdr:col>15</xdr:col>
      <xdr:colOff>333375</xdr:colOff>
      <xdr:row>23</xdr:row>
      <xdr:rowOff>61912</xdr:rowOff>
    </xdr:to>
    <xdr:graphicFrame macro="">
      <xdr:nvGraphicFramePr>
        <xdr:cNvPr id="2" name="Chart 1">
          <a:extLst>
            <a:ext uri="{FF2B5EF4-FFF2-40B4-BE49-F238E27FC236}">
              <a16:creationId xmlns:a16="http://schemas.microsoft.com/office/drawing/2014/main" id="{91AA90CD-C006-F6AF-C9A9-115A5C9F5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581025</xdr:colOff>
      <xdr:row>15</xdr:row>
      <xdr:rowOff>101600</xdr:rowOff>
    </xdr:from>
    <xdr:to>
      <xdr:col>9</xdr:col>
      <xdr:colOff>393700</xdr:colOff>
      <xdr:row>29</xdr:row>
      <xdr:rowOff>119062</xdr:rowOff>
    </xdr:to>
    <xdr:graphicFrame macro="">
      <xdr:nvGraphicFramePr>
        <xdr:cNvPr id="3" name="Chart 2">
          <a:extLst>
            <a:ext uri="{FF2B5EF4-FFF2-40B4-BE49-F238E27FC236}">
              <a16:creationId xmlns:a16="http://schemas.microsoft.com/office/drawing/2014/main" id="{3013A998-66D4-C546-855A-98B2AF247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590550</xdr:colOff>
      <xdr:row>30</xdr:row>
      <xdr:rowOff>23812</xdr:rowOff>
    </xdr:from>
    <xdr:to>
      <xdr:col>9</xdr:col>
      <xdr:colOff>76200</xdr:colOff>
      <xdr:row>44</xdr:row>
      <xdr:rowOff>100012</xdr:rowOff>
    </xdr:to>
    <xdr:graphicFrame macro="">
      <xdr:nvGraphicFramePr>
        <xdr:cNvPr id="4" name="Chart 3">
          <a:extLst>
            <a:ext uri="{FF2B5EF4-FFF2-40B4-BE49-F238E27FC236}">
              <a16:creationId xmlns:a16="http://schemas.microsoft.com/office/drawing/2014/main" id="{923FC83F-6D9B-F971-0EBE-D0BC537B6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190500</xdr:colOff>
      <xdr:row>28</xdr:row>
      <xdr:rowOff>85725</xdr:rowOff>
    </xdr:from>
    <xdr:to>
      <xdr:col>18</xdr:col>
      <xdr:colOff>495300</xdr:colOff>
      <xdr:row>42</xdr:row>
      <xdr:rowOff>161925</xdr:rowOff>
    </xdr:to>
    <xdr:graphicFrame macro="">
      <xdr:nvGraphicFramePr>
        <xdr:cNvPr id="5" name="Chart 4">
          <a:extLst>
            <a:ext uri="{FF2B5EF4-FFF2-40B4-BE49-F238E27FC236}">
              <a16:creationId xmlns:a16="http://schemas.microsoft.com/office/drawing/2014/main" id="{8906888C-C05F-9193-C882-E626D5799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108857</xdr:colOff>
      <xdr:row>0</xdr:row>
      <xdr:rowOff>122464</xdr:rowOff>
    </xdr:from>
    <xdr:to>
      <xdr:col>18</xdr:col>
      <xdr:colOff>517071</xdr:colOff>
      <xdr:row>29</xdr:row>
      <xdr:rowOff>136071</xdr:rowOff>
    </xdr:to>
    <xdr:sp macro="" textlink="">
      <xdr:nvSpPr>
        <xdr:cNvPr id="3" name="Rectangle 2">
          <a:extLst>
            <a:ext uri="{FF2B5EF4-FFF2-40B4-BE49-F238E27FC236}">
              <a16:creationId xmlns:a16="http://schemas.microsoft.com/office/drawing/2014/main" id="{34490CAB-FA8B-467E-2B8F-F50BBC830902}"/>
            </a:ext>
          </a:extLst>
        </xdr:cNvPr>
        <xdr:cNvSpPr/>
      </xdr:nvSpPr>
      <xdr:spPr>
        <a:xfrm>
          <a:off x="1945821" y="122464"/>
          <a:ext cx="9593036" cy="5538107"/>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462643</xdr:colOff>
      <xdr:row>1</xdr:row>
      <xdr:rowOff>95250</xdr:rowOff>
    </xdr:from>
    <xdr:to>
      <xdr:col>18</xdr:col>
      <xdr:colOff>272142</xdr:colOff>
      <xdr:row>29</xdr:row>
      <xdr:rowOff>27214</xdr:rowOff>
    </xdr:to>
    <xdr:sp macro="" textlink="">
      <xdr:nvSpPr>
        <xdr:cNvPr id="4" name="Rectangle: Rounded Corners 3">
          <a:extLst>
            <a:ext uri="{FF2B5EF4-FFF2-40B4-BE49-F238E27FC236}">
              <a16:creationId xmlns:a16="http://schemas.microsoft.com/office/drawing/2014/main" id="{6FE25F65-9B70-1126-C48E-80238F57E819}"/>
            </a:ext>
          </a:extLst>
        </xdr:cNvPr>
        <xdr:cNvSpPr/>
      </xdr:nvSpPr>
      <xdr:spPr>
        <a:xfrm>
          <a:off x="2893786" y="276679"/>
          <a:ext cx="8318499" cy="5011964"/>
        </a:xfrm>
        <a:prstGeom prst="roundRect">
          <a:avLst>
            <a:gd name="adj" fmla="val 186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0">
            <a:solidFill>
              <a:schemeClr val="tx1"/>
            </a:solidFill>
            <a:latin typeface="Algerian" panose="04020705040A02060702" pitchFamily="82" charset="0"/>
          </a:endParaRPr>
        </a:p>
      </xdr:txBody>
    </xdr:sp>
    <xdr:clientData/>
  </xdr:twoCellAnchor>
  <xdr:twoCellAnchor>
    <xdr:from>
      <xdr:col>4</xdr:col>
      <xdr:colOff>585107</xdr:colOff>
      <xdr:row>5</xdr:row>
      <xdr:rowOff>13607</xdr:rowOff>
    </xdr:from>
    <xdr:to>
      <xdr:col>7</xdr:col>
      <xdr:colOff>108857</xdr:colOff>
      <xdr:row>10</xdr:row>
      <xdr:rowOff>95250</xdr:rowOff>
    </xdr:to>
    <xdr:sp macro="" textlink="">
      <xdr:nvSpPr>
        <xdr:cNvPr id="5" name="Rectangle: Rounded Corners 4">
          <a:extLst>
            <a:ext uri="{FF2B5EF4-FFF2-40B4-BE49-F238E27FC236}">
              <a16:creationId xmlns:a16="http://schemas.microsoft.com/office/drawing/2014/main" id="{3B167B79-059D-58D7-9BB4-5210823E1D61}"/>
            </a:ext>
          </a:extLst>
        </xdr:cNvPr>
        <xdr:cNvSpPr/>
      </xdr:nvSpPr>
      <xdr:spPr>
        <a:xfrm>
          <a:off x="3034393" y="966107"/>
          <a:ext cx="1360714" cy="1034143"/>
        </a:xfrm>
        <a:prstGeom prst="roundRect">
          <a:avLst>
            <a:gd name="adj" fmla="val 10088"/>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380999</xdr:colOff>
      <xdr:row>4</xdr:row>
      <xdr:rowOff>190499</xdr:rowOff>
    </xdr:from>
    <xdr:to>
      <xdr:col>9</xdr:col>
      <xdr:colOff>517070</xdr:colOff>
      <xdr:row>10</xdr:row>
      <xdr:rowOff>81642</xdr:rowOff>
    </xdr:to>
    <xdr:sp macro="" textlink="">
      <xdr:nvSpPr>
        <xdr:cNvPr id="6" name="Rectangle: Rounded Corners 5">
          <a:extLst>
            <a:ext uri="{FF2B5EF4-FFF2-40B4-BE49-F238E27FC236}">
              <a16:creationId xmlns:a16="http://schemas.microsoft.com/office/drawing/2014/main" id="{CABAEC96-3893-610D-8F58-78C244104340}"/>
            </a:ext>
          </a:extLst>
        </xdr:cNvPr>
        <xdr:cNvSpPr/>
      </xdr:nvSpPr>
      <xdr:spPr>
        <a:xfrm>
          <a:off x="4667249" y="952499"/>
          <a:ext cx="1360714" cy="1034143"/>
        </a:xfrm>
        <a:prstGeom prst="roundRect">
          <a:avLst>
            <a:gd name="adj" fmla="val 10088"/>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190500</xdr:colOff>
      <xdr:row>5</xdr:row>
      <xdr:rowOff>0</xdr:rowOff>
    </xdr:from>
    <xdr:to>
      <xdr:col>12</xdr:col>
      <xdr:colOff>326571</xdr:colOff>
      <xdr:row>10</xdr:row>
      <xdr:rowOff>81643</xdr:rowOff>
    </xdr:to>
    <xdr:sp macro="" textlink="">
      <xdr:nvSpPr>
        <xdr:cNvPr id="7" name="Rectangle: Rounded Corners 6">
          <a:extLst>
            <a:ext uri="{FF2B5EF4-FFF2-40B4-BE49-F238E27FC236}">
              <a16:creationId xmlns:a16="http://schemas.microsoft.com/office/drawing/2014/main" id="{464BB4C9-3899-82B9-D150-9A3D08786A4C}"/>
            </a:ext>
          </a:extLst>
        </xdr:cNvPr>
        <xdr:cNvSpPr/>
      </xdr:nvSpPr>
      <xdr:spPr>
        <a:xfrm>
          <a:off x="6313714" y="952500"/>
          <a:ext cx="1360714" cy="1034143"/>
        </a:xfrm>
        <a:prstGeom prst="roundRect">
          <a:avLst>
            <a:gd name="adj" fmla="val 10088"/>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598714</xdr:colOff>
      <xdr:row>5</xdr:row>
      <xdr:rowOff>0</xdr:rowOff>
    </xdr:from>
    <xdr:to>
      <xdr:col>15</xdr:col>
      <xdr:colOff>122464</xdr:colOff>
      <xdr:row>10</xdr:row>
      <xdr:rowOff>81643</xdr:rowOff>
    </xdr:to>
    <xdr:sp macro="" textlink="">
      <xdr:nvSpPr>
        <xdr:cNvPr id="8" name="Rectangle: Rounded Corners 7">
          <a:extLst>
            <a:ext uri="{FF2B5EF4-FFF2-40B4-BE49-F238E27FC236}">
              <a16:creationId xmlns:a16="http://schemas.microsoft.com/office/drawing/2014/main" id="{256F83D8-4516-FB3F-AF2E-D7972D81D158}"/>
            </a:ext>
          </a:extLst>
        </xdr:cNvPr>
        <xdr:cNvSpPr/>
      </xdr:nvSpPr>
      <xdr:spPr>
        <a:xfrm>
          <a:off x="7946571" y="952500"/>
          <a:ext cx="1360714" cy="1034143"/>
        </a:xfrm>
        <a:prstGeom prst="roundRect">
          <a:avLst>
            <a:gd name="adj" fmla="val 10088"/>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421822</xdr:colOff>
      <xdr:row>4</xdr:row>
      <xdr:rowOff>176892</xdr:rowOff>
    </xdr:from>
    <xdr:to>
      <xdr:col>17</xdr:col>
      <xdr:colOff>557893</xdr:colOff>
      <xdr:row>10</xdr:row>
      <xdr:rowOff>68035</xdr:rowOff>
    </xdr:to>
    <xdr:sp macro="" textlink="">
      <xdr:nvSpPr>
        <xdr:cNvPr id="9" name="Rectangle: Rounded Corners 8">
          <a:extLst>
            <a:ext uri="{FF2B5EF4-FFF2-40B4-BE49-F238E27FC236}">
              <a16:creationId xmlns:a16="http://schemas.microsoft.com/office/drawing/2014/main" id="{70D8D57A-B9D6-A72C-82E6-010F8663223C}"/>
            </a:ext>
          </a:extLst>
        </xdr:cNvPr>
        <xdr:cNvSpPr/>
      </xdr:nvSpPr>
      <xdr:spPr>
        <a:xfrm>
          <a:off x="9538608" y="902606"/>
          <a:ext cx="1351642" cy="979715"/>
        </a:xfrm>
        <a:prstGeom prst="roundRect">
          <a:avLst>
            <a:gd name="adj" fmla="val 10088"/>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571500</xdr:colOff>
      <xdr:row>11</xdr:row>
      <xdr:rowOff>54427</xdr:rowOff>
    </xdr:from>
    <xdr:to>
      <xdr:col>9</xdr:col>
      <xdr:colOff>27214</xdr:colOff>
      <xdr:row>28</xdr:row>
      <xdr:rowOff>136070</xdr:rowOff>
    </xdr:to>
    <xdr:sp macro="" textlink="">
      <xdr:nvSpPr>
        <xdr:cNvPr id="10" name="Rectangle: Rounded Corners 9">
          <a:extLst>
            <a:ext uri="{FF2B5EF4-FFF2-40B4-BE49-F238E27FC236}">
              <a16:creationId xmlns:a16="http://schemas.microsoft.com/office/drawing/2014/main" id="{E9708723-1808-C1BF-5F0C-29B30173482B}"/>
            </a:ext>
          </a:extLst>
        </xdr:cNvPr>
        <xdr:cNvSpPr/>
      </xdr:nvSpPr>
      <xdr:spPr>
        <a:xfrm>
          <a:off x="3020786" y="2149927"/>
          <a:ext cx="2517321" cy="3320143"/>
        </a:xfrm>
        <a:prstGeom prst="roundRect">
          <a:avLst>
            <a:gd name="adj" fmla="val 124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136072</xdr:colOff>
      <xdr:row>11</xdr:row>
      <xdr:rowOff>54427</xdr:rowOff>
    </xdr:from>
    <xdr:to>
      <xdr:col>13</xdr:col>
      <xdr:colOff>489857</xdr:colOff>
      <xdr:row>28</xdr:row>
      <xdr:rowOff>136070</xdr:rowOff>
    </xdr:to>
    <xdr:sp macro="" textlink="">
      <xdr:nvSpPr>
        <xdr:cNvPr id="11" name="Rectangle: Rounded Corners 10">
          <a:extLst>
            <a:ext uri="{FF2B5EF4-FFF2-40B4-BE49-F238E27FC236}">
              <a16:creationId xmlns:a16="http://schemas.microsoft.com/office/drawing/2014/main" id="{A0B4924C-A9AF-921E-4D9C-692F4C5F95F7}"/>
            </a:ext>
          </a:extLst>
        </xdr:cNvPr>
        <xdr:cNvSpPr/>
      </xdr:nvSpPr>
      <xdr:spPr>
        <a:xfrm>
          <a:off x="5646965" y="2149927"/>
          <a:ext cx="2803071" cy="3320143"/>
        </a:xfrm>
        <a:prstGeom prst="roundRect">
          <a:avLst>
            <a:gd name="adj" fmla="val 124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0</xdr:colOff>
      <xdr:row>11</xdr:row>
      <xdr:rowOff>40820</xdr:rowOff>
    </xdr:from>
    <xdr:to>
      <xdr:col>18</xdr:col>
      <xdr:colOff>190501</xdr:colOff>
      <xdr:row>28</xdr:row>
      <xdr:rowOff>122463</xdr:rowOff>
    </xdr:to>
    <xdr:sp macro="" textlink="">
      <xdr:nvSpPr>
        <xdr:cNvPr id="12" name="Rectangle: Rounded Corners 11">
          <a:extLst>
            <a:ext uri="{FF2B5EF4-FFF2-40B4-BE49-F238E27FC236}">
              <a16:creationId xmlns:a16="http://schemas.microsoft.com/office/drawing/2014/main" id="{7F4E5597-BD21-9A5D-B3F3-FB3EEF11FF35}"/>
            </a:ext>
          </a:extLst>
        </xdr:cNvPr>
        <xdr:cNvSpPr/>
      </xdr:nvSpPr>
      <xdr:spPr>
        <a:xfrm>
          <a:off x="8572500" y="2136320"/>
          <a:ext cx="2639787" cy="3320143"/>
        </a:xfrm>
        <a:prstGeom prst="roundRect">
          <a:avLst>
            <a:gd name="adj" fmla="val 124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xdr:colOff>
      <xdr:row>8</xdr:row>
      <xdr:rowOff>54430</xdr:rowOff>
    </xdr:from>
    <xdr:to>
      <xdr:col>6</xdr:col>
      <xdr:colOff>449036</xdr:colOff>
      <xdr:row>9</xdr:row>
      <xdr:rowOff>163286</xdr:rowOff>
    </xdr:to>
    <xdr:sp macro="" textlink="yoyr">
      <xdr:nvSpPr>
        <xdr:cNvPr id="13" name="Rectangle: Rounded Corners 12">
          <a:extLst>
            <a:ext uri="{FF2B5EF4-FFF2-40B4-BE49-F238E27FC236}">
              <a16:creationId xmlns:a16="http://schemas.microsoft.com/office/drawing/2014/main" id="{772160FA-5A43-E473-3B16-857B4EEC31AF}"/>
            </a:ext>
          </a:extLst>
        </xdr:cNvPr>
        <xdr:cNvSpPr/>
      </xdr:nvSpPr>
      <xdr:spPr>
        <a:xfrm>
          <a:off x="3279321" y="1578430"/>
          <a:ext cx="843644" cy="299356"/>
        </a:xfrm>
        <a:prstGeom prst="roundRect">
          <a:avLst>
            <a:gd name="adj" fmla="val 1008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141E53-CD7A-4696-A7D2-BA6251160C92}" type="TxLink">
            <a:rPr lang="en-US" sz="1200" b="0" i="0" u="none" strike="noStrike">
              <a:solidFill>
                <a:srgbClr val="00B050"/>
              </a:solidFill>
              <a:latin typeface="Calibri"/>
              <a:cs typeface="Calibri"/>
            </a:rPr>
            <a:pPr algn="l"/>
            <a:t>▲2%YoY</a:t>
          </a:fld>
          <a:endParaRPr lang="en-US" sz="1200"/>
        </a:p>
      </xdr:txBody>
    </xdr:sp>
    <xdr:clientData/>
  </xdr:twoCellAnchor>
  <xdr:twoCellAnchor>
    <xdr:from>
      <xdr:col>8</xdr:col>
      <xdr:colOff>27215</xdr:colOff>
      <xdr:row>8</xdr:row>
      <xdr:rowOff>54430</xdr:rowOff>
    </xdr:from>
    <xdr:to>
      <xdr:col>9</xdr:col>
      <xdr:colOff>258537</xdr:colOff>
      <xdr:row>9</xdr:row>
      <xdr:rowOff>163286</xdr:rowOff>
    </xdr:to>
    <xdr:sp macro="" textlink="yoyp">
      <xdr:nvSpPr>
        <xdr:cNvPr id="14" name="Rectangle: Rounded Corners 13">
          <a:extLst>
            <a:ext uri="{FF2B5EF4-FFF2-40B4-BE49-F238E27FC236}">
              <a16:creationId xmlns:a16="http://schemas.microsoft.com/office/drawing/2014/main" id="{E398E5B5-FBBC-6F63-7DFF-476E0DD4D105}"/>
            </a:ext>
          </a:extLst>
        </xdr:cNvPr>
        <xdr:cNvSpPr/>
      </xdr:nvSpPr>
      <xdr:spPr>
        <a:xfrm>
          <a:off x="4925786" y="1578430"/>
          <a:ext cx="843644" cy="299356"/>
        </a:xfrm>
        <a:prstGeom prst="roundRect">
          <a:avLst>
            <a:gd name="adj" fmla="val 1008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1E6BB4B-9559-43C5-8E6E-6D5149F6CBED}" type="TxLink">
            <a:rPr lang="en-US" sz="1200" b="0" i="0" u="none" strike="noStrike">
              <a:solidFill>
                <a:srgbClr val="C00000"/>
              </a:solidFill>
              <a:latin typeface="Calibri"/>
              <a:cs typeface="Calibri"/>
            </a:rPr>
            <a:pPr algn="l"/>
            <a:t>▼1%YoY</a:t>
          </a:fld>
          <a:endParaRPr lang="en-US" sz="1200"/>
        </a:p>
      </xdr:txBody>
    </xdr:sp>
    <xdr:clientData/>
  </xdr:twoCellAnchor>
  <xdr:twoCellAnchor>
    <xdr:from>
      <xdr:col>10</xdr:col>
      <xdr:colOff>476250</xdr:colOff>
      <xdr:row>8</xdr:row>
      <xdr:rowOff>54430</xdr:rowOff>
    </xdr:from>
    <xdr:to>
      <xdr:col>12</xdr:col>
      <xdr:colOff>95251</xdr:colOff>
      <xdr:row>9</xdr:row>
      <xdr:rowOff>163286</xdr:rowOff>
    </xdr:to>
    <xdr:sp macro="" textlink="yoyap">
      <xdr:nvSpPr>
        <xdr:cNvPr id="15" name="Rectangle: Rounded Corners 14">
          <a:extLst>
            <a:ext uri="{FF2B5EF4-FFF2-40B4-BE49-F238E27FC236}">
              <a16:creationId xmlns:a16="http://schemas.microsoft.com/office/drawing/2014/main" id="{379937EC-CC79-3F56-BD12-03D1D502ACE3}"/>
            </a:ext>
          </a:extLst>
        </xdr:cNvPr>
        <xdr:cNvSpPr/>
      </xdr:nvSpPr>
      <xdr:spPr>
        <a:xfrm>
          <a:off x="6599464" y="1578430"/>
          <a:ext cx="843644" cy="299356"/>
        </a:xfrm>
        <a:prstGeom prst="roundRect">
          <a:avLst>
            <a:gd name="adj" fmla="val 1008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4A29A35-D632-40C4-BE97-6C6DC510A01C}" type="TxLink">
            <a:rPr lang="en-US" sz="1200" b="0" i="0" u="none" strike="noStrike">
              <a:solidFill>
                <a:srgbClr val="00B050"/>
              </a:solidFill>
              <a:latin typeface="Calibri"/>
              <a:cs typeface="Calibri"/>
            </a:rPr>
            <a:pPr algn="l"/>
            <a:t>▲1%YoY</a:t>
          </a:fld>
          <a:endParaRPr lang="en-US" sz="1200"/>
        </a:p>
      </xdr:txBody>
    </xdr:sp>
    <xdr:clientData/>
  </xdr:twoCellAnchor>
  <xdr:twoCellAnchor>
    <xdr:from>
      <xdr:col>13</xdr:col>
      <xdr:colOff>244928</xdr:colOff>
      <xdr:row>8</xdr:row>
      <xdr:rowOff>40823</xdr:rowOff>
    </xdr:from>
    <xdr:to>
      <xdr:col>14</xdr:col>
      <xdr:colOff>476251</xdr:colOff>
      <xdr:row>9</xdr:row>
      <xdr:rowOff>149679</xdr:rowOff>
    </xdr:to>
    <xdr:sp macro="" textlink="yoyus">
      <xdr:nvSpPr>
        <xdr:cNvPr id="16" name="Rectangle: Rounded Corners 15">
          <a:extLst>
            <a:ext uri="{FF2B5EF4-FFF2-40B4-BE49-F238E27FC236}">
              <a16:creationId xmlns:a16="http://schemas.microsoft.com/office/drawing/2014/main" id="{3A25AEB8-D590-D734-BE1A-6CD33A9F76C4}"/>
            </a:ext>
          </a:extLst>
        </xdr:cNvPr>
        <xdr:cNvSpPr/>
      </xdr:nvSpPr>
      <xdr:spPr>
        <a:xfrm>
          <a:off x="8205107" y="1564823"/>
          <a:ext cx="843644" cy="299356"/>
        </a:xfrm>
        <a:prstGeom prst="roundRect">
          <a:avLst>
            <a:gd name="adj" fmla="val 1008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F447991-3384-45E2-BAEF-D67F90FFC6B5}" type="TxLink">
            <a:rPr lang="en-US" sz="1200" b="0" i="0" u="none" strike="noStrike">
              <a:solidFill>
                <a:srgbClr val="00B050"/>
              </a:solidFill>
              <a:latin typeface="Calibri"/>
              <a:cs typeface="Calibri"/>
            </a:rPr>
            <a:pPr algn="l"/>
            <a:t>▲2%YoY</a:t>
          </a:fld>
          <a:endParaRPr lang="en-US" sz="1200"/>
        </a:p>
      </xdr:txBody>
    </xdr:sp>
    <xdr:clientData/>
  </xdr:twoCellAnchor>
  <xdr:twoCellAnchor>
    <xdr:from>
      <xdr:col>16</xdr:col>
      <xdr:colOff>68035</xdr:colOff>
      <xdr:row>8</xdr:row>
      <xdr:rowOff>13608</xdr:rowOff>
    </xdr:from>
    <xdr:to>
      <xdr:col>17</xdr:col>
      <xdr:colOff>299358</xdr:colOff>
      <xdr:row>9</xdr:row>
      <xdr:rowOff>122464</xdr:rowOff>
    </xdr:to>
    <xdr:sp macro="" textlink="yoym">
      <xdr:nvSpPr>
        <xdr:cNvPr id="17" name="Rectangle: Rounded Corners 16">
          <a:extLst>
            <a:ext uri="{FF2B5EF4-FFF2-40B4-BE49-F238E27FC236}">
              <a16:creationId xmlns:a16="http://schemas.microsoft.com/office/drawing/2014/main" id="{C2EC3062-10C4-D18D-9876-EB00ECD188E4}"/>
            </a:ext>
          </a:extLst>
        </xdr:cNvPr>
        <xdr:cNvSpPr/>
      </xdr:nvSpPr>
      <xdr:spPr>
        <a:xfrm>
          <a:off x="9865178" y="1537608"/>
          <a:ext cx="843644" cy="299356"/>
        </a:xfrm>
        <a:prstGeom prst="roundRect">
          <a:avLst>
            <a:gd name="adj" fmla="val 1008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A71C577-774D-4DCC-8B97-38E422E53DAB}" type="TxLink">
            <a:rPr lang="en-US" sz="1200" b="0" i="0" u="none" strike="noStrike">
              <a:solidFill>
                <a:srgbClr val="C00000"/>
              </a:solidFill>
              <a:latin typeface="Calibri"/>
              <a:cs typeface="Calibri"/>
            </a:rPr>
            <a:pPr algn="l"/>
            <a:t>▼2%YoY</a:t>
          </a:fld>
          <a:endParaRPr lang="en-US" sz="1200"/>
        </a:p>
      </xdr:txBody>
    </xdr:sp>
    <xdr:clientData/>
  </xdr:twoCellAnchor>
  <xdr:oneCellAnchor>
    <xdr:from>
      <xdr:col>5</xdr:col>
      <xdr:colOff>149679</xdr:colOff>
      <xdr:row>6</xdr:row>
      <xdr:rowOff>27214</xdr:rowOff>
    </xdr:from>
    <xdr:ext cx="970137" cy="382733"/>
    <xdr:sp macro="" textlink="rev">
      <xdr:nvSpPr>
        <xdr:cNvPr id="18" name="TextBox 17">
          <a:extLst>
            <a:ext uri="{FF2B5EF4-FFF2-40B4-BE49-F238E27FC236}">
              <a16:creationId xmlns:a16="http://schemas.microsoft.com/office/drawing/2014/main" id="{231ABA46-3BBD-A3CF-F11E-E9BDF9649932}"/>
            </a:ext>
          </a:extLst>
        </xdr:cNvPr>
        <xdr:cNvSpPr txBox="1"/>
      </xdr:nvSpPr>
      <xdr:spPr>
        <a:xfrm>
          <a:off x="3211286" y="1170214"/>
          <a:ext cx="970137" cy="382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A332184-5D8D-45DB-B998-6369B65ED743}" type="TxLink">
            <a:rPr lang="en-US" sz="2000" b="1" i="0" u="none" strike="noStrike">
              <a:solidFill>
                <a:schemeClr val="bg1">
                  <a:lumMod val="85000"/>
                </a:schemeClr>
              </a:solidFill>
              <a:latin typeface="Bell MT" panose="02020503060305020303" pitchFamily="18" charset="0"/>
              <a:ea typeface="Calibri"/>
              <a:cs typeface="Calibri"/>
            </a:rPr>
            <a:pPr/>
            <a:t>$550M</a:t>
          </a:fld>
          <a:endParaRPr lang="en-US" sz="2000" b="1">
            <a:solidFill>
              <a:schemeClr val="bg1">
                <a:lumMod val="85000"/>
              </a:schemeClr>
            </a:solidFill>
            <a:latin typeface="Bell MT" panose="02020503060305020303" pitchFamily="18" charset="0"/>
          </a:endParaRPr>
        </a:p>
      </xdr:txBody>
    </xdr:sp>
    <xdr:clientData/>
  </xdr:oneCellAnchor>
  <xdr:oneCellAnchor>
    <xdr:from>
      <xdr:col>5</xdr:col>
      <xdr:colOff>136073</xdr:colOff>
      <xdr:row>5</xdr:row>
      <xdr:rowOff>27216</xdr:rowOff>
    </xdr:from>
    <xdr:ext cx="1099660" cy="276871"/>
    <xdr:sp macro="" textlink="">
      <xdr:nvSpPr>
        <xdr:cNvPr id="19" name="TextBox 18">
          <a:extLst>
            <a:ext uri="{FF2B5EF4-FFF2-40B4-BE49-F238E27FC236}">
              <a16:creationId xmlns:a16="http://schemas.microsoft.com/office/drawing/2014/main" id="{FAEEBE27-73D3-7CA2-17EC-94BF25D9DA1C}"/>
            </a:ext>
          </a:extLst>
        </xdr:cNvPr>
        <xdr:cNvSpPr txBox="1"/>
      </xdr:nvSpPr>
      <xdr:spPr>
        <a:xfrm>
          <a:off x="3197680" y="979716"/>
          <a:ext cx="1099660" cy="276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lumMod val="85000"/>
                </a:schemeClr>
              </a:solidFill>
              <a:latin typeface="Bodoni MT" panose="02070603080606020203" pitchFamily="18" charset="0"/>
            </a:rPr>
            <a:t>Total Revenue</a:t>
          </a:r>
        </a:p>
      </xdr:txBody>
    </xdr:sp>
    <xdr:clientData/>
  </xdr:oneCellAnchor>
  <xdr:oneCellAnchor>
    <xdr:from>
      <xdr:col>8</xdr:col>
      <xdr:colOff>97972</xdr:colOff>
      <xdr:row>6</xdr:row>
      <xdr:rowOff>16328</xdr:rowOff>
    </xdr:from>
    <xdr:ext cx="697627" cy="382733"/>
    <xdr:sp macro="" textlink="pro">
      <xdr:nvSpPr>
        <xdr:cNvPr id="20" name="TextBox 19">
          <a:extLst>
            <a:ext uri="{FF2B5EF4-FFF2-40B4-BE49-F238E27FC236}">
              <a16:creationId xmlns:a16="http://schemas.microsoft.com/office/drawing/2014/main" id="{085CB7F8-BD6A-4B34-9088-40D9640CE491}"/>
            </a:ext>
          </a:extLst>
        </xdr:cNvPr>
        <xdr:cNvSpPr txBox="1"/>
      </xdr:nvSpPr>
      <xdr:spPr>
        <a:xfrm>
          <a:off x="4996543" y="1159328"/>
          <a:ext cx="697627" cy="382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08E995D-DB26-4616-A61C-CCB68FE2E3FE}" type="TxLink">
            <a:rPr lang="en-US" sz="2000" b="1" i="0" u="none" strike="noStrike">
              <a:solidFill>
                <a:schemeClr val="bg1">
                  <a:lumMod val="85000"/>
                </a:schemeClr>
              </a:solidFill>
              <a:latin typeface="Bell MT" panose="02020503060305020303" pitchFamily="18" charset="0"/>
              <a:ea typeface="Calibri"/>
              <a:cs typeface="Calibri"/>
            </a:rPr>
            <a:pPr/>
            <a:t>90M</a:t>
          </a:fld>
          <a:endParaRPr lang="en-US" sz="2000" b="1">
            <a:solidFill>
              <a:schemeClr val="bg1">
                <a:lumMod val="85000"/>
              </a:schemeClr>
            </a:solidFill>
            <a:latin typeface="Bell MT" panose="02020503060305020303" pitchFamily="18" charset="0"/>
          </a:endParaRPr>
        </a:p>
      </xdr:txBody>
    </xdr:sp>
    <xdr:clientData/>
  </xdr:oneCellAnchor>
  <xdr:oneCellAnchor>
    <xdr:from>
      <xdr:col>7</xdr:col>
      <xdr:colOff>601437</xdr:colOff>
      <xdr:row>5</xdr:row>
      <xdr:rowOff>29937</xdr:rowOff>
    </xdr:from>
    <xdr:ext cx="921984" cy="276871"/>
    <xdr:sp macro="" textlink="">
      <xdr:nvSpPr>
        <xdr:cNvPr id="21" name="TextBox 20">
          <a:extLst>
            <a:ext uri="{FF2B5EF4-FFF2-40B4-BE49-F238E27FC236}">
              <a16:creationId xmlns:a16="http://schemas.microsoft.com/office/drawing/2014/main" id="{4BCFB99F-B05C-46CB-8346-83D3CAED56AB}"/>
            </a:ext>
          </a:extLst>
        </xdr:cNvPr>
        <xdr:cNvSpPr txBox="1"/>
      </xdr:nvSpPr>
      <xdr:spPr>
        <a:xfrm>
          <a:off x="4887687" y="982437"/>
          <a:ext cx="921984" cy="276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lumMod val="85000"/>
                </a:schemeClr>
              </a:solidFill>
              <a:latin typeface="Bodoni MT" panose="02070603080606020203" pitchFamily="18" charset="0"/>
            </a:rPr>
            <a:t>Total Profit</a:t>
          </a:r>
        </a:p>
      </xdr:txBody>
    </xdr:sp>
    <xdr:clientData/>
  </xdr:oneCellAnchor>
  <xdr:oneCellAnchor>
    <xdr:from>
      <xdr:col>10</xdr:col>
      <xdr:colOff>451759</xdr:colOff>
      <xdr:row>5</xdr:row>
      <xdr:rowOff>43544</xdr:rowOff>
    </xdr:from>
    <xdr:ext cx="799642" cy="276871"/>
    <xdr:sp macro="" textlink="">
      <xdr:nvSpPr>
        <xdr:cNvPr id="22" name="TextBox 21">
          <a:extLst>
            <a:ext uri="{FF2B5EF4-FFF2-40B4-BE49-F238E27FC236}">
              <a16:creationId xmlns:a16="http://schemas.microsoft.com/office/drawing/2014/main" id="{5E63BBF1-7860-4BC3-B940-0C631822292D}"/>
            </a:ext>
          </a:extLst>
        </xdr:cNvPr>
        <xdr:cNvSpPr txBox="1"/>
      </xdr:nvSpPr>
      <xdr:spPr>
        <a:xfrm>
          <a:off x="6574973" y="996044"/>
          <a:ext cx="799642" cy="276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lumMod val="85000"/>
                </a:schemeClr>
              </a:solidFill>
              <a:latin typeface="Bodoni MT" panose="02070603080606020203" pitchFamily="18" charset="0"/>
            </a:rPr>
            <a:t>Avg Price</a:t>
          </a:r>
        </a:p>
      </xdr:txBody>
    </xdr:sp>
    <xdr:clientData/>
  </xdr:oneCellAnchor>
  <xdr:oneCellAnchor>
    <xdr:from>
      <xdr:col>10</xdr:col>
      <xdr:colOff>413657</xdr:colOff>
      <xdr:row>6</xdr:row>
      <xdr:rowOff>19049</xdr:rowOff>
    </xdr:from>
    <xdr:ext cx="927433" cy="382733"/>
    <xdr:sp macro="" textlink="avg">
      <xdr:nvSpPr>
        <xdr:cNvPr id="23" name="TextBox 22">
          <a:extLst>
            <a:ext uri="{FF2B5EF4-FFF2-40B4-BE49-F238E27FC236}">
              <a16:creationId xmlns:a16="http://schemas.microsoft.com/office/drawing/2014/main" id="{FF5DA9D9-3097-4650-8DE1-90AB6A5A543E}"/>
            </a:ext>
          </a:extLst>
        </xdr:cNvPr>
        <xdr:cNvSpPr txBox="1"/>
      </xdr:nvSpPr>
      <xdr:spPr>
        <a:xfrm>
          <a:off x="6536871" y="1162049"/>
          <a:ext cx="927433" cy="382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E944434-DB62-4144-BDD2-A44B90516807}" type="TxLink">
            <a:rPr lang="en-US" sz="2000" b="1" i="0" u="none" strike="noStrike">
              <a:solidFill>
                <a:schemeClr val="bg1">
                  <a:lumMod val="85000"/>
                </a:schemeClr>
              </a:solidFill>
              <a:latin typeface="Bell MT" panose="02020503060305020303" pitchFamily="18" charset="0"/>
              <a:ea typeface="Calibri"/>
              <a:cs typeface="Calibri"/>
            </a:rPr>
            <a:pPr/>
            <a:t>299.32</a:t>
          </a:fld>
          <a:endParaRPr lang="en-US" sz="2000" b="1">
            <a:solidFill>
              <a:schemeClr val="bg1">
                <a:lumMod val="85000"/>
              </a:schemeClr>
            </a:solidFill>
            <a:latin typeface="Bell MT" panose="02020503060305020303" pitchFamily="18" charset="0"/>
          </a:endParaRPr>
        </a:p>
      </xdr:txBody>
    </xdr:sp>
    <xdr:clientData/>
  </xdr:oneCellAnchor>
  <xdr:oneCellAnchor>
    <xdr:from>
      <xdr:col>13</xdr:col>
      <xdr:colOff>247650</xdr:colOff>
      <xdr:row>5</xdr:row>
      <xdr:rowOff>57151</xdr:rowOff>
    </xdr:from>
    <xdr:ext cx="810478" cy="276871"/>
    <xdr:sp macro="" textlink="">
      <xdr:nvSpPr>
        <xdr:cNvPr id="24" name="TextBox 23">
          <a:extLst>
            <a:ext uri="{FF2B5EF4-FFF2-40B4-BE49-F238E27FC236}">
              <a16:creationId xmlns:a16="http://schemas.microsoft.com/office/drawing/2014/main" id="{9DD14AE2-ECF1-4236-43D4-CBD9CE3BCF9A}"/>
            </a:ext>
          </a:extLst>
        </xdr:cNvPr>
        <xdr:cNvSpPr txBox="1"/>
      </xdr:nvSpPr>
      <xdr:spPr>
        <a:xfrm>
          <a:off x="8207829" y="1009651"/>
          <a:ext cx="810478" cy="276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lumMod val="85000"/>
                </a:schemeClr>
              </a:solidFill>
              <a:latin typeface="Bodoni MT" panose="02070603080606020203" pitchFamily="18" charset="0"/>
            </a:rPr>
            <a:t>Unit Sold </a:t>
          </a:r>
        </a:p>
      </xdr:txBody>
    </xdr:sp>
    <xdr:clientData/>
  </xdr:oneCellAnchor>
  <xdr:oneCellAnchor>
    <xdr:from>
      <xdr:col>13</xdr:col>
      <xdr:colOff>318405</xdr:colOff>
      <xdr:row>6</xdr:row>
      <xdr:rowOff>19049</xdr:rowOff>
    </xdr:from>
    <xdr:ext cx="561372" cy="382733"/>
    <xdr:sp macro="" textlink="uni">
      <xdr:nvSpPr>
        <xdr:cNvPr id="25" name="TextBox 24">
          <a:extLst>
            <a:ext uri="{FF2B5EF4-FFF2-40B4-BE49-F238E27FC236}">
              <a16:creationId xmlns:a16="http://schemas.microsoft.com/office/drawing/2014/main" id="{5288A93E-7F6E-F4C9-BF5B-D72570F012BA}"/>
            </a:ext>
          </a:extLst>
        </xdr:cNvPr>
        <xdr:cNvSpPr txBox="1"/>
      </xdr:nvSpPr>
      <xdr:spPr>
        <a:xfrm>
          <a:off x="8278584" y="1162049"/>
          <a:ext cx="561372" cy="382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E43A6A3-2705-4808-8C71-4553BC5CEF33}" type="TxLink">
            <a:rPr lang="en-US" sz="2000" b="1" i="0" u="none" strike="noStrike">
              <a:solidFill>
                <a:schemeClr val="bg1">
                  <a:lumMod val="85000"/>
                </a:schemeClr>
              </a:solidFill>
              <a:latin typeface="Bell MT" panose="02020503060305020303" pitchFamily="18" charset="0"/>
              <a:ea typeface="Calibri"/>
              <a:cs typeface="Calibri"/>
            </a:rPr>
            <a:pPr/>
            <a:t>2M</a:t>
          </a:fld>
          <a:endParaRPr lang="en-US" sz="2000" b="1">
            <a:solidFill>
              <a:schemeClr val="bg1">
                <a:lumMod val="85000"/>
              </a:schemeClr>
            </a:solidFill>
            <a:latin typeface="Bell MT" panose="02020503060305020303" pitchFamily="18" charset="0"/>
          </a:endParaRPr>
        </a:p>
      </xdr:txBody>
    </xdr:sp>
    <xdr:clientData/>
  </xdr:oneCellAnchor>
  <xdr:oneCellAnchor>
    <xdr:from>
      <xdr:col>16</xdr:col>
      <xdr:colOff>159657</xdr:colOff>
      <xdr:row>5</xdr:row>
      <xdr:rowOff>173265</xdr:rowOff>
    </xdr:from>
    <xdr:ext cx="668196" cy="382733"/>
    <xdr:sp macro="" textlink="mar">
      <xdr:nvSpPr>
        <xdr:cNvPr id="26" name="TextBox 25">
          <a:extLst>
            <a:ext uri="{FF2B5EF4-FFF2-40B4-BE49-F238E27FC236}">
              <a16:creationId xmlns:a16="http://schemas.microsoft.com/office/drawing/2014/main" id="{D98E7ABE-43A7-4271-BC3D-4293E0D937A0}"/>
            </a:ext>
          </a:extLst>
        </xdr:cNvPr>
        <xdr:cNvSpPr txBox="1"/>
      </xdr:nvSpPr>
      <xdr:spPr>
        <a:xfrm>
          <a:off x="9884228" y="1080408"/>
          <a:ext cx="668196" cy="382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3DE925C2-CA8E-46BB-8186-F41F3B0E282E}" type="TxLink">
            <a:rPr lang="en-US" sz="2000" b="1" i="0" u="none" strike="noStrike">
              <a:solidFill>
                <a:schemeClr val="bg1">
                  <a:lumMod val="85000"/>
                </a:schemeClr>
              </a:solidFill>
              <a:latin typeface="Bell MT" panose="02020503060305020303" pitchFamily="18" charset="0"/>
              <a:ea typeface="Calibri"/>
              <a:cs typeface="Calibri"/>
            </a:rPr>
            <a:pPr marL="0" indent="0"/>
            <a:t>16%</a:t>
          </a:fld>
          <a:endParaRPr lang="en-US" sz="2000" b="1" i="0" u="none" strike="noStrike">
            <a:solidFill>
              <a:schemeClr val="bg1">
                <a:lumMod val="85000"/>
              </a:schemeClr>
            </a:solidFill>
            <a:latin typeface="Bell MT" panose="02020503060305020303" pitchFamily="18" charset="0"/>
            <a:ea typeface="Calibri"/>
            <a:cs typeface="Calibri"/>
          </a:endParaRPr>
        </a:p>
      </xdr:txBody>
    </xdr:sp>
    <xdr:clientData/>
  </xdr:oneCellAnchor>
  <xdr:oneCellAnchor>
    <xdr:from>
      <xdr:col>15</xdr:col>
      <xdr:colOff>542472</xdr:colOff>
      <xdr:row>5</xdr:row>
      <xdr:rowOff>66223</xdr:rowOff>
    </xdr:from>
    <xdr:ext cx="1189621" cy="276871"/>
    <xdr:sp macro="" textlink="">
      <xdr:nvSpPr>
        <xdr:cNvPr id="27" name="TextBox 26">
          <a:extLst>
            <a:ext uri="{FF2B5EF4-FFF2-40B4-BE49-F238E27FC236}">
              <a16:creationId xmlns:a16="http://schemas.microsoft.com/office/drawing/2014/main" id="{E395BE24-B422-4DA6-8D6B-EF0604CB6EFA}"/>
            </a:ext>
          </a:extLst>
        </xdr:cNvPr>
        <xdr:cNvSpPr txBox="1"/>
      </xdr:nvSpPr>
      <xdr:spPr>
        <a:xfrm>
          <a:off x="9659258" y="973366"/>
          <a:ext cx="1189621" cy="276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lumMod val="85000"/>
                </a:schemeClr>
              </a:solidFill>
              <a:latin typeface="Bodoni MT" panose="02070603080606020203" pitchFamily="18" charset="0"/>
            </a:rPr>
            <a:t>Profit</a:t>
          </a:r>
          <a:r>
            <a:rPr lang="en-US" sz="1200" b="1" baseline="0">
              <a:solidFill>
                <a:schemeClr val="bg1">
                  <a:lumMod val="85000"/>
                </a:schemeClr>
              </a:solidFill>
              <a:latin typeface="Bodoni MT" panose="02070603080606020203" pitchFamily="18" charset="0"/>
            </a:rPr>
            <a:t> Margin%</a:t>
          </a:r>
          <a:endParaRPr lang="en-US" sz="1200" b="1">
            <a:solidFill>
              <a:schemeClr val="bg1">
                <a:lumMod val="85000"/>
              </a:schemeClr>
            </a:solidFill>
            <a:latin typeface="Bodoni MT" panose="02070603080606020203" pitchFamily="18" charset="0"/>
          </a:endParaRPr>
        </a:p>
      </xdr:txBody>
    </xdr:sp>
    <xdr:clientData/>
  </xdr:oneCellAnchor>
  <xdr:twoCellAnchor>
    <xdr:from>
      <xdr:col>13</xdr:col>
      <xdr:colOff>580573</xdr:colOff>
      <xdr:row>11</xdr:row>
      <xdr:rowOff>9072</xdr:rowOff>
    </xdr:from>
    <xdr:to>
      <xdr:col>18</xdr:col>
      <xdr:colOff>208643</xdr:colOff>
      <xdr:row>28</xdr:row>
      <xdr:rowOff>117929</xdr:rowOff>
    </xdr:to>
    <xdr:graphicFrame macro="">
      <xdr:nvGraphicFramePr>
        <xdr:cNvPr id="28" name="Chart 27">
          <a:extLst>
            <a:ext uri="{FF2B5EF4-FFF2-40B4-BE49-F238E27FC236}">
              <a16:creationId xmlns:a16="http://schemas.microsoft.com/office/drawing/2014/main" id="{46209780-B80F-43B7-AB57-2C81C5B0F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154214</xdr:colOff>
      <xdr:row>10</xdr:row>
      <xdr:rowOff>154214</xdr:rowOff>
    </xdr:from>
    <xdr:to>
      <xdr:col>13</xdr:col>
      <xdr:colOff>471714</xdr:colOff>
      <xdr:row>18</xdr:row>
      <xdr:rowOff>163282</xdr:rowOff>
    </xdr:to>
    <xdr:graphicFrame macro="">
      <xdr:nvGraphicFramePr>
        <xdr:cNvPr id="29" name="Chart 28">
          <a:extLst>
            <a:ext uri="{FF2B5EF4-FFF2-40B4-BE49-F238E27FC236}">
              <a16:creationId xmlns:a16="http://schemas.microsoft.com/office/drawing/2014/main" id="{9AC0894E-7792-436E-884E-46A751687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63499</xdr:colOff>
      <xdr:row>18</xdr:row>
      <xdr:rowOff>154216</xdr:rowOff>
    </xdr:from>
    <xdr:to>
      <xdr:col>13</xdr:col>
      <xdr:colOff>589642</xdr:colOff>
      <xdr:row>29</xdr:row>
      <xdr:rowOff>1</xdr:rowOff>
    </xdr:to>
    <xdr:graphicFrame macro="">
      <xdr:nvGraphicFramePr>
        <xdr:cNvPr id="30" name="Chart 29">
          <a:extLst>
            <a:ext uri="{FF2B5EF4-FFF2-40B4-BE49-F238E27FC236}">
              <a16:creationId xmlns:a16="http://schemas.microsoft.com/office/drawing/2014/main" id="{F4D1A49F-63A0-403F-8737-844487A32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589643</xdr:colOff>
      <xdr:row>11</xdr:row>
      <xdr:rowOff>90715</xdr:rowOff>
    </xdr:from>
    <xdr:to>
      <xdr:col>8</xdr:col>
      <xdr:colOff>598714</xdr:colOff>
      <xdr:row>28</xdr:row>
      <xdr:rowOff>63500</xdr:rowOff>
    </xdr:to>
    <xdr:graphicFrame macro="">
      <xdr:nvGraphicFramePr>
        <xdr:cNvPr id="31" name="Chart 30">
          <a:extLst>
            <a:ext uri="{FF2B5EF4-FFF2-40B4-BE49-F238E27FC236}">
              <a16:creationId xmlns:a16="http://schemas.microsoft.com/office/drawing/2014/main" id="{01E4E1BA-6FF1-461D-9B2D-3C115B372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126999</xdr:colOff>
      <xdr:row>18</xdr:row>
      <xdr:rowOff>181062</xdr:rowOff>
    </xdr:from>
    <xdr:to>
      <xdr:col>13</xdr:col>
      <xdr:colOff>480786</xdr:colOff>
      <xdr:row>19</xdr:row>
      <xdr:rowOff>45352</xdr:rowOff>
    </xdr:to>
    <xdr:sp macro="" textlink="">
      <xdr:nvSpPr>
        <xdr:cNvPr id="34" name="Rectangle 33">
          <a:extLst>
            <a:ext uri="{FF2B5EF4-FFF2-40B4-BE49-F238E27FC236}">
              <a16:creationId xmlns:a16="http://schemas.microsoft.com/office/drawing/2014/main" id="{21BBC917-3C35-4E35-A059-4D0BE9FF0C52}"/>
            </a:ext>
          </a:extLst>
        </xdr:cNvPr>
        <xdr:cNvSpPr/>
      </xdr:nvSpPr>
      <xdr:spPr>
        <a:xfrm flipV="1">
          <a:off x="5597070" y="3446776"/>
          <a:ext cx="2784930" cy="45719"/>
        </a:xfrm>
        <a:prstGeom prst="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3</xdr:col>
      <xdr:colOff>9071</xdr:colOff>
      <xdr:row>20</xdr:row>
      <xdr:rowOff>63499</xdr:rowOff>
    </xdr:from>
    <xdr:to>
      <xdr:col>4</xdr:col>
      <xdr:colOff>417286</xdr:colOff>
      <xdr:row>29</xdr:row>
      <xdr:rowOff>18142</xdr:rowOff>
    </xdr:to>
    <xdr:pic>
      <xdr:nvPicPr>
        <xdr:cNvPr id="36" name="Picture 35">
          <a:extLst>
            <a:ext uri="{FF2B5EF4-FFF2-40B4-BE49-F238E27FC236}">
              <a16:creationId xmlns:a16="http://schemas.microsoft.com/office/drawing/2014/main" id="{AFCEB918-94DC-4A22-9A78-31187ABCC2B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32428" y="3692070"/>
          <a:ext cx="1016001" cy="1587501"/>
        </a:xfrm>
        <a:prstGeom prst="rect">
          <a:avLst/>
        </a:prstGeom>
      </xdr:spPr>
    </xdr:pic>
    <xdr:clientData/>
  </xdr:twoCellAnchor>
  <xdr:twoCellAnchor editAs="oneCell">
    <xdr:from>
      <xdr:col>3</xdr:col>
      <xdr:colOff>311024</xdr:colOff>
      <xdr:row>6</xdr:row>
      <xdr:rowOff>10680</xdr:rowOff>
    </xdr:from>
    <xdr:to>
      <xdr:col>4</xdr:col>
      <xdr:colOff>338238</xdr:colOff>
      <xdr:row>9</xdr:row>
      <xdr:rowOff>77581</xdr:rowOff>
    </xdr:to>
    <xdr:pic>
      <xdr:nvPicPr>
        <xdr:cNvPr id="38" name="Graphic 37" descr="Home with solid fill">
          <a:hlinkClick xmlns:r="http://schemas.openxmlformats.org/officeDocument/2006/relationships" r:id="rId6"/>
          <a:extLst>
            <a:ext uri="{FF2B5EF4-FFF2-40B4-BE49-F238E27FC236}">
              <a16:creationId xmlns:a16="http://schemas.microsoft.com/office/drawing/2014/main" id="{92634A28-5E30-45A6-B6D1-42791592642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134381" y="1099251"/>
          <a:ext cx="635000" cy="611187"/>
        </a:xfrm>
        <a:prstGeom prst="rect">
          <a:avLst/>
        </a:prstGeom>
      </xdr:spPr>
    </xdr:pic>
    <xdr:clientData/>
  </xdr:twoCellAnchor>
  <xdr:twoCellAnchor editAs="oneCell">
    <xdr:from>
      <xdr:col>3</xdr:col>
      <xdr:colOff>335630</xdr:colOff>
      <xdr:row>11</xdr:row>
      <xdr:rowOff>15689</xdr:rowOff>
    </xdr:from>
    <xdr:to>
      <xdr:col>4</xdr:col>
      <xdr:colOff>331093</xdr:colOff>
      <xdr:row>14</xdr:row>
      <xdr:rowOff>30142</xdr:rowOff>
    </xdr:to>
    <xdr:pic>
      <xdr:nvPicPr>
        <xdr:cNvPr id="39" name="Graphic 38" descr="Lightbulb and gear with solid fill">
          <a:hlinkClick xmlns:r="http://schemas.openxmlformats.org/officeDocument/2006/relationships" r:id="rId9"/>
          <a:extLst>
            <a:ext uri="{FF2B5EF4-FFF2-40B4-BE49-F238E27FC236}">
              <a16:creationId xmlns:a16="http://schemas.microsoft.com/office/drawing/2014/main" id="{A20D8884-2797-435B-A61D-208ED42C432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58987" y="2011403"/>
          <a:ext cx="603249" cy="558739"/>
        </a:xfrm>
        <a:prstGeom prst="rect">
          <a:avLst/>
        </a:prstGeom>
      </xdr:spPr>
    </xdr:pic>
    <xdr:clientData/>
  </xdr:twoCellAnchor>
  <xdr:twoCellAnchor editAs="oneCell">
    <xdr:from>
      <xdr:col>3</xdr:col>
      <xdr:colOff>343737</xdr:colOff>
      <xdr:row>15</xdr:row>
      <xdr:rowOff>149678</xdr:rowOff>
    </xdr:from>
    <xdr:to>
      <xdr:col>4</xdr:col>
      <xdr:colOff>330130</xdr:colOff>
      <xdr:row>18</xdr:row>
      <xdr:rowOff>169298</xdr:rowOff>
    </xdr:to>
    <xdr:pic>
      <xdr:nvPicPr>
        <xdr:cNvPr id="40" name="Graphic 39" descr="Bar graph with upward trend with solid fill">
          <a:hlinkClick xmlns:r="http://schemas.openxmlformats.org/officeDocument/2006/relationships" r:id="rId12"/>
          <a:extLst>
            <a:ext uri="{FF2B5EF4-FFF2-40B4-BE49-F238E27FC236}">
              <a16:creationId xmlns:a16="http://schemas.microsoft.com/office/drawing/2014/main" id="{1B91A721-9479-4B29-BD85-AB3FE56F9CA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167094" y="2871107"/>
          <a:ext cx="594179" cy="563905"/>
        </a:xfrm>
        <a:prstGeom prst="rect">
          <a:avLst/>
        </a:prstGeom>
      </xdr:spPr>
    </xdr:pic>
    <xdr:clientData/>
  </xdr:twoCellAnchor>
  <xdr:twoCellAnchor editAs="oneCell">
    <xdr:from>
      <xdr:col>3</xdr:col>
      <xdr:colOff>335644</xdr:colOff>
      <xdr:row>2</xdr:row>
      <xdr:rowOff>27225</xdr:rowOff>
    </xdr:from>
    <xdr:to>
      <xdr:col>4</xdr:col>
      <xdr:colOff>305525</xdr:colOff>
      <xdr:row>4</xdr:row>
      <xdr:rowOff>72572</xdr:rowOff>
    </xdr:to>
    <xdr:pic>
      <xdr:nvPicPr>
        <xdr:cNvPr id="41" name="Picture 40" descr="6,878 Coca Cola Logo Stock Photos ...">
          <a:extLst>
            <a:ext uri="{FF2B5EF4-FFF2-40B4-BE49-F238E27FC236}">
              <a16:creationId xmlns:a16="http://schemas.microsoft.com/office/drawing/2014/main" id="{B7A2418C-506D-4283-B5A6-7DB5EC30AE84}"/>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159001" y="390082"/>
          <a:ext cx="577667" cy="408204"/>
        </a:xfrm>
        <a:prstGeom prst="rect">
          <a:avLst/>
        </a:prstGeom>
        <a:solidFill>
          <a:schemeClr val="bg1"/>
        </a:solidFill>
      </xdr:spPr>
    </xdr:pic>
    <xdr:clientData/>
  </xdr:twoCellAnchor>
  <xdr:oneCellAnchor>
    <xdr:from>
      <xdr:col>4</xdr:col>
      <xdr:colOff>489855</xdr:colOff>
      <xdr:row>2</xdr:row>
      <xdr:rowOff>18143</xdr:rowOff>
    </xdr:from>
    <xdr:ext cx="3052374" cy="374141"/>
    <xdr:sp macro="" textlink="">
      <xdr:nvSpPr>
        <xdr:cNvPr id="43" name="TextBox 42">
          <a:extLst>
            <a:ext uri="{FF2B5EF4-FFF2-40B4-BE49-F238E27FC236}">
              <a16:creationId xmlns:a16="http://schemas.microsoft.com/office/drawing/2014/main" id="{71A83FA6-1F21-4A07-A9A2-E9A78992C959}"/>
            </a:ext>
          </a:extLst>
        </xdr:cNvPr>
        <xdr:cNvSpPr txBox="1"/>
      </xdr:nvSpPr>
      <xdr:spPr>
        <a:xfrm>
          <a:off x="2920998" y="381000"/>
          <a:ext cx="305237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latin typeface="+mj-lt"/>
            </a:rPr>
            <a:t>COCACOLA SALES DASHBOARD</a:t>
          </a:r>
          <a:endParaRPr lang="en-NG" sz="1800">
            <a:latin typeface="+mj-lt"/>
          </a:endParaRPr>
        </a:p>
      </xdr:txBody>
    </xdr:sp>
    <xdr:clientData/>
  </xdr:oneCellAnchor>
  <xdr:twoCellAnchor editAs="oneCell">
    <xdr:from>
      <xdr:col>12</xdr:col>
      <xdr:colOff>208643</xdr:colOff>
      <xdr:row>1</xdr:row>
      <xdr:rowOff>156027</xdr:rowOff>
    </xdr:from>
    <xdr:to>
      <xdr:col>18</xdr:col>
      <xdr:colOff>199571</xdr:colOff>
      <xdr:row>4</xdr:row>
      <xdr:rowOff>27213</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9F931CF1-1EC0-4684-873C-137D789F4B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02072" y="337456"/>
              <a:ext cx="3637642" cy="41547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169.686731134258" createdVersion="5" refreshedVersion="8" minRefreshableVersion="3" recordCount="0" supportSubquery="1" supportAdvancedDrill="1" xr:uid="{4DE39681-9D64-49D0-8EED-60B028D193D9}">
  <cacheSource type="external" connectionId="2"/>
  <cacheFields count="5">
    <cacheField name="[Measures].[Total Reevenue]" caption="Total Reevenue" numFmtId="0" hierarchy="14" level="32767"/>
    <cacheField name="[Measures].[Total Profit]" caption="Total Profit" numFmtId="0" hierarchy="15" level="32767"/>
    <cacheField name="[Measures].[Avg Price]" caption="Avg Price" numFmtId="0" hierarchy="16" level="32767"/>
    <cacheField name="[Measures].[Profit Margin%]" caption="Profit Margin%" numFmtId="0" hierarchy="17" level="32767"/>
    <cacheField name="[Measures].[Unit sold]" caption="Unit sold" numFmtId="0" hierarchy="18" level="32767"/>
  </cacheFields>
  <cacheHierarchies count="22">
    <cacheHierarchy uniqueName="[Coke].[Date]" caption="Date" attribute="1" time="1" defaultMemberUniqueName="[Coke].[Date].[All]" allUniqueName="[Coke].[Date].[All]" dimensionUniqueName="[Coke]" displayFolder="" count="0" memberValueDatatype="7" unbalanced="0"/>
    <cacheHierarchy uniqueName="[Coke].[Product]" caption="Product" attribute="1" defaultMemberUniqueName="[Coke].[Product].[All]" allUniqueName="[Coke].[Product].[All]" dimensionUniqueName="[Coke]" displayFolder="" count="0" memberValueDatatype="130" unbalanced="0"/>
    <cacheHierarchy uniqueName="[Coke].[Region]" caption="Region" attribute="1" defaultMemberUniqueName="[Coke].[Region].[All]" allUniqueName="[Coke].[Region].[All]" dimensionUniqueName="[Coke]" displayFolder="" count="0" memberValueDatatype="130" unbalanced="0"/>
    <cacheHierarchy uniqueName="[Coke].[Sales_Channel]" caption="Sales_Channel" attribute="1" defaultMemberUniqueName="[Coke].[Sales_Channel].[All]" allUniqueName="[Coke].[Sales_Channel].[All]" dimensionUniqueName="[Coke]" displayFolder="" count="0" memberValueDatatype="130" unbalanced="0"/>
    <cacheHierarchy uniqueName="[Coke].[Sales_Rep]" caption="Sales_Rep" attribute="1" defaultMemberUniqueName="[Coke].[Sales_Rep].[All]" allUniqueName="[Coke].[Sales_Rep].[All]" dimensionUniqueName="[Coke]" displayFolder="" count="0" memberValueDatatype="130" unbalanced="0"/>
    <cacheHierarchy uniqueName="[Coke].[Units_Sold]" caption="Units_Sold" attribute="1" defaultMemberUniqueName="[Coke].[Units_Sold].[All]" allUniqueName="[Coke].[Units_Sold].[All]" dimensionUniqueName="[Coke]" displayFolder="" count="0" memberValueDatatype="20" unbalanced="0"/>
    <cacheHierarchy uniqueName="[Coke].[Unit_Price]" caption="Unit_Price" attribute="1" defaultMemberUniqueName="[Coke].[Unit_Price].[All]" allUniqueName="[Coke].[Unit_Price].[All]" dimensionUniqueName="[Coke]" displayFolder="" count="0" memberValueDatatype="20" unbalanced="0"/>
    <cacheHierarchy uniqueName="[Coke].[Total_Sales]" caption="Total_Sales" attribute="1" defaultMemberUniqueName="[Coke].[Total_Sales].[All]" allUniqueName="[Coke].[Total_Sales].[All]" dimensionUniqueName="[Coke]" displayFolder="" count="0" memberValueDatatype="20" unbalanced="0"/>
    <cacheHierarchy uniqueName="[Coke].[Profit]" caption="Profit" attribute="1" defaultMemberUniqueName="[Coke].[Profit].[All]" allUniqueName="[Coke].[Profit].[All]" dimensionUniqueName="[Coke]" displayFolder="" count="0" memberValueDatatype="5" unbalanced="0"/>
    <cacheHierarchy uniqueName="[Coke].[Monthname]" caption="Monthname" attribute="1" defaultMemberUniqueName="[Coke].[Monthname].[All]" allUniqueName="[Coke].[Monthname].[All]" dimensionUniqueName="[Coke]" displayFolder="" count="0" memberValueDatatype="130" unbalanced="0"/>
    <cacheHierarchy uniqueName="[Coke].[Date (Year)]" caption="Date (Year)" attribute="1" defaultMemberUniqueName="[Coke].[Date (Year)].[All]" allUniqueName="[Coke].[Date (Year)].[All]" dimensionUniqueName="[Coke]" displayFolder="" count="0" memberValueDatatype="130" unbalanced="0"/>
    <cacheHierarchy uniqueName="[Coke].[Date (Quarter)]" caption="Date (Quarter)" attribute="1" defaultMemberUniqueName="[Coke].[Date (Quarter)].[All]" allUniqueName="[Coke].[Date (Quarter)].[All]" dimensionUniqueName="[Coke]" displayFolder="" count="0" memberValueDatatype="130" unbalanced="0"/>
    <cacheHierarchy uniqueName="[Coke].[Date (Month)]" caption="Date (Month)" attribute="1" defaultMemberUniqueName="[Coke].[Date (Month)].[All]" allUniqueName="[Coke].[Date (Month)].[All]" dimensionUniqueName="[Coke]" displayFolder="" count="0" memberValueDatatype="130" unbalanced="0"/>
    <cacheHierarchy uniqueName="[Coke].[Date (Month Index)]" caption="Date (Month Index)" attribute="1" defaultMemberUniqueName="[Coke].[Date (Month Index)].[All]" allUniqueName="[Coke].[Date (Month Index)].[All]" dimensionUniqueName="[Coke]" displayFolder="" count="0" memberValueDatatype="20" unbalanced="0" hidden="1"/>
    <cacheHierarchy uniqueName="[Measures].[Total Reevenue]" caption="Total Reevenue" measure="1" displayFolder="" measureGroup="Coke" count="0" oneField="1">
      <fieldsUsage count="1">
        <fieldUsage x="0"/>
      </fieldsUsage>
    </cacheHierarchy>
    <cacheHierarchy uniqueName="[Measures].[Total Profit]" caption="Total Profit" measure="1" displayFolder="" measureGroup="Coke" count="0" oneField="1">
      <fieldsUsage count="1">
        <fieldUsage x="1"/>
      </fieldsUsage>
    </cacheHierarchy>
    <cacheHierarchy uniqueName="[Measures].[Avg Price]" caption="Avg Price" measure="1" displayFolder="" measureGroup="Coke" count="0" oneField="1">
      <fieldsUsage count="1">
        <fieldUsage x="2"/>
      </fieldsUsage>
    </cacheHierarchy>
    <cacheHierarchy uniqueName="[Measures].[Profit Margin%]" caption="Profit Margin%" measure="1" displayFolder="" measureGroup="Coke" count="0" oneField="1">
      <fieldsUsage count="1">
        <fieldUsage x="3"/>
      </fieldsUsage>
    </cacheHierarchy>
    <cacheHierarchy uniqueName="[Measures].[Unit sold]" caption="Unit sold" measure="1" displayFolder="" measureGroup="Coke" count="0" oneField="1">
      <fieldsUsage count="1">
        <fieldUsage x="4"/>
      </fieldsUsage>
    </cacheHierarchy>
    <cacheHierarchy uniqueName="[Measures].[__XL_Count Coke]" caption="__XL_Count Coke" measure="1" displayFolder="" measureGroup="Coke" count="0" hidden="1"/>
    <cacheHierarchy uniqueName="[Measures].[__No measures defined]" caption="__No measures defined" measure="1" displayFolder="" count="0" hidden="1"/>
    <cacheHierarchy uniqueName="[Measures].[Sum of Units_Sold]" caption="Sum of Units_Sold" measure="1" displayFolder="" measureGroup="Coke" count="0" hidden="1">
      <extLst>
        <ext xmlns:x15="http://schemas.microsoft.com/office/spreadsheetml/2010/11/main" uri="{B97F6D7D-B522-45F9-BDA1-12C45D357490}">
          <x15:cacheHierarchy aggregatedColumn="5"/>
        </ext>
      </extLst>
    </cacheHierarchy>
  </cacheHierarchies>
  <kpis count="0"/>
  <dimensions count="2">
    <dimension name="Coke" uniqueName="[Coke]" caption="Coke"/>
    <dimension measure="1" name="Measures" uniqueName="[Measures]" caption="Measures"/>
  </dimensions>
  <measureGroups count="1">
    <measureGroup name="Coke" caption="Cok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169.676302777778" createdVersion="5" refreshedVersion="8" minRefreshableVersion="3" recordCount="0" supportSubquery="1" supportAdvancedDrill="1" xr:uid="{DDB675E5-583E-4935-92B9-5AFF60314D03}">
  <cacheSource type="external" connectionId="2"/>
  <cacheFields count="2">
    <cacheField name="[Coke].[Sales_Channel].[Sales_Channel]" caption="Sales_Channel" numFmtId="0" hierarchy="3" level="1">
      <sharedItems count="4">
        <s v="Distributors"/>
        <s v="Online"/>
        <s v="Retail"/>
        <s v="Wholesale"/>
      </sharedItems>
    </cacheField>
    <cacheField name="[Measures].[Unit sold]" caption="Unit sold" numFmtId="0" hierarchy="18" level="32767"/>
  </cacheFields>
  <cacheHierarchies count="22">
    <cacheHierarchy uniqueName="[Coke].[Date]" caption="Date" attribute="1" time="1" defaultMemberUniqueName="[Coke].[Date].[All]" allUniqueName="[Coke].[Date].[All]" dimensionUniqueName="[Coke]" displayFolder="" count="0" memberValueDatatype="7" unbalanced="0"/>
    <cacheHierarchy uniqueName="[Coke].[Product]" caption="Product" attribute="1" defaultMemberUniqueName="[Coke].[Product].[All]" allUniqueName="[Coke].[Product].[All]" dimensionUniqueName="[Coke]" displayFolder="" count="0" memberValueDatatype="130" unbalanced="0"/>
    <cacheHierarchy uniqueName="[Coke].[Region]" caption="Region" attribute="1" defaultMemberUniqueName="[Coke].[Region].[All]" allUniqueName="[Coke].[Region].[All]" dimensionUniqueName="[Coke]" displayFolder="" count="0" memberValueDatatype="130" unbalanced="0"/>
    <cacheHierarchy uniqueName="[Coke].[Sales_Channel]" caption="Sales_Channel" attribute="1" defaultMemberUniqueName="[Coke].[Sales_Channel].[All]" allUniqueName="[Coke].[Sales_Channel].[All]" dimensionUniqueName="[Coke]" displayFolder="" count="2" memberValueDatatype="130" unbalanced="0">
      <fieldsUsage count="2">
        <fieldUsage x="-1"/>
        <fieldUsage x="0"/>
      </fieldsUsage>
    </cacheHierarchy>
    <cacheHierarchy uniqueName="[Coke].[Sales_Rep]" caption="Sales_Rep" attribute="1" defaultMemberUniqueName="[Coke].[Sales_Rep].[All]" allUniqueName="[Coke].[Sales_Rep].[All]" dimensionUniqueName="[Coke]" displayFolder="" count="0" memberValueDatatype="130" unbalanced="0"/>
    <cacheHierarchy uniqueName="[Coke].[Units_Sold]" caption="Units_Sold" attribute="1" defaultMemberUniqueName="[Coke].[Units_Sold].[All]" allUniqueName="[Coke].[Units_Sold].[All]" dimensionUniqueName="[Coke]" displayFolder="" count="0" memberValueDatatype="20" unbalanced="0"/>
    <cacheHierarchy uniqueName="[Coke].[Unit_Price]" caption="Unit_Price" attribute="1" defaultMemberUniqueName="[Coke].[Unit_Price].[All]" allUniqueName="[Coke].[Unit_Price].[All]" dimensionUniqueName="[Coke]" displayFolder="" count="0" memberValueDatatype="20" unbalanced="0"/>
    <cacheHierarchy uniqueName="[Coke].[Total_Sales]" caption="Total_Sales" attribute="1" defaultMemberUniqueName="[Coke].[Total_Sales].[All]" allUniqueName="[Coke].[Total_Sales].[All]" dimensionUniqueName="[Coke]" displayFolder="" count="0" memberValueDatatype="20" unbalanced="0"/>
    <cacheHierarchy uniqueName="[Coke].[Profit]" caption="Profit" attribute="1" defaultMemberUniqueName="[Coke].[Profit].[All]" allUniqueName="[Coke].[Profit].[All]" dimensionUniqueName="[Coke]" displayFolder="" count="0" memberValueDatatype="5" unbalanced="0"/>
    <cacheHierarchy uniqueName="[Coke].[Monthname]" caption="Monthname" attribute="1" defaultMemberUniqueName="[Coke].[Monthname].[All]" allUniqueName="[Coke].[Monthname].[All]" dimensionUniqueName="[Coke]" displayFolder="" count="0" memberValueDatatype="130" unbalanced="0"/>
    <cacheHierarchy uniqueName="[Coke].[Date (Year)]" caption="Date (Year)" attribute="1" defaultMemberUniqueName="[Coke].[Date (Year)].[All]" allUniqueName="[Coke].[Date (Year)].[All]" dimensionUniqueName="[Coke]" displayFolder="" count="0" memberValueDatatype="130" unbalanced="0"/>
    <cacheHierarchy uniqueName="[Coke].[Date (Quarter)]" caption="Date (Quarter)" attribute="1" defaultMemberUniqueName="[Coke].[Date (Quarter)].[All]" allUniqueName="[Coke].[Date (Quarter)].[All]" dimensionUniqueName="[Coke]" displayFolder="" count="0" memberValueDatatype="130" unbalanced="0"/>
    <cacheHierarchy uniqueName="[Coke].[Date (Month)]" caption="Date (Month)" attribute="1" defaultMemberUniqueName="[Coke].[Date (Month)].[All]" allUniqueName="[Coke].[Date (Month)].[All]" dimensionUniqueName="[Coke]" displayFolder="" count="0" memberValueDatatype="130" unbalanced="0"/>
    <cacheHierarchy uniqueName="[Coke].[Date (Month Index)]" caption="Date (Month Index)" attribute="1" defaultMemberUniqueName="[Coke].[Date (Month Index)].[All]" allUniqueName="[Coke].[Date (Month Index)].[All]" dimensionUniqueName="[Coke]" displayFolder="" count="0" memberValueDatatype="20" unbalanced="0" hidden="1"/>
    <cacheHierarchy uniqueName="[Measures].[Total Reevenue]" caption="Total Reevenue" measure="1" displayFolder="" measureGroup="Coke" count="0"/>
    <cacheHierarchy uniqueName="[Measures].[Total Profit]" caption="Total Profit" measure="1" displayFolder="" measureGroup="Coke" count="0"/>
    <cacheHierarchy uniqueName="[Measures].[Avg Price]" caption="Avg Price" measure="1" displayFolder="" measureGroup="Coke" count="0"/>
    <cacheHierarchy uniqueName="[Measures].[Profit Margin%]" caption="Profit Margin%" measure="1" displayFolder="" measureGroup="Coke" count="0"/>
    <cacheHierarchy uniqueName="[Measures].[Unit sold]" caption="Unit sold" measure="1" displayFolder="" measureGroup="Coke" count="0" oneField="1">
      <fieldsUsage count="1">
        <fieldUsage x="1"/>
      </fieldsUsage>
    </cacheHierarchy>
    <cacheHierarchy uniqueName="[Measures].[__XL_Count Coke]" caption="__XL_Count Coke" measure="1" displayFolder="" measureGroup="Coke" count="0" hidden="1"/>
    <cacheHierarchy uniqueName="[Measures].[__No measures defined]" caption="__No measures defined" measure="1" displayFolder="" count="0" hidden="1"/>
    <cacheHierarchy uniqueName="[Measures].[Sum of Units_Sold]" caption="Sum of Units_Sold" measure="1" displayFolder="" measureGroup="Coke" count="0" hidden="1">
      <extLst>
        <ext xmlns:x15="http://schemas.microsoft.com/office/spreadsheetml/2010/11/main" uri="{B97F6D7D-B522-45F9-BDA1-12C45D357490}">
          <x15:cacheHierarchy aggregatedColumn="5"/>
        </ext>
      </extLst>
    </cacheHierarchy>
  </cacheHierarchies>
  <kpis count="0"/>
  <dimensions count="2">
    <dimension name="Coke" uniqueName="[Coke]" caption="Coke"/>
    <dimension measure="1" name="Measures" uniqueName="[Measures]" caption="Measures"/>
  </dimensions>
  <measureGroups count="1">
    <measureGroup name="Coke" caption="Cok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169.676292592594" createdVersion="5" refreshedVersion="8" minRefreshableVersion="3" recordCount="0" supportSubquery="1" supportAdvancedDrill="1" xr:uid="{6092F178-D536-458B-B832-79A55C47D46F}">
  <cacheSource type="external" connectionId="2"/>
  <cacheFields count="2">
    <cacheField name="[Measures].[Total Reevenue]" caption="Total Reevenue" numFmtId="0" hierarchy="14" level="32767"/>
    <cacheField name="[Coke].[Date (Month)].[Date (Month)]" caption="Date (Month)" numFmtId="0" hierarchy="12" level="1">
      <sharedItems count="12">
        <s v="Jan"/>
        <s v="Feb"/>
        <s v="Mar"/>
        <s v="Apr"/>
        <s v="May"/>
        <s v="Jun"/>
        <s v="Jul"/>
        <s v="Aug"/>
        <s v="Sep"/>
        <s v="Oct"/>
        <s v="Nov"/>
        <s v="Dec"/>
      </sharedItems>
    </cacheField>
  </cacheFields>
  <cacheHierarchies count="22">
    <cacheHierarchy uniqueName="[Coke].[Date]" caption="Date" attribute="1" time="1" defaultMemberUniqueName="[Coke].[Date].[All]" allUniqueName="[Coke].[Date].[All]" dimensionUniqueName="[Coke]" displayFolder="" count="0" memberValueDatatype="7" unbalanced="0"/>
    <cacheHierarchy uniqueName="[Coke].[Product]" caption="Product" attribute="1" defaultMemberUniqueName="[Coke].[Product].[All]" allUniqueName="[Coke].[Product].[All]" dimensionUniqueName="[Coke]" displayFolder="" count="0" memberValueDatatype="130" unbalanced="0"/>
    <cacheHierarchy uniqueName="[Coke].[Region]" caption="Region" attribute="1" defaultMemberUniqueName="[Coke].[Region].[All]" allUniqueName="[Coke].[Region].[All]" dimensionUniqueName="[Coke]" displayFolder="" count="0" memberValueDatatype="130" unbalanced="0"/>
    <cacheHierarchy uniqueName="[Coke].[Sales_Channel]" caption="Sales_Channel" attribute="1" defaultMemberUniqueName="[Coke].[Sales_Channel].[All]" allUniqueName="[Coke].[Sales_Channel].[All]" dimensionUniqueName="[Coke]" displayFolder="" count="0" memberValueDatatype="130" unbalanced="0"/>
    <cacheHierarchy uniqueName="[Coke].[Sales_Rep]" caption="Sales_Rep" attribute="1" defaultMemberUniqueName="[Coke].[Sales_Rep].[All]" allUniqueName="[Coke].[Sales_Rep].[All]" dimensionUniqueName="[Coke]" displayFolder="" count="0" memberValueDatatype="130" unbalanced="0"/>
    <cacheHierarchy uniqueName="[Coke].[Units_Sold]" caption="Units_Sold" attribute="1" defaultMemberUniqueName="[Coke].[Units_Sold].[All]" allUniqueName="[Coke].[Units_Sold].[All]" dimensionUniqueName="[Coke]" displayFolder="" count="0" memberValueDatatype="20" unbalanced="0"/>
    <cacheHierarchy uniqueName="[Coke].[Unit_Price]" caption="Unit_Price" attribute="1" defaultMemberUniqueName="[Coke].[Unit_Price].[All]" allUniqueName="[Coke].[Unit_Price].[All]" dimensionUniqueName="[Coke]" displayFolder="" count="0" memberValueDatatype="20" unbalanced="0"/>
    <cacheHierarchy uniqueName="[Coke].[Total_Sales]" caption="Total_Sales" attribute="1" defaultMemberUniqueName="[Coke].[Total_Sales].[All]" allUniqueName="[Coke].[Total_Sales].[All]" dimensionUniqueName="[Coke]" displayFolder="" count="0" memberValueDatatype="20" unbalanced="0"/>
    <cacheHierarchy uniqueName="[Coke].[Profit]" caption="Profit" attribute="1" defaultMemberUniqueName="[Coke].[Profit].[All]" allUniqueName="[Coke].[Profit].[All]" dimensionUniqueName="[Coke]" displayFolder="" count="0" memberValueDatatype="5" unbalanced="0"/>
    <cacheHierarchy uniqueName="[Coke].[Monthname]" caption="Monthname" attribute="1" defaultMemberUniqueName="[Coke].[Monthname].[All]" allUniqueName="[Coke].[Monthname].[All]" dimensionUniqueName="[Coke]" displayFolder="" count="0" memberValueDatatype="130" unbalanced="0"/>
    <cacheHierarchy uniqueName="[Coke].[Date (Year)]" caption="Date (Year)" attribute="1" defaultMemberUniqueName="[Coke].[Date (Year)].[All]" allUniqueName="[Coke].[Date (Year)].[All]" dimensionUniqueName="[Coke]" displayFolder="" count="0" memberValueDatatype="130" unbalanced="0"/>
    <cacheHierarchy uniqueName="[Coke].[Date (Quarter)]" caption="Date (Quarter)" attribute="1" defaultMemberUniqueName="[Coke].[Date (Quarter)].[All]" allUniqueName="[Coke].[Date (Quarter)].[All]" dimensionUniqueName="[Coke]" displayFolder="" count="0" memberValueDatatype="130" unbalanced="0"/>
    <cacheHierarchy uniqueName="[Coke].[Date (Month)]" caption="Date (Month)" attribute="1" defaultMemberUniqueName="[Coke].[Date (Month)].[All]" allUniqueName="[Coke].[Date (Month)].[All]" dimensionUniqueName="[Coke]" displayFolder="" count="2" memberValueDatatype="130" unbalanced="0">
      <fieldsUsage count="2">
        <fieldUsage x="-1"/>
        <fieldUsage x="1"/>
      </fieldsUsage>
    </cacheHierarchy>
    <cacheHierarchy uniqueName="[Coke].[Date (Month Index)]" caption="Date (Month Index)" attribute="1" defaultMemberUniqueName="[Coke].[Date (Month Index)].[All]" allUniqueName="[Coke].[Date (Month Index)].[All]" dimensionUniqueName="[Coke]" displayFolder="" count="0" memberValueDatatype="20" unbalanced="0" hidden="1"/>
    <cacheHierarchy uniqueName="[Measures].[Total Reevenue]" caption="Total Reevenue" measure="1" displayFolder="" measureGroup="Coke" count="0" oneField="1">
      <fieldsUsage count="1">
        <fieldUsage x="0"/>
      </fieldsUsage>
    </cacheHierarchy>
    <cacheHierarchy uniqueName="[Measures].[Total Profit]" caption="Total Profit" measure="1" displayFolder="" measureGroup="Coke" count="0"/>
    <cacheHierarchy uniqueName="[Measures].[Avg Price]" caption="Avg Price" measure="1" displayFolder="" measureGroup="Coke" count="0"/>
    <cacheHierarchy uniqueName="[Measures].[Profit Margin%]" caption="Profit Margin%" measure="1" displayFolder="" measureGroup="Coke" count="0"/>
    <cacheHierarchy uniqueName="[Measures].[Unit sold]" caption="Unit sold" measure="1" displayFolder="" measureGroup="Coke" count="0"/>
    <cacheHierarchy uniqueName="[Measures].[__XL_Count Coke]" caption="__XL_Count Coke" measure="1" displayFolder="" measureGroup="Coke" count="0" hidden="1"/>
    <cacheHierarchy uniqueName="[Measures].[__No measures defined]" caption="__No measures defined" measure="1" displayFolder="" count="0" hidden="1"/>
    <cacheHierarchy uniqueName="[Measures].[Sum of Units_Sold]" caption="Sum of Units_Sold" measure="1" displayFolder="" measureGroup="Coke" count="0" hidden="1">
      <extLst>
        <ext xmlns:x15="http://schemas.microsoft.com/office/spreadsheetml/2010/11/main" uri="{B97F6D7D-B522-45F9-BDA1-12C45D357490}">
          <x15:cacheHierarchy aggregatedColumn="5"/>
        </ext>
      </extLst>
    </cacheHierarchy>
  </cacheHierarchies>
  <kpis count="0"/>
  <dimensions count="2">
    <dimension name="Coke" uniqueName="[Coke]" caption="Coke"/>
    <dimension measure="1" name="Measures" uniqueName="[Measures]" caption="Measures"/>
  </dimensions>
  <measureGroups count="1">
    <measureGroup name="Coke" caption="Cok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169.676294791665" createdVersion="5" refreshedVersion="8" minRefreshableVersion="3" recordCount="0" supportSubquery="1" supportAdvancedDrill="1" xr:uid="{347C7FFF-B067-4128-A6F2-4A81D4CE699A}">
  <cacheSource type="external" connectionId="2"/>
  <cacheFields count="2">
    <cacheField name="[Coke].[Region].[Region]" caption="Region" numFmtId="0" hierarchy="2" level="1">
      <sharedItems count="6">
        <s v="Abuja"/>
        <s v="Enugu"/>
        <s v="Ibadan"/>
        <s v="Kano"/>
        <s v="Lagos"/>
        <s v="Port Harcourt"/>
      </sharedItems>
    </cacheField>
    <cacheField name="[Measures].[Total Reevenue]" caption="Total Reevenue" numFmtId="0" hierarchy="14" level="32767"/>
  </cacheFields>
  <cacheHierarchies count="22">
    <cacheHierarchy uniqueName="[Coke].[Date]" caption="Date" attribute="1" time="1" defaultMemberUniqueName="[Coke].[Date].[All]" allUniqueName="[Coke].[Date].[All]" dimensionUniqueName="[Coke]" displayFolder="" count="0" memberValueDatatype="7" unbalanced="0"/>
    <cacheHierarchy uniqueName="[Coke].[Product]" caption="Product" attribute="1" defaultMemberUniqueName="[Coke].[Product].[All]" allUniqueName="[Coke].[Product].[All]" dimensionUniqueName="[Coke]" displayFolder="" count="0" memberValueDatatype="130" unbalanced="0"/>
    <cacheHierarchy uniqueName="[Coke].[Region]" caption="Region" attribute="1" defaultMemberUniqueName="[Coke].[Region].[All]" allUniqueName="[Coke].[Region].[All]" dimensionUniqueName="[Coke]" displayFolder="" count="2" memberValueDatatype="130" unbalanced="0">
      <fieldsUsage count="2">
        <fieldUsage x="-1"/>
        <fieldUsage x="0"/>
      </fieldsUsage>
    </cacheHierarchy>
    <cacheHierarchy uniqueName="[Coke].[Sales_Channel]" caption="Sales_Channel" attribute="1" defaultMemberUniqueName="[Coke].[Sales_Channel].[All]" allUniqueName="[Coke].[Sales_Channel].[All]" dimensionUniqueName="[Coke]" displayFolder="" count="0" memberValueDatatype="130" unbalanced="0"/>
    <cacheHierarchy uniqueName="[Coke].[Sales_Rep]" caption="Sales_Rep" attribute="1" defaultMemberUniqueName="[Coke].[Sales_Rep].[All]" allUniqueName="[Coke].[Sales_Rep].[All]" dimensionUniqueName="[Coke]" displayFolder="" count="0" memberValueDatatype="130" unbalanced="0"/>
    <cacheHierarchy uniqueName="[Coke].[Units_Sold]" caption="Units_Sold" attribute="1" defaultMemberUniqueName="[Coke].[Units_Sold].[All]" allUniqueName="[Coke].[Units_Sold].[All]" dimensionUniqueName="[Coke]" displayFolder="" count="0" memberValueDatatype="20" unbalanced="0"/>
    <cacheHierarchy uniqueName="[Coke].[Unit_Price]" caption="Unit_Price" attribute="1" defaultMemberUniqueName="[Coke].[Unit_Price].[All]" allUniqueName="[Coke].[Unit_Price].[All]" dimensionUniqueName="[Coke]" displayFolder="" count="0" memberValueDatatype="20" unbalanced="0"/>
    <cacheHierarchy uniqueName="[Coke].[Total_Sales]" caption="Total_Sales" attribute="1" defaultMemberUniqueName="[Coke].[Total_Sales].[All]" allUniqueName="[Coke].[Total_Sales].[All]" dimensionUniqueName="[Coke]" displayFolder="" count="0" memberValueDatatype="20" unbalanced="0"/>
    <cacheHierarchy uniqueName="[Coke].[Profit]" caption="Profit" attribute="1" defaultMemberUniqueName="[Coke].[Profit].[All]" allUniqueName="[Coke].[Profit].[All]" dimensionUniqueName="[Coke]" displayFolder="" count="0" memberValueDatatype="5" unbalanced="0"/>
    <cacheHierarchy uniqueName="[Coke].[Monthname]" caption="Monthname" attribute="1" defaultMemberUniqueName="[Coke].[Monthname].[All]" allUniqueName="[Coke].[Monthname].[All]" dimensionUniqueName="[Coke]" displayFolder="" count="0" memberValueDatatype="130" unbalanced="0"/>
    <cacheHierarchy uniqueName="[Coke].[Date (Year)]" caption="Date (Year)" attribute="1" defaultMemberUniqueName="[Coke].[Date (Year)].[All]" allUniqueName="[Coke].[Date (Year)].[All]" dimensionUniqueName="[Coke]" displayFolder="" count="0" memberValueDatatype="130" unbalanced="0"/>
    <cacheHierarchy uniqueName="[Coke].[Date (Quarter)]" caption="Date (Quarter)" attribute="1" defaultMemberUniqueName="[Coke].[Date (Quarter)].[All]" allUniqueName="[Coke].[Date (Quarter)].[All]" dimensionUniqueName="[Coke]" displayFolder="" count="0" memberValueDatatype="130" unbalanced="0"/>
    <cacheHierarchy uniqueName="[Coke].[Date (Month)]" caption="Date (Month)" attribute="1" defaultMemberUniqueName="[Coke].[Date (Month)].[All]" allUniqueName="[Coke].[Date (Month)].[All]" dimensionUniqueName="[Coke]" displayFolder="" count="0" memberValueDatatype="130" unbalanced="0"/>
    <cacheHierarchy uniqueName="[Coke].[Date (Month Index)]" caption="Date (Month Index)" attribute="1" defaultMemberUniqueName="[Coke].[Date (Month Index)].[All]" allUniqueName="[Coke].[Date (Month Index)].[All]" dimensionUniqueName="[Coke]" displayFolder="" count="0" memberValueDatatype="20" unbalanced="0" hidden="1"/>
    <cacheHierarchy uniqueName="[Measures].[Total Reevenue]" caption="Total Reevenue" measure="1" displayFolder="" measureGroup="Coke" count="0" oneField="1">
      <fieldsUsage count="1">
        <fieldUsage x="1"/>
      </fieldsUsage>
    </cacheHierarchy>
    <cacheHierarchy uniqueName="[Measures].[Total Profit]" caption="Total Profit" measure="1" displayFolder="" measureGroup="Coke" count="0"/>
    <cacheHierarchy uniqueName="[Measures].[Avg Price]" caption="Avg Price" measure="1" displayFolder="" measureGroup="Coke" count="0"/>
    <cacheHierarchy uniqueName="[Measures].[Profit Margin%]" caption="Profit Margin%" measure="1" displayFolder="" measureGroup="Coke" count="0"/>
    <cacheHierarchy uniqueName="[Measures].[Unit sold]" caption="Unit sold" measure="1" displayFolder="" measureGroup="Coke" count="0"/>
    <cacheHierarchy uniqueName="[Measures].[__XL_Count Coke]" caption="__XL_Count Coke" measure="1" displayFolder="" measureGroup="Coke" count="0" hidden="1"/>
    <cacheHierarchy uniqueName="[Measures].[__No measures defined]" caption="__No measures defined" measure="1" displayFolder="" count="0" hidden="1"/>
    <cacheHierarchy uniqueName="[Measures].[Sum of Units_Sold]" caption="Sum of Units_Sold" measure="1" displayFolder="" measureGroup="Coke" count="0" hidden="1">
      <extLst>
        <ext xmlns:x15="http://schemas.microsoft.com/office/spreadsheetml/2010/11/main" uri="{B97F6D7D-B522-45F9-BDA1-12C45D357490}">
          <x15:cacheHierarchy aggregatedColumn="5"/>
        </ext>
      </extLst>
    </cacheHierarchy>
  </cacheHierarchies>
  <kpis count="0"/>
  <dimensions count="2">
    <dimension name="Coke" uniqueName="[Coke]" caption="Coke"/>
    <dimension measure="1" name="Measures" uniqueName="[Measures]" caption="Measures"/>
  </dimensions>
  <measureGroups count="1">
    <measureGroup name="Coke" caption="Cok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 refreshedDate="46170.591616898149" createdVersion="5" refreshedVersion="7" minRefreshableVersion="3" recordCount="0" supportSubquery="1" supportAdvancedDrill="1" xr:uid="{ABCAFE14-627B-414E-912B-E195CFF9AAA2}">
  <cacheSource type="external" connectionId="2"/>
  <cacheFields count="6">
    <cacheField name="[Measures].[Total Reevenue]" caption="Total Reevenue" numFmtId="0" hierarchy="14" level="32767"/>
    <cacheField name="[Measures].[Total Profit]" caption="Total Profit" numFmtId="0" hierarchy="15" level="32767"/>
    <cacheField name="[Measures].[Avg Price]" caption="Avg Price" numFmtId="0" hierarchy="16" level="32767"/>
    <cacheField name="[Measures].[Profit Margin%]" caption="Profit Margin%" numFmtId="0" hierarchy="17" level="32767"/>
    <cacheField name="[Coke].[Date (Year)].[Date (Year)]" caption="Date (Year)" numFmtId="0" hierarchy="10" level="1">
      <sharedItems count="3">
        <s v="2023"/>
        <s v="2024"/>
        <s v="2025"/>
      </sharedItems>
    </cacheField>
    <cacheField name="[Measures].[Sum of Units_Sold]" caption="Sum of Units_Sold" numFmtId="0" hierarchy="21" level="32767"/>
  </cacheFields>
  <cacheHierarchies count="22">
    <cacheHierarchy uniqueName="[Coke].[Date]" caption="Date" attribute="1" time="1" defaultMemberUniqueName="[Coke].[Date].[All]" allUniqueName="[Coke].[Date].[All]" dimensionUniqueName="[Coke]" displayFolder="" count="0" memberValueDatatype="7" unbalanced="0"/>
    <cacheHierarchy uniqueName="[Coke].[Product]" caption="Product" attribute="1" defaultMemberUniqueName="[Coke].[Product].[All]" allUniqueName="[Coke].[Product].[All]" dimensionUniqueName="[Coke]" displayFolder="" count="0" memberValueDatatype="130" unbalanced="0"/>
    <cacheHierarchy uniqueName="[Coke].[Region]" caption="Region" attribute="1" defaultMemberUniqueName="[Coke].[Region].[All]" allUniqueName="[Coke].[Region].[All]" dimensionUniqueName="[Coke]" displayFolder="" count="0" memberValueDatatype="130" unbalanced="0"/>
    <cacheHierarchy uniqueName="[Coke].[Sales_Channel]" caption="Sales_Channel" attribute="1" defaultMemberUniqueName="[Coke].[Sales_Channel].[All]" allUniqueName="[Coke].[Sales_Channel].[All]" dimensionUniqueName="[Coke]" displayFolder="" count="0" memberValueDatatype="130" unbalanced="0"/>
    <cacheHierarchy uniqueName="[Coke].[Sales_Rep]" caption="Sales_Rep" attribute="1" defaultMemberUniqueName="[Coke].[Sales_Rep].[All]" allUniqueName="[Coke].[Sales_Rep].[All]" dimensionUniqueName="[Coke]" displayFolder="" count="0" memberValueDatatype="130" unbalanced="0"/>
    <cacheHierarchy uniqueName="[Coke].[Units_Sold]" caption="Units_Sold" attribute="1" defaultMemberUniqueName="[Coke].[Units_Sold].[All]" allUniqueName="[Coke].[Units_Sold].[All]" dimensionUniqueName="[Coke]" displayFolder="" count="0" memberValueDatatype="20" unbalanced="0"/>
    <cacheHierarchy uniqueName="[Coke].[Unit_Price]" caption="Unit_Price" attribute="1" defaultMemberUniqueName="[Coke].[Unit_Price].[All]" allUniqueName="[Coke].[Unit_Price].[All]" dimensionUniqueName="[Coke]" displayFolder="" count="0" memberValueDatatype="20" unbalanced="0"/>
    <cacheHierarchy uniqueName="[Coke].[Total_Sales]" caption="Total_Sales" attribute="1" defaultMemberUniqueName="[Coke].[Total_Sales].[All]" allUniqueName="[Coke].[Total_Sales].[All]" dimensionUniqueName="[Coke]" displayFolder="" count="0" memberValueDatatype="20" unbalanced="0"/>
    <cacheHierarchy uniqueName="[Coke].[Profit]" caption="Profit" attribute="1" defaultMemberUniqueName="[Coke].[Profit].[All]" allUniqueName="[Coke].[Profit].[All]" dimensionUniqueName="[Coke]" displayFolder="" count="0" memberValueDatatype="5" unbalanced="0"/>
    <cacheHierarchy uniqueName="[Coke].[Monthname]" caption="Monthname" attribute="1" defaultMemberUniqueName="[Coke].[Monthname].[All]" allUniqueName="[Coke].[Monthname].[All]" dimensionUniqueName="[Coke]" displayFolder="" count="0" memberValueDatatype="130" unbalanced="0"/>
    <cacheHierarchy uniqueName="[Coke].[Date (Year)]" caption="Date (Year)" attribute="1" defaultMemberUniqueName="[Coke].[Date (Year)].[All]" allUniqueName="[Coke].[Date (Year)].[All]" dimensionUniqueName="[Coke]" displayFolder="" count="2" memberValueDatatype="130" unbalanced="0">
      <fieldsUsage count="2">
        <fieldUsage x="-1"/>
        <fieldUsage x="4"/>
      </fieldsUsage>
    </cacheHierarchy>
    <cacheHierarchy uniqueName="[Coke].[Date (Quarter)]" caption="Date (Quarter)" attribute="1" defaultMemberUniqueName="[Coke].[Date (Quarter)].[All]" allUniqueName="[Coke].[Date (Quarter)].[All]" dimensionUniqueName="[Coke]" displayFolder="" count="0" memberValueDatatype="130" unbalanced="0"/>
    <cacheHierarchy uniqueName="[Coke].[Date (Month)]" caption="Date (Month)" attribute="1" defaultMemberUniqueName="[Coke].[Date (Month)].[All]" allUniqueName="[Coke].[Date (Month)].[All]" dimensionUniqueName="[Coke]" displayFolder="" count="0" memberValueDatatype="130" unbalanced="0"/>
    <cacheHierarchy uniqueName="[Coke].[Date (Month Index)]" caption="Date (Month Index)" attribute="1" defaultMemberUniqueName="[Coke].[Date (Month Index)].[All]" allUniqueName="[Coke].[Date (Month Index)].[All]" dimensionUniqueName="[Coke]" displayFolder="" count="0" memberValueDatatype="20" unbalanced="0" hidden="1"/>
    <cacheHierarchy uniqueName="[Measures].[Total Reevenue]" caption="Total Reevenue" measure="1" displayFolder="" measureGroup="Coke" count="0" oneField="1">
      <fieldsUsage count="1">
        <fieldUsage x="0"/>
      </fieldsUsage>
    </cacheHierarchy>
    <cacheHierarchy uniqueName="[Measures].[Total Profit]" caption="Total Profit" measure="1" displayFolder="" measureGroup="Coke" count="0" oneField="1">
      <fieldsUsage count="1">
        <fieldUsage x="1"/>
      </fieldsUsage>
    </cacheHierarchy>
    <cacheHierarchy uniqueName="[Measures].[Avg Price]" caption="Avg Price" measure="1" displayFolder="" measureGroup="Coke" count="0" oneField="1">
      <fieldsUsage count="1">
        <fieldUsage x="2"/>
      </fieldsUsage>
    </cacheHierarchy>
    <cacheHierarchy uniqueName="[Measures].[Profit Margin%]" caption="Profit Margin%" measure="1" displayFolder="" measureGroup="Coke" count="0" oneField="1">
      <fieldsUsage count="1">
        <fieldUsage x="3"/>
      </fieldsUsage>
    </cacheHierarchy>
    <cacheHierarchy uniqueName="[Measures].[Unit sold]" caption="Unit sold" measure="1" displayFolder="" measureGroup="Coke" count="0"/>
    <cacheHierarchy uniqueName="[Measures].[__XL_Count Coke]" caption="__XL_Count Coke" measure="1" displayFolder="" measureGroup="Coke" count="0" hidden="1"/>
    <cacheHierarchy uniqueName="[Measures].[__No measures defined]" caption="__No measures defined" measure="1" displayFolder="" count="0" hidden="1"/>
    <cacheHierarchy uniqueName="[Measures].[Sum of Units_Sold]" caption="Sum of Units_Sold" measure="1" displayFolder="" measureGroup="Coke" count="0" oneField="1" hidden="1">
      <fieldsUsage count="1">
        <fieldUsage x="5"/>
      </fieldsUsage>
      <extLst>
        <ext xmlns:x15="http://schemas.microsoft.com/office/spreadsheetml/2010/11/main" uri="{B97F6D7D-B522-45F9-BDA1-12C45D357490}">
          <x15:cacheHierarchy aggregatedColumn="5"/>
        </ext>
      </extLst>
    </cacheHierarchy>
  </cacheHierarchies>
  <kpis count="0"/>
  <dimensions count="2">
    <dimension name="Coke" uniqueName="[Coke]" caption="Coke"/>
    <dimension measure="1" name="Measures" uniqueName="[Measures]" caption="Measures"/>
  </dimensions>
  <measureGroups count="1">
    <measureGroup name="Coke" caption="Cok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 refreshedDate="46172.526430324077" createdVersion="5" refreshedVersion="7" minRefreshableVersion="3" recordCount="0" supportSubquery="1" supportAdvancedDrill="1" xr:uid="{920C49B0-D703-4104-99C5-DA19FE9FF44A}">
  <cacheSource type="external" connectionId="2"/>
  <cacheFields count="3">
    <cacheField name="[Measures].[Total Profit]" caption="Total Profit" numFmtId="0" hierarchy="15" level="32767"/>
    <cacheField name="[Coke].[Product].[Product]" caption="Product" numFmtId="0" hierarchy="1" level="1">
      <sharedItems count="8">
        <s v="Coca-Cola Classic"/>
        <s v="Coke Zero"/>
        <s v="Diet Coke"/>
        <s v="Eva Water"/>
        <s v="Fanta"/>
        <s v="Minute Maid"/>
        <s v="Schweppes"/>
        <s v="Sprite"/>
      </sharedItems>
    </cacheField>
    <cacheField name="[Coke].[Region].[Region]" caption="Region" numFmtId="0" hierarchy="2" level="1">
      <sharedItems containsSemiMixedTypes="0" containsNonDate="0" containsString="0"/>
    </cacheField>
  </cacheFields>
  <cacheHierarchies count="22">
    <cacheHierarchy uniqueName="[Coke].[Date]" caption="Date" attribute="1" time="1" defaultMemberUniqueName="[Coke].[Date].[All]" allUniqueName="[Coke].[Date].[All]" dimensionUniqueName="[Coke]" displayFolder="" count="2" memberValueDatatype="7" unbalanced="0"/>
    <cacheHierarchy uniqueName="[Coke].[Product]" caption="Product" attribute="1" defaultMemberUniqueName="[Coke].[Product].[All]" allUniqueName="[Coke].[Product].[All]" dimensionUniqueName="[Coke]" displayFolder="" count="2" memberValueDatatype="130" unbalanced="0">
      <fieldsUsage count="2">
        <fieldUsage x="-1"/>
        <fieldUsage x="1"/>
      </fieldsUsage>
    </cacheHierarchy>
    <cacheHierarchy uniqueName="[Coke].[Region]" caption="Region" attribute="1" defaultMemberUniqueName="[Coke].[Region].[All]" allUniqueName="[Coke].[Region].[All]" dimensionUniqueName="[Coke]" displayFolder="" count="2" memberValueDatatype="130" unbalanced="0">
      <fieldsUsage count="2">
        <fieldUsage x="-1"/>
        <fieldUsage x="2"/>
      </fieldsUsage>
    </cacheHierarchy>
    <cacheHierarchy uniqueName="[Coke].[Sales_Channel]" caption="Sales_Channel" attribute="1" defaultMemberUniqueName="[Coke].[Sales_Channel].[All]" allUniqueName="[Coke].[Sales_Channel].[All]" dimensionUniqueName="[Coke]" displayFolder="" count="2" memberValueDatatype="130" unbalanced="0"/>
    <cacheHierarchy uniqueName="[Coke].[Sales_Rep]" caption="Sales_Rep" attribute="1" defaultMemberUniqueName="[Coke].[Sales_Rep].[All]" allUniqueName="[Coke].[Sales_Rep].[All]" dimensionUniqueName="[Coke]" displayFolder="" count="2" memberValueDatatype="130" unbalanced="0"/>
    <cacheHierarchy uniqueName="[Coke].[Units_Sold]" caption="Units_Sold" attribute="1" defaultMemberUniqueName="[Coke].[Units_Sold].[All]" allUniqueName="[Coke].[Units_Sold].[All]" dimensionUniqueName="[Coke]" displayFolder="" count="2" memberValueDatatype="20" unbalanced="0"/>
    <cacheHierarchy uniqueName="[Coke].[Unit_Price]" caption="Unit_Price" attribute="1" defaultMemberUniqueName="[Coke].[Unit_Price].[All]" allUniqueName="[Coke].[Unit_Price].[All]" dimensionUniqueName="[Coke]" displayFolder="" count="2" memberValueDatatype="20" unbalanced="0"/>
    <cacheHierarchy uniqueName="[Coke].[Total_Sales]" caption="Total_Sales" attribute="1" defaultMemberUniqueName="[Coke].[Total_Sales].[All]" allUniqueName="[Coke].[Total_Sales].[All]" dimensionUniqueName="[Coke]" displayFolder="" count="2" memberValueDatatype="20" unbalanced="0"/>
    <cacheHierarchy uniqueName="[Coke].[Profit]" caption="Profit" attribute="1" defaultMemberUniqueName="[Coke].[Profit].[All]" allUniqueName="[Coke].[Profit].[All]" dimensionUniqueName="[Coke]" displayFolder="" count="2" memberValueDatatype="5" unbalanced="0"/>
    <cacheHierarchy uniqueName="[Coke].[Monthname]" caption="Monthname" attribute="1" defaultMemberUniqueName="[Coke].[Monthname].[All]" allUniqueName="[Coke].[Monthname].[All]" dimensionUniqueName="[Coke]" displayFolder="" count="2" memberValueDatatype="130" unbalanced="0"/>
    <cacheHierarchy uniqueName="[Coke].[Date (Year)]" caption="Date (Year)" attribute="1" defaultMemberUniqueName="[Coke].[Date (Year)].[All]" allUniqueName="[Coke].[Date (Year)].[All]" dimensionUniqueName="[Coke]" displayFolder="" count="2" memberValueDatatype="130" unbalanced="0"/>
    <cacheHierarchy uniqueName="[Coke].[Date (Quarter)]" caption="Date (Quarter)" attribute="1" defaultMemberUniqueName="[Coke].[Date (Quarter)].[All]" allUniqueName="[Coke].[Date (Quarter)].[All]" dimensionUniqueName="[Coke]" displayFolder="" count="2" memberValueDatatype="130" unbalanced="0"/>
    <cacheHierarchy uniqueName="[Coke].[Date (Month)]" caption="Date (Month)" attribute="1" defaultMemberUniqueName="[Coke].[Date (Month)].[All]" allUniqueName="[Coke].[Date (Month)].[All]" dimensionUniqueName="[Coke]" displayFolder="" count="2" memberValueDatatype="130" unbalanced="0"/>
    <cacheHierarchy uniqueName="[Coke].[Date (Month Index)]" caption="Date (Month Index)" attribute="1" defaultMemberUniqueName="[Coke].[Date (Month Index)].[All]" allUniqueName="[Coke].[Date (Month Index)].[All]" dimensionUniqueName="[Coke]" displayFolder="" count="2" memberValueDatatype="20" unbalanced="0" hidden="1"/>
    <cacheHierarchy uniqueName="[Measures].[Total Reevenue]" caption="Total Reevenue" measure="1" displayFolder="" measureGroup="Coke" count="0"/>
    <cacheHierarchy uniqueName="[Measures].[Total Profit]" caption="Total Profit" measure="1" displayFolder="" measureGroup="Coke" count="0" oneField="1">
      <fieldsUsage count="1">
        <fieldUsage x="0"/>
      </fieldsUsage>
    </cacheHierarchy>
    <cacheHierarchy uniqueName="[Measures].[Avg Price]" caption="Avg Price" measure="1" displayFolder="" measureGroup="Coke" count="0"/>
    <cacheHierarchy uniqueName="[Measures].[Profit Margin%]" caption="Profit Margin%" measure="1" displayFolder="" measureGroup="Coke" count="0"/>
    <cacheHierarchy uniqueName="[Measures].[Unit sold]" caption="Unit sold" measure="1" displayFolder="" measureGroup="Coke" count="0"/>
    <cacheHierarchy uniqueName="[Measures].[__XL_Count Coke]" caption="__XL_Count Coke" measure="1" displayFolder="" measureGroup="Coke" count="0" hidden="1"/>
    <cacheHierarchy uniqueName="[Measures].[__No measures defined]" caption="__No measures defined" measure="1" displayFolder="" count="0" hidden="1"/>
    <cacheHierarchy uniqueName="[Measures].[Sum of Units_Sold]" caption="Sum of Units_Sold" measure="1" displayFolder="" measureGroup="Coke" count="0" hidden="1">
      <extLst>
        <ext xmlns:x15="http://schemas.microsoft.com/office/spreadsheetml/2010/11/main" uri="{B97F6D7D-B522-45F9-BDA1-12C45D357490}">
          <x15:cacheHierarchy aggregatedColumn="5"/>
        </ext>
      </extLst>
    </cacheHierarchy>
  </cacheHierarchies>
  <kpis count="0"/>
  <dimensions count="2">
    <dimension name="Coke" uniqueName="[Coke]" caption="Coke"/>
    <dimension measure="1" name="Measures" uniqueName="[Measures]" caption="Measures"/>
  </dimensions>
  <measureGroups count="1">
    <measureGroup name="Coke" caption="Cok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 refreshedDate="46170.622723379631" createdVersion="3" refreshedVersion="7" minRefreshableVersion="3" recordCount="0" supportSubquery="1" supportAdvancedDrill="1" xr:uid="{20D48F43-942D-4E1B-9627-C3F32872A255}">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Coke].[Date]" caption="Date" attribute="1" time="1" defaultMemberUniqueName="[Coke].[Date].[All]" allUniqueName="[Coke].[Date].[All]" dimensionUniqueName="[Coke]" displayFolder="" count="0" memberValueDatatype="7" unbalanced="0"/>
    <cacheHierarchy uniqueName="[Coke].[Product]" caption="Product" attribute="1" defaultMemberUniqueName="[Coke].[Product].[All]" allUniqueName="[Coke].[Product].[All]" dimensionUniqueName="[Coke]" displayFolder="" count="0" memberValueDatatype="130" unbalanced="0"/>
    <cacheHierarchy uniqueName="[Coke].[Region]" caption="Region" attribute="1" defaultMemberUniqueName="[Coke].[Region].[All]" allUniqueName="[Coke].[Region].[All]" dimensionUniqueName="[Coke]" displayFolder="" count="2" memberValueDatatype="130" unbalanced="0"/>
    <cacheHierarchy uniqueName="[Coke].[Sales_Channel]" caption="Sales_Channel" attribute="1" defaultMemberUniqueName="[Coke].[Sales_Channel].[All]" allUniqueName="[Coke].[Sales_Channel].[All]" dimensionUniqueName="[Coke]" displayFolder="" count="0" memberValueDatatype="130" unbalanced="0"/>
    <cacheHierarchy uniqueName="[Coke].[Sales_Rep]" caption="Sales_Rep" attribute="1" defaultMemberUniqueName="[Coke].[Sales_Rep].[All]" allUniqueName="[Coke].[Sales_Rep].[All]" dimensionUniqueName="[Coke]" displayFolder="" count="0" memberValueDatatype="130" unbalanced="0"/>
    <cacheHierarchy uniqueName="[Coke].[Units_Sold]" caption="Units_Sold" attribute="1" defaultMemberUniqueName="[Coke].[Units_Sold].[All]" allUniqueName="[Coke].[Units_Sold].[All]" dimensionUniqueName="[Coke]" displayFolder="" count="0" memberValueDatatype="20" unbalanced="0"/>
    <cacheHierarchy uniqueName="[Coke].[Unit_Price]" caption="Unit_Price" attribute="1" defaultMemberUniqueName="[Coke].[Unit_Price].[All]" allUniqueName="[Coke].[Unit_Price].[All]" dimensionUniqueName="[Coke]" displayFolder="" count="0" memberValueDatatype="20" unbalanced="0"/>
    <cacheHierarchy uniqueName="[Coke].[Total_Sales]" caption="Total_Sales" attribute="1" defaultMemberUniqueName="[Coke].[Total_Sales].[All]" allUniqueName="[Coke].[Total_Sales].[All]" dimensionUniqueName="[Coke]" displayFolder="" count="0" memberValueDatatype="20" unbalanced="0"/>
    <cacheHierarchy uniqueName="[Coke].[Profit]" caption="Profit" attribute="1" defaultMemberUniqueName="[Coke].[Profit].[All]" allUniqueName="[Coke].[Profit].[All]" dimensionUniqueName="[Coke]" displayFolder="" count="0" memberValueDatatype="5" unbalanced="0"/>
    <cacheHierarchy uniqueName="[Coke].[Monthname]" caption="Monthname" attribute="1" defaultMemberUniqueName="[Coke].[Monthname].[All]" allUniqueName="[Coke].[Monthname].[All]" dimensionUniqueName="[Coke]" displayFolder="" count="0" memberValueDatatype="130" unbalanced="0"/>
    <cacheHierarchy uniqueName="[Coke].[Date (Year)]" caption="Date (Year)" attribute="1" defaultMemberUniqueName="[Coke].[Date (Year)].[All]" allUniqueName="[Coke].[Date (Year)].[All]" dimensionUniqueName="[Coke]" displayFolder="" count="0" memberValueDatatype="130" unbalanced="0"/>
    <cacheHierarchy uniqueName="[Coke].[Date (Quarter)]" caption="Date (Quarter)" attribute="1" defaultMemberUniqueName="[Coke].[Date (Quarter)].[All]" allUniqueName="[Coke].[Date (Quarter)].[All]" dimensionUniqueName="[Coke]" displayFolder="" count="0" memberValueDatatype="130" unbalanced="0"/>
    <cacheHierarchy uniqueName="[Coke].[Date (Month)]" caption="Date (Month)" attribute="1" defaultMemberUniqueName="[Coke].[Date (Month)].[All]" allUniqueName="[Coke].[Date (Month)].[All]" dimensionUniqueName="[Coke]" displayFolder="" count="0" memberValueDatatype="130" unbalanced="0"/>
    <cacheHierarchy uniqueName="[Coke].[Date (Month Index)]" caption="Date (Month Index)" attribute="1" defaultMemberUniqueName="[Coke].[Date (Month Index)].[All]" allUniqueName="[Coke].[Date (Month Index)].[All]" dimensionUniqueName="[Coke]" displayFolder="" count="0" memberValueDatatype="20" unbalanced="0" hidden="1"/>
    <cacheHierarchy uniqueName="[Measures].[Total Reevenue]" caption="Total Reevenue" measure="1" displayFolder="" measureGroup="Coke" count="0"/>
    <cacheHierarchy uniqueName="[Measures].[Total Profit]" caption="Total Profit" measure="1" displayFolder="" measureGroup="Coke" count="0"/>
    <cacheHierarchy uniqueName="[Measures].[Avg Price]" caption="Avg Price" measure="1" displayFolder="" measureGroup="Coke" count="0"/>
    <cacheHierarchy uniqueName="[Measures].[Profit Margin%]" caption="Profit Margin%" measure="1" displayFolder="" measureGroup="Coke" count="0"/>
    <cacheHierarchy uniqueName="[Measures].[Unit sold]" caption="Unit sold" measure="1" displayFolder="" measureGroup="Coke" count="0"/>
    <cacheHierarchy uniqueName="[Measures].[__XL_Count Coke]" caption="__XL_Count Coke" measure="1" displayFolder="" measureGroup="Coke" count="0" hidden="1"/>
    <cacheHierarchy uniqueName="[Measures].[__No measures defined]" caption="__No measures defined" measure="1" displayFolder="" count="0" hidden="1"/>
    <cacheHierarchy uniqueName="[Measures].[Sum of Units_Sold]" caption="Sum of Units_Sold" measure="1" displayFolder="" measureGroup="Cok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3491105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0D558E-32A4-4A30-88F6-C667D7FDBFF7}" name="PivotTable1" cacheId="41" applyNumberFormats="0" applyBorderFormats="0" applyFontFormats="0" applyPatternFormats="0" applyAlignmentFormats="0" applyWidthHeightFormats="1" dataCaption="Values" tag="ef8e2485-573c-4fda-983c-7d01bad774e4" updatedVersion="8" minRefreshableVersion="3" useAutoFormatting="1" itemPrintTitles="1" createdVersion="5" indent="0" outline="1" outlineData="1" multipleFieldFilters="0">
  <location ref="B3:F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numFmtId="167"/>
    <dataField fld="1" subtotal="count" baseField="0" baseItem="0" numFmtId="165"/>
    <dataField fld="2" subtotal="count" baseField="0" baseItem="0"/>
    <dataField fld="3" subtotal="count" baseField="0" baseItem="0"/>
    <dataField fld="4" subtotal="count" baseField="0" baseItem="0" numFmtId="165"/>
  </dataFields>
  <formats count="3">
    <format dxfId="12">
      <pivotArea outline="0" collapsedLevelsAreSubtotals="1" fieldPosition="0">
        <references count="1">
          <reference field="4294967294" count="2" selected="0">
            <x v="0"/>
            <x v="1"/>
          </reference>
        </references>
      </pivotArea>
    </format>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4"/>
          </reference>
        </references>
      </pivotArea>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k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B91D1F-5FEE-494C-ADFF-081EAB8CC13E}" name="PivotTable6" cacheId="42" applyNumberFormats="0" applyBorderFormats="0" applyFontFormats="0" applyPatternFormats="0" applyAlignmentFormats="0" applyWidthHeightFormats="1" dataCaption="Values" tag="694c3aa3-9ab7-44af-89f5-16f6b9fb5e02" updatedVersion="8" minRefreshableVersion="3" useAutoFormatting="1" itemPrintTitles="1" createdVersion="5" indent="0" outline="1" outlineData="1" multipleFieldFilters="0" chartFormat="10">
  <location ref="K32:L3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numFmtId="166"/>
  </dataFields>
  <formats count="2">
    <format dxfId="14">
      <pivotArea outline="0" collapsedLevelsAreSubtotals="1" fieldPosition="0"/>
    </format>
    <format dxfId="13">
      <pivotArea dataOnly="0" labelOnly="1" outline="0" axis="axisValues" fieldPosition="0"/>
    </format>
  </formats>
  <chartFormats count="15">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3"/>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5" format="4">
      <pivotArea type="data" outline="0" fieldPosition="0">
        <references count="2">
          <reference field="4294967294" count="1" selected="0">
            <x v="0"/>
          </reference>
          <reference field="0"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6" format="9">
      <pivotArea type="data" outline="0" fieldPosition="0">
        <references count="2">
          <reference field="4294967294" count="1" selected="0">
            <x v="0"/>
          </reference>
          <reference field="0"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 chart="7" format="13">
      <pivotArea type="data" outline="0" fieldPosition="0">
        <references count="2">
          <reference field="4294967294" count="1" selected="0">
            <x v="0"/>
          </reference>
          <reference field="0" count="1" selected="0">
            <x v="2"/>
          </reference>
        </references>
      </pivotArea>
    </chartFormat>
    <chartFormat chart="7" format="14">
      <pivotArea type="data" outline="0" fieldPosition="0">
        <references count="2">
          <reference field="4294967294" count="1" selected="0">
            <x v="0"/>
          </reference>
          <reference field="0" count="1" selected="0">
            <x v="3"/>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k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44FCE6-CD1A-439F-AA3F-8DBC6C358858}" name="PivotTable5" cacheId="43" applyNumberFormats="0" applyBorderFormats="0" applyFontFormats="0" applyPatternFormats="0" applyAlignmentFormats="0" applyWidthHeightFormats="1" dataCaption="Values" tag="fb10465c-fb48-4a4c-b43c-b2d75bf7c4c9" updatedVersion="8" minRefreshableVersion="3" useAutoFormatting="1" itemPrintTitles="1" createdVersion="5" indent="0" outline="1" outlineData="1" multipleFieldFilters="0" chartFormat="7">
  <location ref="B31:C44"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2">
    <format dxfId="16">
      <pivotArea outline="0" collapsedLevelsAreSubtotals="1" fieldPosition="0"/>
    </format>
    <format dxfId="15">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k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881FD1-183C-4CDB-8294-F81F42B0440C}" name="PivotTable4" cacheId="44" applyNumberFormats="0" applyBorderFormats="0" applyFontFormats="0" applyPatternFormats="0" applyAlignmentFormats="0" applyWidthHeightFormats="1" dataCaption="Values" tag="fc62f431-818a-49ea-a267-072d2cae433b" updatedVersion="8" minRefreshableVersion="3" useAutoFormatting="1" itemPrintTitles="1" createdVersion="5" indent="0" outline="1" outlineData="1" multipleFieldFilters="0" chartFormat="6">
  <location ref="B18:C25"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formats count="2">
    <format dxfId="18">
      <pivotArea outline="0" collapsedLevelsAreSubtotals="1" fieldPosition="0"/>
    </format>
    <format dxfId="17">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k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24CF07-76CE-4B0A-AF7D-62D4D0006F49}" name="PivotTable3" cacheId="53" applyNumberFormats="0" applyBorderFormats="0" applyFontFormats="0" applyPatternFormats="0" applyAlignmentFormats="0" applyWidthHeightFormats="1" dataCaption="Values" tag="512ea78f-9da7-4239-bda9-38affef3c2ed" updatedVersion="7" minRefreshableVersion="3" useAutoFormatting="1" itemPrintTitles="1" createdVersion="5" indent="0" outline="1" outlineData="1" multipleFieldFilters="0" chartFormat="3">
  <location ref="B7:C16" firstHeaderRow="1" firstDataRow="1" firstDataCol="1"/>
  <pivotFields count="3">
    <pivotField dataField="1" subtotalTop="0" showAll="0" defaultSubtotal="0"/>
    <pivotField axis="axisRow" allDrilled="1" subtotalTop="0" showAll="0"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numFmtId="165"/>
  </dataFields>
  <formats count="2">
    <format dxfId="20">
      <pivotArea outline="0" collapsedLevelsAreSubtotals="1" fieldPosition="0"/>
    </format>
    <format dxfId="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members count="1" level="1">
        <member name="[Coke].[Region].&amp;[Abuj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k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5759BD-7DBA-4BBB-ADA9-09DD98EFB5A7}" name="PivotTable2" cacheId="45" applyNumberFormats="0" applyBorderFormats="0" applyFontFormats="0" applyPatternFormats="0" applyAlignmentFormats="0" applyWidthHeightFormats="1" dataCaption="Values" tag="5cc9afd9-e764-44e5-bed5-4b15b8299f76" updatedVersion="7" minRefreshableVersion="3" useAutoFormatting="1" itemPrintTitles="1" createdVersion="5" indent="0" outline="1" outlineData="1" multipleFieldFilters="0">
  <location ref="I3:N7"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items count="3">
        <item x="0" e="0"/>
        <item x="1" e="0"/>
        <item x="2" e="0"/>
      </items>
    </pivotField>
    <pivotField dataField="1" subtotalTop="0" showAll="0" defaultSubtotal="0"/>
  </pivotFields>
  <rowFields count="1">
    <field x="4"/>
  </rowFields>
  <rowItems count="4">
    <i>
      <x/>
    </i>
    <i>
      <x v="1"/>
    </i>
    <i>
      <x v="2"/>
    </i>
    <i t="grand">
      <x/>
    </i>
  </rowItems>
  <colFields count="1">
    <field x="-2"/>
  </colFields>
  <colItems count="5">
    <i>
      <x/>
    </i>
    <i i="1">
      <x v="1"/>
    </i>
    <i i="2">
      <x v="2"/>
    </i>
    <i i="3">
      <x v="3"/>
    </i>
    <i i="4">
      <x v="4"/>
    </i>
  </colItems>
  <dataFields count="5">
    <dataField fld="0" subtotal="count" baseField="0" baseItem="0" numFmtId="165"/>
    <dataField name="Units_Sold" fld="5" baseField="4" baseItem="0"/>
    <dataField fld="1" subtotal="count" baseField="0" baseItem="0" numFmtId="165"/>
    <dataField fld="2" subtotal="count" baseField="0" baseItem="0"/>
    <dataField fld="3" subtotal="count" baseField="0" baseItem="0"/>
  </dataFields>
  <formats count="3">
    <format dxfId="23">
      <pivotArea outline="0" collapsedLevelsAreSubtotals="1" fieldPosition="0">
        <references count="1">
          <reference field="4294967294" count="2" selected="0">
            <x v="0"/>
            <x v="2"/>
          </reference>
        </references>
      </pivotArea>
    </format>
    <format dxfId="22">
      <pivotArea collapsedLevelsAreSubtotals="1" fieldPosition="0">
        <references count="2">
          <reference field="4294967294" count="1" selected="0">
            <x v="1"/>
          </reference>
          <reference field="4" count="0"/>
        </references>
      </pivotArea>
    </format>
    <format dxfId="21">
      <pivotArea field="4" grandRow="1" outline="0" collapsedLevelsAreSubtotals="1" axis="axisRow" fieldPosition="0">
        <references count="1">
          <reference field="4294967294" count="1" selected="0">
            <x v="1"/>
          </reference>
        </references>
      </pivotArea>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Units_Sold"/>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k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9BBDBE-C68C-4736-B48B-B172F321E48E}" autoFormatId="16" applyNumberFormats="0" applyBorderFormats="0" applyFontFormats="0" applyPatternFormats="0" applyAlignmentFormats="0" applyWidthHeightFormats="0">
  <queryTableRefresh nextId="11">
    <queryTableFields count="10">
      <queryTableField id="1" name="Date" tableColumnId="1"/>
      <queryTableField id="2" name="Product" tableColumnId="2"/>
      <queryTableField id="3" name="Region" tableColumnId="3"/>
      <queryTableField id="4" name="Sales_Channel" tableColumnId="4"/>
      <queryTableField id="5" name="Sales_Rep" tableColumnId="5"/>
      <queryTableField id="6" name="Units_Sold" tableColumnId="6"/>
      <queryTableField id="7" name="Unit_Price" tableColumnId="7"/>
      <queryTableField id="8" name="Total_Sales" tableColumnId="8"/>
      <queryTableField id="9" name="Profit" tableColumnId="9"/>
      <queryTableField id="10" name="Monthnam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3B772F-D9CB-4683-9D40-2F8EBAE8ACD6}" sourceName="[Coke].[Region]">
  <pivotTables>
    <pivotTable tabId="3" name="PivotTable3"/>
  </pivotTables>
  <data>
    <olap pivotCacheId="349110572">
      <levels count="2">
        <level uniqueName="[Coke].[Region].[(All)]" sourceCaption="(All)" count="0"/>
        <level uniqueName="[Coke].[Region].[Region]" sourceCaption="Region" count="6">
          <ranges>
            <range startItem="0">
              <i n="[Coke].[Region].&amp;[Abuja]" c="Abuja"/>
              <i n="[Coke].[Region].&amp;[Enugu]" c="Enugu"/>
              <i n="[Coke].[Region].&amp;[Ibadan]" c="Ibadan"/>
              <i n="[Coke].[Region].&amp;[Kano]" c="Kano"/>
              <i n="[Coke].[Region].&amp;[Lagos]" c="Lagos"/>
              <i n="[Coke].[Region].&amp;[Port Harcourt]" c="Port Harcourt"/>
            </range>
          </ranges>
        </level>
      </levels>
      <selections count="1">
        <selection n="[Coke].[Region].&amp;[Abuj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EF5D1FD-5C55-4B66-977A-016B02DD79B2}" cache="Slicer_Region" caption="Region" columnCount="6" showCaption="0" level="1"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C6D6A0-FBF0-4144-ABB7-F627BD467E6F}" name="Coke" displayName="Coke" ref="A1:J3501" tableType="queryTable" totalsRowShown="0">
  <autoFilter ref="A1:J3501" xr:uid="{6AC6D6A0-FBF0-4144-ABB7-F627BD467E6F}"/>
  <tableColumns count="10">
    <tableColumn id="1" xr3:uid="{DDB637B0-5F8F-4923-AC95-1835532F8431}" uniqueName="1" name="Date" queryTableFieldId="1" dataDxfId="9"/>
    <tableColumn id="2" xr3:uid="{69079CCC-9C99-4ADF-977F-20876ABC48D5}" uniqueName="2" name="Product" queryTableFieldId="2" dataDxfId="8"/>
    <tableColumn id="3" xr3:uid="{332D8935-A9E3-4B1C-B5A5-59751B7A8183}" uniqueName="3" name="Region" queryTableFieldId="3" dataDxfId="7"/>
    <tableColumn id="4" xr3:uid="{B94DE63C-3696-40C3-899D-59FFEC012E45}" uniqueName="4" name="Sales_Channel" queryTableFieldId="4" dataDxfId="6"/>
    <tableColumn id="5" xr3:uid="{9D3A947E-F0C1-4B6D-A66D-E2AFFF7CD726}" uniqueName="5" name="Sales_Rep" queryTableFieldId="5" dataDxfId="5"/>
    <tableColumn id="6" xr3:uid="{F3724E24-CF0E-4718-BED5-F0FFF5CF083C}" uniqueName="6" name="Units_Sold" queryTableFieldId="6"/>
    <tableColumn id="7" xr3:uid="{F75D8394-9AC4-40F0-BFE5-89AA76ED27D9}" uniqueName="7" name="Unit_Price" queryTableFieldId="7"/>
    <tableColumn id="8" xr3:uid="{A65EC940-EEAB-422B-A548-44A5B6F88B82}" uniqueName="8" name="Total_Sales" queryTableFieldId="8"/>
    <tableColumn id="9" xr3:uid="{6559F2F3-DEF7-4941-A453-1BB6393D4E54}" uniqueName="9" name="Profit" queryTableFieldId="9"/>
    <tableColumn id="10" xr3:uid="{30B042F5-74E1-4C7E-9D22-7C41AF9561B0}" uniqueName="10" name="Monthname" queryTableFieldId="10"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C98C0-CA7B-490C-A410-82297AAB6678}">
  <dimension ref="B2:T44"/>
  <sheetViews>
    <sheetView workbookViewId="0"/>
  </sheetViews>
  <sheetFormatPr defaultRowHeight="14.5" x14ac:dyDescent="0.35"/>
  <cols>
    <col min="2" max="2" width="15.08984375" bestFit="1" customWidth="1"/>
    <col min="3" max="3" width="10.26953125" bestFit="1" customWidth="1"/>
    <col min="4" max="4" width="9.1796875" bestFit="1" customWidth="1"/>
    <col min="5" max="5" width="14.453125" bestFit="1" customWidth="1"/>
    <col min="6" max="6" width="10.54296875" bestFit="1" customWidth="1"/>
    <col min="9" max="9" width="12.36328125" bestFit="1" customWidth="1"/>
    <col min="10" max="10" width="13.81640625" bestFit="1" customWidth="1"/>
    <col min="11" max="11" width="9.7265625" bestFit="1" customWidth="1"/>
    <col min="12" max="12" width="10.26953125" bestFit="1" customWidth="1"/>
    <col min="13" max="13" width="8.36328125" bestFit="1" customWidth="1"/>
    <col min="14" max="14" width="13.453125" bestFit="1" customWidth="1"/>
    <col min="15" max="15" width="10.26953125" bestFit="1" customWidth="1"/>
    <col min="16" max="16" width="11" bestFit="1" customWidth="1"/>
    <col min="17" max="17" width="10" bestFit="1" customWidth="1"/>
  </cols>
  <sheetData>
    <row r="2" spans="2:20" x14ac:dyDescent="0.35">
      <c r="O2" s="19" t="s">
        <v>57</v>
      </c>
      <c r="P2" s="19"/>
      <c r="Q2" s="19"/>
      <c r="R2" s="19"/>
      <c r="S2" s="19"/>
      <c r="T2" s="19"/>
    </row>
    <row r="3" spans="2:20" x14ac:dyDescent="0.35">
      <c r="B3" t="s">
        <v>48</v>
      </c>
      <c r="C3" t="s">
        <v>49</v>
      </c>
      <c r="D3" t="s">
        <v>50</v>
      </c>
      <c r="E3" t="s">
        <v>51</v>
      </c>
      <c r="F3" t="s">
        <v>67</v>
      </c>
      <c r="I3" s="5" t="s">
        <v>52</v>
      </c>
      <c r="J3" t="s">
        <v>48</v>
      </c>
      <c r="K3" t="s">
        <v>5</v>
      </c>
      <c r="L3" t="s">
        <v>49</v>
      </c>
      <c r="M3" t="s">
        <v>50</v>
      </c>
      <c r="N3" t="s">
        <v>51</v>
      </c>
      <c r="O3" s="8" t="s">
        <v>58</v>
      </c>
      <c r="P3" s="8" t="s">
        <v>63</v>
      </c>
      <c r="Q3" s="8" t="s">
        <v>64</v>
      </c>
      <c r="R3" s="8" t="s">
        <v>65</v>
      </c>
      <c r="S3" s="8" t="s">
        <v>66</v>
      </c>
      <c r="T3" s="8"/>
    </row>
    <row r="4" spans="2:20" x14ac:dyDescent="0.35">
      <c r="B4" s="16">
        <v>550140430</v>
      </c>
      <c r="C4" s="6">
        <v>90360068.951700002</v>
      </c>
      <c r="D4" s="3">
        <v>299.3245714285714</v>
      </c>
      <c r="E4" s="4">
        <v>0.16424909718360456</v>
      </c>
      <c r="F4" s="6">
        <v>1848235</v>
      </c>
      <c r="I4" s="7" t="s">
        <v>54</v>
      </c>
      <c r="J4" s="6">
        <v>182045946</v>
      </c>
      <c r="K4" s="15">
        <v>609355</v>
      </c>
      <c r="L4" s="6">
        <v>30060310.442699999</v>
      </c>
      <c r="M4" s="3">
        <v>300.09259259259261</v>
      </c>
      <c r="N4" s="4">
        <v>0.16512485503357488</v>
      </c>
      <c r="O4" s="8" t="s">
        <v>59</v>
      </c>
      <c r="P4" s="10">
        <f>GETPIVOTDATA("[Measures].[Total Reevenue]",$I$3,"[Coke].[Date (Year)]","[Coke].[Date (Year)].&amp;[2025]")</f>
        <v>185663521</v>
      </c>
      <c r="Q4" s="10">
        <f>GETPIVOTDATA("[Measures].[Total Reevenue]",$I$3,"[Coke].[Date (Year)]","[Coke].[Date (Year)].&amp;[2024]")</f>
        <v>182430963</v>
      </c>
      <c r="R4" s="12">
        <f>(P4-Q4)/Q4</f>
        <v>1.7719349538268897E-2</v>
      </c>
      <c r="S4" s="14" t="str">
        <f>IF(R4&gt;0,"▲","▼")&amp;TEXT(ABS(R4),"0%")&amp;"YoY"</f>
        <v>▲2%YoY</v>
      </c>
      <c r="T4" s="8"/>
    </row>
    <row r="5" spans="2:20" x14ac:dyDescent="0.35">
      <c r="I5" s="7" t="s">
        <v>55</v>
      </c>
      <c r="J5" s="6">
        <v>182430963</v>
      </c>
      <c r="K5" s="15">
        <v>614587</v>
      </c>
      <c r="L5" s="6">
        <v>30262946.655000001</v>
      </c>
      <c r="M5" s="3">
        <v>297.00341296928326</v>
      </c>
      <c r="N5" s="4">
        <v>0.16588711782988286</v>
      </c>
      <c r="O5" s="8" t="s">
        <v>60</v>
      </c>
      <c r="P5" s="10">
        <f>GETPIVOTDATA("[Measures].[Total Profit]",$I$3,"[Coke].[Date (Year)]","[Coke].[Date (Year)].&amp;[2025]")</f>
        <v>30036811.853999998</v>
      </c>
      <c r="Q5" s="10">
        <f>GETPIVOTDATA("[Measures].[Total Profit]",$I$3,"[Coke].[Date (Year)]","[Coke].[Date (Year)].&amp;[2024]")</f>
        <v>30262946.655000001</v>
      </c>
      <c r="R5" s="12">
        <f t="shared" ref="R5:R6" si="0">(P5-Q5)/Q5</f>
        <v>-7.4723325384655195E-3</v>
      </c>
      <c r="S5" s="13" t="str">
        <f>IF(R5&gt;W12,"▲","▼")&amp;TEXT(ABS(R5),"0%")&amp;"YoY"</f>
        <v>▼1%YoY</v>
      </c>
      <c r="T5" s="8"/>
    </row>
    <row r="6" spans="2:20" x14ac:dyDescent="0.35">
      <c r="I6" s="7" t="s">
        <v>56</v>
      </c>
      <c r="J6" s="6">
        <v>185663521</v>
      </c>
      <c r="K6" s="15">
        <v>624293</v>
      </c>
      <c r="L6" s="6">
        <v>30036811.853999998</v>
      </c>
      <c r="M6" s="3">
        <v>300.87353433835847</v>
      </c>
      <c r="N6" s="4">
        <v>0.16178090177445251</v>
      </c>
      <c r="O6" s="8" t="s">
        <v>61</v>
      </c>
      <c r="P6" s="11">
        <f>GETPIVOTDATA("[Measures].[Avg Price]",$I$3,"[Coke].[Date (Year)]","[Coke].[Date (Year)].&amp;[2025]")</f>
        <v>300.87353433835847</v>
      </c>
      <c r="Q6" s="11">
        <f>GETPIVOTDATA("[Measures].[Avg Price]",$I$3,"[Coke].[Date (Year)]","[Coke].[Date (Year)].&amp;[2024]")</f>
        <v>297.00341296928326</v>
      </c>
      <c r="R6" s="12">
        <f t="shared" si="0"/>
        <v>1.3030561939958123E-2</v>
      </c>
      <c r="S6" s="14" t="str">
        <f>IF(R6&gt;0,"▲","▼")&amp;TEXT(ABS(R6),"0%")&amp;"YoY"</f>
        <v>▲1%YoY</v>
      </c>
      <c r="T6" s="8"/>
    </row>
    <row r="7" spans="2:20" x14ac:dyDescent="0.35">
      <c r="B7" s="5" t="s">
        <v>52</v>
      </c>
      <c r="C7" s="6" t="s">
        <v>49</v>
      </c>
      <c r="I7" s="7" t="s">
        <v>53</v>
      </c>
      <c r="J7" s="6">
        <v>550140430</v>
      </c>
      <c r="K7" s="6">
        <v>1848235</v>
      </c>
      <c r="L7" s="6">
        <v>90360068.951700002</v>
      </c>
      <c r="M7" s="3">
        <v>299.3245714285714</v>
      </c>
      <c r="N7" s="4">
        <v>0.16424909718360456</v>
      </c>
      <c r="O7" s="9" t="s">
        <v>62</v>
      </c>
      <c r="P7" s="11">
        <f>GETPIVOTDATA("[Measures].[Profit Margin%]",$I$3,"[Coke].[Date (Year)]","[Coke].[Date (Year)].&amp;[2025]")</f>
        <v>0.16178090177445251</v>
      </c>
      <c r="Q7" s="11">
        <f>GETPIVOTDATA("[Measures].[Profit Margin%]",$I$3,"[Coke].[Date (Year)]","[Coke].[Date (Year)].&amp;[2024]")</f>
        <v>0.16588711782988286</v>
      </c>
      <c r="R7" s="12">
        <f>(P7-Q7)/Q7</f>
        <v>-2.4753073711493816E-2</v>
      </c>
      <c r="S7" s="13" t="str">
        <f>IF(R7&gt;0,"▲","▼")&amp;TEXT(ABS(R7),"0%")&amp;"YoY"</f>
        <v>▼2%YoY</v>
      </c>
      <c r="T7" s="8"/>
    </row>
    <row r="8" spans="2:20" x14ac:dyDescent="0.35">
      <c r="B8" s="7" t="s">
        <v>25</v>
      </c>
      <c r="C8" s="6">
        <v>2217471.7286</v>
      </c>
      <c r="O8" s="17" t="s">
        <v>68</v>
      </c>
      <c r="P8" s="15">
        <f>GETPIVOTDATA("[Measures].[Sum of Units_Sold]",$I$3,"[Coke].[Date (Year)]","[Coke].[Date (Year)].&amp;[2025]")</f>
        <v>624293</v>
      </c>
      <c r="Q8" s="15">
        <f>GETPIVOTDATA("[Measures].[Sum of Units_Sold]",$I$3,"[Coke].[Date (Year)]","[Coke].[Date (Year)].&amp;[2024]")</f>
        <v>614587</v>
      </c>
      <c r="R8" s="12">
        <f>(P8-Q8)/Q8</f>
        <v>1.5792719338352423E-2</v>
      </c>
      <c r="S8" s="18" t="str">
        <f>IF(R8&gt;0,"▲","▼")&amp;TEXT(ABS(R8),"0%")&amp;"YoY"</f>
        <v>▲2%YoY</v>
      </c>
    </row>
    <row r="9" spans="2:20" x14ac:dyDescent="0.35">
      <c r="B9" s="7" t="s">
        <v>15</v>
      </c>
      <c r="C9" s="6">
        <v>2257885.4032000001</v>
      </c>
    </row>
    <row r="10" spans="2:20" x14ac:dyDescent="0.35">
      <c r="B10" s="7" t="s">
        <v>26</v>
      </c>
      <c r="C10" s="6">
        <v>2199348.5211</v>
      </c>
    </row>
    <row r="11" spans="2:20" x14ac:dyDescent="0.35">
      <c r="B11" s="7" t="s">
        <v>10</v>
      </c>
      <c r="C11" s="6">
        <v>2099678.4619999998</v>
      </c>
    </row>
    <row r="12" spans="2:20" x14ac:dyDescent="0.35">
      <c r="B12" s="7" t="s">
        <v>19</v>
      </c>
      <c r="C12" s="6">
        <v>2305606.4792999998</v>
      </c>
    </row>
    <row r="13" spans="2:20" x14ac:dyDescent="0.35">
      <c r="B13" s="7" t="s">
        <v>36</v>
      </c>
      <c r="C13" s="6">
        <v>2030499.4765000001</v>
      </c>
    </row>
    <row r="14" spans="2:20" x14ac:dyDescent="0.35">
      <c r="B14" s="7" t="s">
        <v>34</v>
      </c>
      <c r="C14" s="6">
        <v>2025738.7619</v>
      </c>
    </row>
    <row r="15" spans="2:20" x14ac:dyDescent="0.35">
      <c r="B15" s="7" t="s">
        <v>31</v>
      </c>
      <c r="C15" s="6">
        <v>1485172.1440000001</v>
      </c>
    </row>
    <row r="16" spans="2:20" x14ac:dyDescent="0.35">
      <c r="B16" s="7" t="s">
        <v>53</v>
      </c>
      <c r="C16" s="6">
        <v>16621400.976600001</v>
      </c>
    </row>
    <row r="18" spans="2:12" x14ac:dyDescent="0.35">
      <c r="B18" s="5" t="s">
        <v>52</v>
      </c>
      <c r="C18" s="6" t="s">
        <v>48</v>
      </c>
    </row>
    <row r="19" spans="2:12" x14ac:dyDescent="0.35">
      <c r="B19" s="7" t="s">
        <v>23</v>
      </c>
      <c r="C19" s="6">
        <v>98809257</v>
      </c>
    </row>
    <row r="20" spans="2:12" x14ac:dyDescent="0.35">
      <c r="B20" s="7" t="s">
        <v>29</v>
      </c>
      <c r="C20" s="6">
        <v>92110759</v>
      </c>
    </row>
    <row r="21" spans="2:12" x14ac:dyDescent="0.35">
      <c r="B21" s="7" t="s">
        <v>27</v>
      </c>
      <c r="C21" s="6">
        <v>93648555</v>
      </c>
    </row>
    <row r="22" spans="2:12" x14ac:dyDescent="0.35">
      <c r="B22" s="7" t="s">
        <v>20</v>
      </c>
      <c r="C22" s="6">
        <v>90317019</v>
      </c>
    </row>
    <row r="23" spans="2:12" x14ac:dyDescent="0.35">
      <c r="B23" s="7" t="s">
        <v>11</v>
      </c>
      <c r="C23" s="6">
        <v>91753332</v>
      </c>
    </row>
    <row r="24" spans="2:12" x14ac:dyDescent="0.35">
      <c r="B24" s="7" t="s">
        <v>16</v>
      </c>
      <c r="C24" s="6">
        <v>83501508</v>
      </c>
    </row>
    <row r="25" spans="2:12" x14ac:dyDescent="0.35">
      <c r="B25" s="7" t="s">
        <v>53</v>
      </c>
      <c r="C25" s="6">
        <v>550140430</v>
      </c>
    </row>
    <row r="31" spans="2:12" x14ac:dyDescent="0.35">
      <c r="B31" s="5" t="s">
        <v>52</v>
      </c>
      <c r="C31" s="6" t="s">
        <v>48</v>
      </c>
    </row>
    <row r="32" spans="2:12" x14ac:dyDescent="0.35">
      <c r="B32" s="7" t="s">
        <v>14</v>
      </c>
      <c r="C32" s="6">
        <v>43363758</v>
      </c>
      <c r="K32" s="5" t="s">
        <v>52</v>
      </c>
      <c r="L32" s="15" t="s">
        <v>67</v>
      </c>
    </row>
    <row r="33" spans="2:12" x14ac:dyDescent="0.35">
      <c r="B33" s="7" t="s">
        <v>37</v>
      </c>
      <c r="C33" s="6">
        <v>44993830</v>
      </c>
      <c r="K33" s="7" t="s">
        <v>12</v>
      </c>
      <c r="L33" s="15">
        <v>459805</v>
      </c>
    </row>
    <row r="34" spans="2:12" x14ac:dyDescent="0.35">
      <c r="B34" s="7" t="s">
        <v>38</v>
      </c>
      <c r="C34" s="6">
        <v>49024083</v>
      </c>
      <c r="K34" s="7" t="s">
        <v>30</v>
      </c>
      <c r="L34" s="15">
        <v>467560</v>
      </c>
    </row>
    <row r="35" spans="2:12" x14ac:dyDescent="0.35">
      <c r="B35" s="7" t="s">
        <v>39</v>
      </c>
      <c r="C35" s="6">
        <v>45235536</v>
      </c>
      <c r="K35" s="7" t="s">
        <v>17</v>
      </c>
      <c r="L35" s="15">
        <v>484418</v>
      </c>
    </row>
    <row r="36" spans="2:12" x14ac:dyDescent="0.35">
      <c r="B36" s="7" t="s">
        <v>40</v>
      </c>
      <c r="C36" s="6">
        <v>49023660</v>
      </c>
      <c r="K36" s="7" t="s">
        <v>21</v>
      </c>
      <c r="L36" s="15">
        <v>436452</v>
      </c>
    </row>
    <row r="37" spans="2:12" x14ac:dyDescent="0.35">
      <c r="B37" s="7" t="s">
        <v>41</v>
      </c>
      <c r="C37" s="6">
        <v>44462710</v>
      </c>
      <c r="K37" s="7" t="s">
        <v>53</v>
      </c>
      <c r="L37" s="15">
        <v>1848235</v>
      </c>
    </row>
    <row r="38" spans="2:12" x14ac:dyDescent="0.35">
      <c r="B38" s="7" t="s">
        <v>42</v>
      </c>
      <c r="C38" s="6">
        <v>49197766</v>
      </c>
    </row>
    <row r="39" spans="2:12" x14ac:dyDescent="0.35">
      <c r="B39" s="7" t="s">
        <v>43</v>
      </c>
      <c r="C39" s="6">
        <v>43947861</v>
      </c>
    </row>
    <row r="40" spans="2:12" x14ac:dyDescent="0.35">
      <c r="B40" s="7" t="s">
        <v>44</v>
      </c>
      <c r="C40" s="6">
        <v>43829329</v>
      </c>
    </row>
    <row r="41" spans="2:12" x14ac:dyDescent="0.35">
      <c r="B41" s="7" t="s">
        <v>45</v>
      </c>
      <c r="C41" s="6">
        <v>48984242</v>
      </c>
    </row>
    <row r="42" spans="2:12" x14ac:dyDescent="0.35">
      <c r="B42" s="7" t="s">
        <v>46</v>
      </c>
      <c r="C42" s="6">
        <v>43801014</v>
      </c>
    </row>
    <row r="43" spans="2:12" x14ac:dyDescent="0.35">
      <c r="B43" s="7" t="s">
        <v>47</v>
      </c>
      <c r="C43" s="6">
        <v>44276641</v>
      </c>
    </row>
    <row r="44" spans="2:12" x14ac:dyDescent="0.35">
      <c r="B44" s="7" t="s">
        <v>53</v>
      </c>
      <c r="C44" s="6">
        <v>550140430</v>
      </c>
    </row>
  </sheetData>
  <mergeCells count="1">
    <mergeCell ref="O2:T2"/>
  </mergeCells>
  <pageMargins left="0.7" right="0.7" top="0.75" bottom="0.75" header="0.3" footer="0.3"/>
  <pageSetup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A0537-F763-4FB7-A3B4-D07E9BDD6727}">
  <dimension ref="A1:J3501"/>
  <sheetViews>
    <sheetView workbookViewId="0"/>
  </sheetViews>
  <sheetFormatPr defaultRowHeight="14.5" x14ac:dyDescent="0.35"/>
  <cols>
    <col min="1" max="1" width="10.7265625" bestFit="1" customWidth="1"/>
    <col min="2" max="2" width="16.1796875" bestFit="1" customWidth="1"/>
    <col min="3" max="3" width="12.7265625" bestFit="1" customWidth="1"/>
    <col min="4" max="4" width="16.26953125" bestFit="1" customWidth="1"/>
    <col min="5" max="5" width="12.26953125" bestFit="1" customWidth="1"/>
    <col min="6" max="6" width="12.81640625" bestFit="1" customWidth="1"/>
    <col min="7" max="7" width="12.54296875" bestFit="1" customWidth="1"/>
    <col min="8" max="8" width="13.26953125" bestFit="1" customWidth="1"/>
    <col min="9" max="9" width="12" bestFit="1" customWidth="1"/>
    <col min="10" max="10" width="14.26953125" bestFit="1" customWidth="1"/>
  </cols>
  <sheetData>
    <row r="1" spans="1:10" x14ac:dyDescent="0.35">
      <c r="A1" t="s">
        <v>0</v>
      </c>
      <c r="B1" t="s">
        <v>1</v>
      </c>
      <c r="C1" t="s">
        <v>2</v>
      </c>
      <c r="D1" t="s">
        <v>3</v>
      </c>
      <c r="E1" t="s">
        <v>4</v>
      </c>
      <c r="F1" t="s">
        <v>5</v>
      </c>
      <c r="G1" t="s">
        <v>6</v>
      </c>
      <c r="H1" t="s">
        <v>7</v>
      </c>
      <c r="I1" t="s">
        <v>8</v>
      </c>
      <c r="J1" t="s">
        <v>9</v>
      </c>
    </row>
    <row r="2" spans="1:10" x14ac:dyDescent="0.35">
      <c r="A2" s="1">
        <v>44927</v>
      </c>
      <c r="B2" s="2" t="s">
        <v>10</v>
      </c>
      <c r="C2" s="2" t="s">
        <v>11</v>
      </c>
      <c r="D2" s="2" t="s">
        <v>12</v>
      </c>
      <c r="E2" s="2" t="s">
        <v>13</v>
      </c>
      <c r="F2">
        <v>234</v>
      </c>
      <c r="G2">
        <v>176</v>
      </c>
      <c r="H2">
        <v>41184</v>
      </c>
      <c r="I2">
        <v>8321.1525999999994</v>
      </c>
      <c r="J2" s="2" t="s">
        <v>14</v>
      </c>
    </row>
    <row r="3" spans="1:10" x14ac:dyDescent="0.35">
      <c r="A3" s="1">
        <v>44927</v>
      </c>
      <c r="B3" s="2" t="s">
        <v>15</v>
      </c>
      <c r="C3" s="2" t="s">
        <v>16</v>
      </c>
      <c r="D3" s="2" t="s">
        <v>17</v>
      </c>
      <c r="E3" s="2" t="s">
        <v>18</v>
      </c>
      <c r="F3">
        <v>689</v>
      </c>
      <c r="G3">
        <v>454</v>
      </c>
      <c r="H3">
        <v>312806</v>
      </c>
      <c r="I3">
        <v>71720.110499999995</v>
      </c>
      <c r="J3" s="2" t="s">
        <v>14</v>
      </c>
    </row>
    <row r="4" spans="1:10" x14ac:dyDescent="0.35">
      <c r="A4" s="1">
        <v>44927</v>
      </c>
      <c r="B4" s="2" t="s">
        <v>19</v>
      </c>
      <c r="C4" s="2" t="s">
        <v>20</v>
      </c>
      <c r="D4" s="2" t="s">
        <v>21</v>
      </c>
      <c r="E4" s="2" t="s">
        <v>22</v>
      </c>
      <c r="F4">
        <v>804</v>
      </c>
      <c r="G4">
        <v>407</v>
      </c>
      <c r="H4">
        <v>327228</v>
      </c>
      <c r="I4">
        <v>74787.971000000005</v>
      </c>
      <c r="J4" s="2" t="s">
        <v>14</v>
      </c>
    </row>
    <row r="5" spans="1:10" x14ac:dyDescent="0.35">
      <c r="A5" s="1">
        <v>44927</v>
      </c>
      <c r="B5" s="2" t="s">
        <v>19</v>
      </c>
      <c r="C5" s="2" t="s">
        <v>23</v>
      </c>
      <c r="D5" s="2" t="s">
        <v>21</v>
      </c>
      <c r="E5" s="2" t="s">
        <v>24</v>
      </c>
      <c r="F5">
        <v>942</v>
      </c>
      <c r="G5">
        <v>418</v>
      </c>
      <c r="H5">
        <v>393756</v>
      </c>
      <c r="I5">
        <v>51928.074800000002</v>
      </c>
      <c r="J5" s="2" t="s">
        <v>14</v>
      </c>
    </row>
    <row r="6" spans="1:10" x14ac:dyDescent="0.35">
      <c r="A6" s="1">
        <v>44927</v>
      </c>
      <c r="B6" s="2" t="s">
        <v>25</v>
      </c>
      <c r="C6" s="2" t="s">
        <v>16</v>
      </c>
      <c r="D6" s="2" t="s">
        <v>12</v>
      </c>
      <c r="E6" s="2" t="s">
        <v>22</v>
      </c>
      <c r="F6">
        <v>973</v>
      </c>
      <c r="G6">
        <v>183</v>
      </c>
      <c r="H6">
        <v>178059</v>
      </c>
      <c r="I6">
        <v>32773.295299999998</v>
      </c>
      <c r="J6" s="2" t="s">
        <v>14</v>
      </c>
    </row>
    <row r="7" spans="1:10" x14ac:dyDescent="0.35">
      <c r="A7" s="1">
        <v>44928</v>
      </c>
      <c r="B7" s="2" t="s">
        <v>26</v>
      </c>
      <c r="C7" s="2" t="s">
        <v>11</v>
      </c>
      <c r="D7" s="2" t="s">
        <v>12</v>
      </c>
      <c r="E7" s="2" t="s">
        <v>18</v>
      </c>
      <c r="F7">
        <v>925</v>
      </c>
      <c r="G7">
        <v>414</v>
      </c>
      <c r="H7">
        <v>382950</v>
      </c>
      <c r="I7">
        <v>39880.5314</v>
      </c>
      <c r="J7" s="2" t="s">
        <v>14</v>
      </c>
    </row>
    <row r="8" spans="1:10" x14ac:dyDescent="0.35">
      <c r="A8" s="1">
        <v>44928</v>
      </c>
      <c r="B8" s="2" t="s">
        <v>19</v>
      </c>
      <c r="C8" s="2" t="s">
        <v>27</v>
      </c>
      <c r="D8" s="2" t="s">
        <v>21</v>
      </c>
      <c r="E8" s="2" t="s">
        <v>28</v>
      </c>
      <c r="F8">
        <v>422</v>
      </c>
      <c r="G8">
        <v>232</v>
      </c>
      <c r="H8">
        <v>97904</v>
      </c>
      <c r="I8">
        <v>20858.711299999999</v>
      </c>
      <c r="J8" s="2" t="s">
        <v>14</v>
      </c>
    </row>
    <row r="9" spans="1:10" x14ac:dyDescent="0.35">
      <c r="A9" s="1">
        <v>44928</v>
      </c>
      <c r="B9" s="2" t="s">
        <v>26</v>
      </c>
      <c r="C9" s="2" t="s">
        <v>29</v>
      </c>
      <c r="D9" s="2" t="s">
        <v>30</v>
      </c>
      <c r="E9" s="2" t="s">
        <v>22</v>
      </c>
      <c r="F9">
        <v>940</v>
      </c>
      <c r="G9">
        <v>413</v>
      </c>
      <c r="H9">
        <v>388220</v>
      </c>
      <c r="I9">
        <v>44473.821100000001</v>
      </c>
      <c r="J9" s="2" t="s">
        <v>14</v>
      </c>
    </row>
    <row r="10" spans="1:10" x14ac:dyDescent="0.35">
      <c r="A10" s="1">
        <v>44928</v>
      </c>
      <c r="B10" s="2" t="s">
        <v>31</v>
      </c>
      <c r="C10" s="2" t="s">
        <v>16</v>
      </c>
      <c r="D10" s="2" t="s">
        <v>12</v>
      </c>
      <c r="E10" s="2" t="s">
        <v>32</v>
      </c>
      <c r="F10">
        <v>246</v>
      </c>
      <c r="G10">
        <v>222</v>
      </c>
      <c r="H10">
        <v>54612</v>
      </c>
      <c r="I10">
        <v>7876.6400999999996</v>
      </c>
      <c r="J10" s="2" t="s">
        <v>14</v>
      </c>
    </row>
    <row r="11" spans="1:10" x14ac:dyDescent="0.35">
      <c r="A11" s="1">
        <v>44928</v>
      </c>
      <c r="B11" s="2" t="s">
        <v>19</v>
      </c>
      <c r="C11" s="2" t="s">
        <v>23</v>
      </c>
      <c r="D11" s="2" t="s">
        <v>30</v>
      </c>
      <c r="E11" s="2" t="s">
        <v>33</v>
      </c>
      <c r="F11">
        <v>273</v>
      </c>
      <c r="G11">
        <v>298</v>
      </c>
      <c r="H11">
        <v>81354</v>
      </c>
      <c r="I11">
        <v>7333.1180000000004</v>
      </c>
      <c r="J11" s="2" t="s">
        <v>14</v>
      </c>
    </row>
    <row r="12" spans="1:10" x14ac:dyDescent="0.35">
      <c r="A12" s="1">
        <v>44929</v>
      </c>
      <c r="B12" s="2" t="s">
        <v>25</v>
      </c>
      <c r="C12" s="2" t="s">
        <v>29</v>
      </c>
      <c r="D12" s="2" t="s">
        <v>30</v>
      </c>
      <c r="E12" s="2" t="s">
        <v>32</v>
      </c>
      <c r="F12">
        <v>725</v>
      </c>
      <c r="G12">
        <v>290</v>
      </c>
      <c r="H12">
        <v>210250</v>
      </c>
      <c r="I12">
        <v>34312.436199999996</v>
      </c>
      <c r="J12" s="2" t="s">
        <v>14</v>
      </c>
    </row>
    <row r="13" spans="1:10" x14ac:dyDescent="0.35">
      <c r="A13" s="1">
        <v>44929</v>
      </c>
      <c r="B13" s="2" t="s">
        <v>19</v>
      </c>
      <c r="C13" s="2" t="s">
        <v>27</v>
      </c>
      <c r="D13" s="2" t="s">
        <v>21</v>
      </c>
      <c r="E13" s="2" t="s">
        <v>22</v>
      </c>
      <c r="F13">
        <v>389</v>
      </c>
      <c r="G13">
        <v>105</v>
      </c>
      <c r="H13">
        <v>40845</v>
      </c>
      <c r="I13">
        <v>9962.8220000000001</v>
      </c>
      <c r="J13" s="2" t="s">
        <v>14</v>
      </c>
    </row>
    <row r="14" spans="1:10" x14ac:dyDescent="0.35">
      <c r="A14" s="1">
        <v>44929</v>
      </c>
      <c r="B14" s="2" t="s">
        <v>26</v>
      </c>
      <c r="C14" s="2" t="s">
        <v>29</v>
      </c>
      <c r="D14" s="2" t="s">
        <v>12</v>
      </c>
      <c r="E14" s="2" t="s">
        <v>32</v>
      </c>
      <c r="F14">
        <v>984</v>
      </c>
      <c r="G14">
        <v>460</v>
      </c>
      <c r="H14">
        <v>452640</v>
      </c>
      <c r="I14">
        <v>50131.429300000003</v>
      </c>
      <c r="J14" s="2" t="s">
        <v>14</v>
      </c>
    </row>
    <row r="15" spans="1:10" x14ac:dyDescent="0.35">
      <c r="A15" s="1">
        <v>44930</v>
      </c>
      <c r="B15" s="2" t="s">
        <v>34</v>
      </c>
      <c r="C15" s="2" t="s">
        <v>16</v>
      </c>
      <c r="D15" s="2" t="s">
        <v>12</v>
      </c>
      <c r="E15" s="2" t="s">
        <v>22</v>
      </c>
      <c r="F15">
        <v>662</v>
      </c>
      <c r="G15">
        <v>485</v>
      </c>
      <c r="H15">
        <v>321070</v>
      </c>
      <c r="I15">
        <v>72466.882899999997</v>
      </c>
      <c r="J15" s="2" t="s">
        <v>14</v>
      </c>
    </row>
    <row r="16" spans="1:10" x14ac:dyDescent="0.35">
      <c r="A16" s="1">
        <v>44930</v>
      </c>
      <c r="B16" s="2" t="s">
        <v>19</v>
      </c>
      <c r="C16" s="2" t="s">
        <v>20</v>
      </c>
      <c r="D16" s="2" t="s">
        <v>12</v>
      </c>
      <c r="E16" s="2" t="s">
        <v>35</v>
      </c>
      <c r="F16">
        <v>495</v>
      </c>
      <c r="G16">
        <v>429</v>
      </c>
      <c r="H16">
        <v>212355</v>
      </c>
      <c r="I16">
        <v>35478.799899999998</v>
      </c>
      <c r="J16" s="2" t="s">
        <v>14</v>
      </c>
    </row>
    <row r="17" spans="1:10" x14ac:dyDescent="0.35">
      <c r="A17" s="1">
        <v>44931</v>
      </c>
      <c r="B17" s="2" t="s">
        <v>26</v>
      </c>
      <c r="C17" s="2" t="s">
        <v>20</v>
      </c>
      <c r="D17" s="2" t="s">
        <v>12</v>
      </c>
      <c r="E17" s="2" t="s">
        <v>13</v>
      </c>
      <c r="F17">
        <v>680</v>
      </c>
      <c r="G17">
        <v>184</v>
      </c>
      <c r="H17">
        <v>125120</v>
      </c>
      <c r="I17">
        <v>10767.312599999999</v>
      </c>
      <c r="J17" s="2" t="s">
        <v>14</v>
      </c>
    </row>
    <row r="18" spans="1:10" x14ac:dyDescent="0.35">
      <c r="A18" s="1">
        <v>44931</v>
      </c>
      <c r="B18" s="2" t="s">
        <v>34</v>
      </c>
      <c r="C18" s="2" t="s">
        <v>23</v>
      </c>
      <c r="D18" s="2" t="s">
        <v>12</v>
      </c>
      <c r="E18" s="2" t="s">
        <v>28</v>
      </c>
      <c r="F18">
        <v>899</v>
      </c>
      <c r="G18">
        <v>180</v>
      </c>
      <c r="H18">
        <v>161820</v>
      </c>
      <c r="I18">
        <v>22490.508999999998</v>
      </c>
      <c r="J18" s="2" t="s">
        <v>14</v>
      </c>
    </row>
    <row r="19" spans="1:10" x14ac:dyDescent="0.35">
      <c r="A19" s="1">
        <v>44931</v>
      </c>
      <c r="B19" s="2" t="s">
        <v>31</v>
      </c>
      <c r="C19" s="2" t="s">
        <v>20</v>
      </c>
      <c r="D19" s="2" t="s">
        <v>21</v>
      </c>
      <c r="E19" s="2" t="s">
        <v>33</v>
      </c>
      <c r="F19">
        <v>219</v>
      </c>
      <c r="G19">
        <v>201</v>
      </c>
      <c r="H19">
        <v>44019</v>
      </c>
      <c r="I19">
        <v>6035.5802999999996</v>
      </c>
      <c r="J19" s="2" t="s">
        <v>14</v>
      </c>
    </row>
    <row r="20" spans="1:10" x14ac:dyDescent="0.35">
      <c r="A20" s="1">
        <v>44932</v>
      </c>
      <c r="B20" s="2" t="s">
        <v>10</v>
      </c>
      <c r="C20" s="2" t="s">
        <v>16</v>
      </c>
      <c r="D20" s="2" t="s">
        <v>17</v>
      </c>
      <c r="E20" s="2" t="s">
        <v>32</v>
      </c>
      <c r="F20">
        <v>204</v>
      </c>
      <c r="G20">
        <v>279</v>
      </c>
      <c r="H20">
        <v>56916</v>
      </c>
      <c r="I20">
        <v>6803.6616000000004</v>
      </c>
      <c r="J20" s="2" t="s">
        <v>14</v>
      </c>
    </row>
    <row r="21" spans="1:10" x14ac:dyDescent="0.35">
      <c r="A21" s="1">
        <v>44933</v>
      </c>
      <c r="B21" s="2" t="s">
        <v>36</v>
      </c>
      <c r="C21" s="2" t="s">
        <v>16</v>
      </c>
      <c r="D21" s="2" t="s">
        <v>21</v>
      </c>
      <c r="E21" s="2" t="s">
        <v>32</v>
      </c>
      <c r="F21">
        <v>870</v>
      </c>
      <c r="G21">
        <v>213</v>
      </c>
      <c r="H21">
        <v>185310</v>
      </c>
      <c r="I21">
        <v>21493.0026</v>
      </c>
      <c r="J21" s="2" t="s">
        <v>14</v>
      </c>
    </row>
    <row r="22" spans="1:10" x14ac:dyDescent="0.35">
      <c r="A22" s="1">
        <v>44933</v>
      </c>
      <c r="B22" s="2" t="s">
        <v>10</v>
      </c>
      <c r="C22" s="2" t="s">
        <v>16</v>
      </c>
      <c r="D22" s="2" t="s">
        <v>17</v>
      </c>
      <c r="E22" s="2" t="s">
        <v>22</v>
      </c>
      <c r="F22">
        <v>210</v>
      </c>
      <c r="G22">
        <v>317</v>
      </c>
      <c r="H22">
        <v>66570</v>
      </c>
      <c r="I22">
        <v>6873.4665999999997</v>
      </c>
      <c r="J22" s="2" t="s">
        <v>14</v>
      </c>
    </row>
    <row r="23" spans="1:10" x14ac:dyDescent="0.35">
      <c r="A23" s="1">
        <v>44933</v>
      </c>
      <c r="B23" s="2" t="s">
        <v>26</v>
      </c>
      <c r="C23" s="2" t="s">
        <v>11</v>
      </c>
      <c r="D23" s="2" t="s">
        <v>12</v>
      </c>
      <c r="E23" s="2" t="s">
        <v>22</v>
      </c>
      <c r="F23">
        <v>114</v>
      </c>
      <c r="G23">
        <v>131</v>
      </c>
      <c r="H23">
        <v>14934</v>
      </c>
      <c r="I23">
        <v>1720.1285</v>
      </c>
      <c r="J23" s="2" t="s">
        <v>14</v>
      </c>
    </row>
    <row r="24" spans="1:10" x14ac:dyDescent="0.35">
      <c r="A24" s="1">
        <v>44933</v>
      </c>
      <c r="B24" s="2" t="s">
        <v>10</v>
      </c>
      <c r="C24" s="2" t="s">
        <v>23</v>
      </c>
      <c r="D24" s="2" t="s">
        <v>21</v>
      </c>
      <c r="E24" s="2" t="s">
        <v>35</v>
      </c>
      <c r="F24">
        <v>740</v>
      </c>
      <c r="G24">
        <v>191</v>
      </c>
      <c r="H24">
        <v>141340</v>
      </c>
      <c r="I24">
        <v>17129.622100000001</v>
      </c>
      <c r="J24" s="2" t="s">
        <v>14</v>
      </c>
    </row>
    <row r="25" spans="1:10" x14ac:dyDescent="0.35">
      <c r="A25" s="1">
        <v>44934</v>
      </c>
      <c r="B25" s="2" t="s">
        <v>10</v>
      </c>
      <c r="C25" s="2" t="s">
        <v>23</v>
      </c>
      <c r="D25" s="2" t="s">
        <v>17</v>
      </c>
      <c r="E25" s="2" t="s">
        <v>32</v>
      </c>
      <c r="F25">
        <v>144</v>
      </c>
      <c r="G25">
        <v>218</v>
      </c>
      <c r="H25">
        <v>31392</v>
      </c>
      <c r="I25">
        <v>3675.8845999999999</v>
      </c>
      <c r="J25" s="2" t="s">
        <v>14</v>
      </c>
    </row>
    <row r="26" spans="1:10" x14ac:dyDescent="0.35">
      <c r="A26" s="1">
        <v>44934</v>
      </c>
      <c r="B26" s="2" t="s">
        <v>31</v>
      </c>
      <c r="C26" s="2" t="s">
        <v>11</v>
      </c>
      <c r="D26" s="2" t="s">
        <v>17</v>
      </c>
      <c r="E26" s="2" t="s">
        <v>33</v>
      </c>
      <c r="F26">
        <v>652</v>
      </c>
      <c r="G26">
        <v>137</v>
      </c>
      <c r="H26">
        <v>89324</v>
      </c>
      <c r="I26">
        <v>19403.1126</v>
      </c>
      <c r="J26" s="2" t="s">
        <v>14</v>
      </c>
    </row>
    <row r="27" spans="1:10" x14ac:dyDescent="0.35">
      <c r="A27" s="1">
        <v>44934</v>
      </c>
      <c r="B27" s="2" t="s">
        <v>36</v>
      </c>
      <c r="C27" s="2" t="s">
        <v>16</v>
      </c>
      <c r="D27" s="2" t="s">
        <v>17</v>
      </c>
      <c r="E27" s="2" t="s">
        <v>22</v>
      </c>
      <c r="F27">
        <v>168</v>
      </c>
      <c r="G27">
        <v>464</v>
      </c>
      <c r="H27">
        <v>77952</v>
      </c>
      <c r="I27">
        <v>8284.9943000000003</v>
      </c>
      <c r="J27" s="2" t="s">
        <v>14</v>
      </c>
    </row>
    <row r="28" spans="1:10" x14ac:dyDescent="0.35">
      <c r="A28" s="1">
        <v>44935</v>
      </c>
      <c r="B28" s="2" t="s">
        <v>10</v>
      </c>
      <c r="C28" s="2" t="s">
        <v>23</v>
      </c>
      <c r="D28" s="2" t="s">
        <v>30</v>
      </c>
      <c r="E28" s="2" t="s">
        <v>22</v>
      </c>
      <c r="F28">
        <v>472</v>
      </c>
      <c r="G28">
        <v>281</v>
      </c>
      <c r="H28">
        <v>132632</v>
      </c>
      <c r="I28">
        <v>13617.091200000001</v>
      </c>
      <c r="J28" s="2" t="s">
        <v>14</v>
      </c>
    </row>
    <row r="29" spans="1:10" x14ac:dyDescent="0.35">
      <c r="A29" s="1">
        <v>44935</v>
      </c>
      <c r="B29" s="2" t="s">
        <v>31</v>
      </c>
      <c r="C29" s="2" t="s">
        <v>23</v>
      </c>
      <c r="D29" s="2" t="s">
        <v>17</v>
      </c>
      <c r="E29" s="2" t="s">
        <v>13</v>
      </c>
      <c r="F29">
        <v>375</v>
      </c>
      <c r="G29">
        <v>417</v>
      </c>
      <c r="H29">
        <v>156375</v>
      </c>
      <c r="I29">
        <v>27474.823100000001</v>
      </c>
      <c r="J29" s="2" t="s">
        <v>14</v>
      </c>
    </row>
    <row r="30" spans="1:10" x14ac:dyDescent="0.35">
      <c r="A30" s="1">
        <v>44936</v>
      </c>
      <c r="B30" s="2" t="s">
        <v>36</v>
      </c>
      <c r="C30" s="2" t="s">
        <v>27</v>
      </c>
      <c r="D30" s="2" t="s">
        <v>21</v>
      </c>
      <c r="E30" s="2" t="s">
        <v>33</v>
      </c>
      <c r="F30">
        <v>832</v>
      </c>
      <c r="G30">
        <v>183</v>
      </c>
      <c r="H30">
        <v>152256</v>
      </c>
      <c r="I30">
        <v>34290.090799999998</v>
      </c>
      <c r="J30" s="2" t="s">
        <v>14</v>
      </c>
    </row>
    <row r="31" spans="1:10" x14ac:dyDescent="0.35">
      <c r="A31" s="1">
        <v>44936</v>
      </c>
      <c r="B31" s="2" t="s">
        <v>36</v>
      </c>
      <c r="C31" s="2" t="s">
        <v>11</v>
      </c>
      <c r="D31" s="2" t="s">
        <v>12</v>
      </c>
      <c r="E31" s="2" t="s">
        <v>33</v>
      </c>
      <c r="F31">
        <v>784</v>
      </c>
      <c r="G31">
        <v>472</v>
      </c>
      <c r="H31">
        <v>370048</v>
      </c>
      <c r="I31">
        <v>60162.1783</v>
      </c>
      <c r="J31" s="2" t="s">
        <v>14</v>
      </c>
    </row>
    <row r="32" spans="1:10" x14ac:dyDescent="0.35">
      <c r="A32" s="1">
        <v>44936</v>
      </c>
      <c r="B32" s="2" t="s">
        <v>36</v>
      </c>
      <c r="C32" s="2" t="s">
        <v>29</v>
      </c>
      <c r="D32" s="2" t="s">
        <v>21</v>
      </c>
      <c r="E32" s="2" t="s">
        <v>13</v>
      </c>
      <c r="F32">
        <v>343</v>
      </c>
      <c r="G32">
        <v>267</v>
      </c>
      <c r="H32">
        <v>91581</v>
      </c>
      <c r="I32">
        <v>22315.109499999999</v>
      </c>
      <c r="J32" s="2" t="s">
        <v>14</v>
      </c>
    </row>
    <row r="33" spans="1:10" x14ac:dyDescent="0.35">
      <c r="A33" s="1">
        <v>44936</v>
      </c>
      <c r="B33" s="2" t="s">
        <v>36</v>
      </c>
      <c r="C33" s="2" t="s">
        <v>23</v>
      </c>
      <c r="D33" s="2" t="s">
        <v>12</v>
      </c>
      <c r="E33" s="2" t="s">
        <v>18</v>
      </c>
      <c r="F33">
        <v>798</v>
      </c>
      <c r="G33">
        <v>409</v>
      </c>
      <c r="H33">
        <v>326382</v>
      </c>
      <c r="I33">
        <v>38078.1826</v>
      </c>
      <c r="J33" s="2" t="s">
        <v>14</v>
      </c>
    </row>
    <row r="34" spans="1:10" x14ac:dyDescent="0.35">
      <c r="A34" s="1">
        <v>44936</v>
      </c>
      <c r="B34" s="2" t="s">
        <v>25</v>
      </c>
      <c r="C34" s="2" t="s">
        <v>16</v>
      </c>
      <c r="D34" s="2" t="s">
        <v>30</v>
      </c>
      <c r="E34" s="2" t="s">
        <v>24</v>
      </c>
      <c r="F34">
        <v>425</v>
      </c>
      <c r="G34">
        <v>314</v>
      </c>
      <c r="H34">
        <v>133450</v>
      </c>
      <c r="I34">
        <v>14536.063700000001</v>
      </c>
      <c r="J34" s="2" t="s">
        <v>14</v>
      </c>
    </row>
    <row r="35" spans="1:10" x14ac:dyDescent="0.35">
      <c r="A35" s="1">
        <v>44937</v>
      </c>
      <c r="B35" s="2" t="s">
        <v>36</v>
      </c>
      <c r="C35" s="2" t="s">
        <v>16</v>
      </c>
      <c r="D35" s="2" t="s">
        <v>12</v>
      </c>
      <c r="E35" s="2" t="s">
        <v>32</v>
      </c>
      <c r="F35">
        <v>210</v>
      </c>
      <c r="G35">
        <v>291</v>
      </c>
      <c r="H35">
        <v>61110</v>
      </c>
      <c r="I35">
        <v>5473.3716000000004</v>
      </c>
      <c r="J35" s="2" t="s">
        <v>14</v>
      </c>
    </row>
    <row r="36" spans="1:10" x14ac:dyDescent="0.35">
      <c r="A36" s="1">
        <v>44937</v>
      </c>
      <c r="B36" s="2" t="s">
        <v>36</v>
      </c>
      <c r="C36" s="2" t="s">
        <v>23</v>
      </c>
      <c r="D36" s="2" t="s">
        <v>17</v>
      </c>
      <c r="E36" s="2" t="s">
        <v>32</v>
      </c>
      <c r="F36">
        <v>282</v>
      </c>
      <c r="G36">
        <v>113</v>
      </c>
      <c r="H36">
        <v>31866</v>
      </c>
      <c r="I36">
        <v>5247.8597</v>
      </c>
      <c r="J36" s="2" t="s">
        <v>14</v>
      </c>
    </row>
    <row r="37" spans="1:10" x14ac:dyDescent="0.35">
      <c r="A37" s="1">
        <v>44937</v>
      </c>
      <c r="B37" s="2" t="s">
        <v>26</v>
      </c>
      <c r="C37" s="2" t="s">
        <v>27</v>
      </c>
      <c r="D37" s="2" t="s">
        <v>12</v>
      </c>
      <c r="E37" s="2" t="s">
        <v>22</v>
      </c>
      <c r="F37">
        <v>974</v>
      </c>
      <c r="G37">
        <v>399</v>
      </c>
      <c r="H37">
        <v>388626</v>
      </c>
      <c r="I37">
        <v>47985.399299999997</v>
      </c>
      <c r="J37" s="2" t="s">
        <v>14</v>
      </c>
    </row>
    <row r="38" spans="1:10" x14ac:dyDescent="0.35">
      <c r="A38" s="1">
        <v>44937</v>
      </c>
      <c r="B38" s="2" t="s">
        <v>10</v>
      </c>
      <c r="C38" s="2" t="s">
        <v>27</v>
      </c>
      <c r="D38" s="2" t="s">
        <v>30</v>
      </c>
      <c r="E38" s="2" t="s">
        <v>24</v>
      </c>
      <c r="F38">
        <v>192</v>
      </c>
      <c r="G38">
        <v>268</v>
      </c>
      <c r="H38">
        <v>51456</v>
      </c>
      <c r="I38">
        <v>7769.1174000000001</v>
      </c>
      <c r="J38" s="2" t="s">
        <v>14</v>
      </c>
    </row>
    <row r="39" spans="1:10" x14ac:dyDescent="0.35">
      <c r="A39" s="1">
        <v>44938</v>
      </c>
      <c r="B39" s="2" t="s">
        <v>19</v>
      </c>
      <c r="C39" s="2" t="s">
        <v>11</v>
      </c>
      <c r="D39" s="2" t="s">
        <v>12</v>
      </c>
      <c r="E39" s="2" t="s">
        <v>32</v>
      </c>
      <c r="F39">
        <v>287</v>
      </c>
      <c r="G39">
        <v>313</v>
      </c>
      <c r="H39">
        <v>89831</v>
      </c>
      <c r="I39">
        <v>16008.2219</v>
      </c>
      <c r="J39" s="2" t="s">
        <v>14</v>
      </c>
    </row>
    <row r="40" spans="1:10" x14ac:dyDescent="0.35">
      <c r="A40" s="1">
        <v>44938</v>
      </c>
      <c r="B40" s="2" t="s">
        <v>25</v>
      </c>
      <c r="C40" s="2" t="s">
        <v>11</v>
      </c>
      <c r="D40" s="2" t="s">
        <v>12</v>
      </c>
      <c r="E40" s="2" t="s">
        <v>13</v>
      </c>
      <c r="F40">
        <v>98</v>
      </c>
      <c r="G40">
        <v>469</v>
      </c>
      <c r="H40">
        <v>45962</v>
      </c>
      <c r="I40">
        <v>8662.4397000000008</v>
      </c>
      <c r="J40" s="2" t="s">
        <v>14</v>
      </c>
    </row>
    <row r="41" spans="1:10" x14ac:dyDescent="0.35">
      <c r="A41" s="1">
        <v>44938</v>
      </c>
      <c r="B41" s="2" t="s">
        <v>31</v>
      </c>
      <c r="C41" s="2" t="s">
        <v>11</v>
      </c>
      <c r="D41" s="2" t="s">
        <v>17</v>
      </c>
      <c r="E41" s="2" t="s">
        <v>18</v>
      </c>
      <c r="F41">
        <v>483</v>
      </c>
      <c r="G41">
        <v>176</v>
      </c>
      <c r="H41">
        <v>85008</v>
      </c>
      <c r="I41">
        <v>10510.941199999999</v>
      </c>
      <c r="J41" s="2" t="s">
        <v>14</v>
      </c>
    </row>
    <row r="42" spans="1:10" x14ac:dyDescent="0.35">
      <c r="A42" s="1">
        <v>44938</v>
      </c>
      <c r="B42" s="2" t="s">
        <v>10</v>
      </c>
      <c r="C42" s="2" t="s">
        <v>20</v>
      </c>
      <c r="D42" s="2" t="s">
        <v>17</v>
      </c>
      <c r="E42" s="2" t="s">
        <v>32</v>
      </c>
      <c r="F42">
        <v>719</v>
      </c>
      <c r="G42">
        <v>211</v>
      </c>
      <c r="H42">
        <v>151709</v>
      </c>
      <c r="I42">
        <v>30529.604500000001</v>
      </c>
      <c r="J42" s="2" t="s">
        <v>14</v>
      </c>
    </row>
    <row r="43" spans="1:10" x14ac:dyDescent="0.35">
      <c r="A43" s="1">
        <v>44938</v>
      </c>
      <c r="B43" s="2" t="s">
        <v>36</v>
      </c>
      <c r="C43" s="2" t="s">
        <v>29</v>
      </c>
      <c r="D43" s="2" t="s">
        <v>21</v>
      </c>
      <c r="E43" s="2" t="s">
        <v>24</v>
      </c>
      <c r="F43">
        <v>536</v>
      </c>
      <c r="G43">
        <v>105</v>
      </c>
      <c r="H43">
        <v>56280</v>
      </c>
      <c r="I43">
        <v>13901.231100000001</v>
      </c>
      <c r="J43" s="2" t="s">
        <v>14</v>
      </c>
    </row>
    <row r="44" spans="1:10" x14ac:dyDescent="0.35">
      <c r="A44" s="1">
        <v>44939</v>
      </c>
      <c r="B44" s="2" t="s">
        <v>15</v>
      </c>
      <c r="C44" s="2" t="s">
        <v>27</v>
      </c>
      <c r="D44" s="2" t="s">
        <v>12</v>
      </c>
      <c r="E44" s="2" t="s">
        <v>22</v>
      </c>
      <c r="F44">
        <v>203</v>
      </c>
      <c r="G44">
        <v>405</v>
      </c>
      <c r="H44">
        <v>82215</v>
      </c>
      <c r="I44">
        <v>12925.7551</v>
      </c>
      <c r="J44" s="2" t="s">
        <v>14</v>
      </c>
    </row>
    <row r="45" spans="1:10" x14ac:dyDescent="0.35">
      <c r="A45" s="1">
        <v>44940</v>
      </c>
      <c r="B45" s="2" t="s">
        <v>31</v>
      </c>
      <c r="C45" s="2" t="s">
        <v>27</v>
      </c>
      <c r="D45" s="2" t="s">
        <v>21</v>
      </c>
      <c r="E45" s="2" t="s">
        <v>13</v>
      </c>
      <c r="F45">
        <v>515</v>
      </c>
      <c r="G45">
        <v>311</v>
      </c>
      <c r="H45">
        <v>160165</v>
      </c>
      <c r="I45">
        <v>31898.129000000001</v>
      </c>
      <c r="J45" s="2" t="s">
        <v>14</v>
      </c>
    </row>
    <row r="46" spans="1:10" x14ac:dyDescent="0.35">
      <c r="A46" s="1">
        <v>44940</v>
      </c>
      <c r="B46" s="2" t="s">
        <v>19</v>
      </c>
      <c r="C46" s="2" t="s">
        <v>11</v>
      </c>
      <c r="D46" s="2" t="s">
        <v>21</v>
      </c>
      <c r="E46" s="2" t="s">
        <v>28</v>
      </c>
      <c r="F46">
        <v>82</v>
      </c>
      <c r="G46">
        <v>362</v>
      </c>
      <c r="H46">
        <v>29684</v>
      </c>
      <c r="I46">
        <v>3901.3535999999999</v>
      </c>
      <c r="J46" s="2" t="s">
        <v>14</v>
      </c>
    </row>
    <row r="47" spans="1:10" x14ac:dyDescent="0.35">
      <c r="A47" s="1">
        <v>44940</v>
      </c>
      <c r="B47" s="2" t="s">
        <v>19</v>
      </c>
      <c r="C47" s="2" t="s">
        <v>29</v>
      </c>
      <c r="D47" s="2" t="s">
        <v>30</v>
      </c>
      <c r="E47" s="2" t="s">
        <v>13</v>
      </c>
      <c r="F47">
        <v>812</v>
      </c>
      <c r="G47">
        <v>171</v>
      </c>
      <c r="H47">
        <v>138852</v>
      </c>
      <c r="I47">
        <v>30380.285400000001</v>
      </c>
      <c r="J47" s="2" t="s">
        <v>14</v>
      </c>
    </row>
    <row r="48" spans="1:10" x14ac:dyDescent="0.35">
      <c r="A48" s="1">
        <v>44941</v>
      </c>
      <c r="B48" s="2" t="s">
        <v>26</v>
      </c>
      <c r="C48" s="2" t="s">
        <v>11</v>
      </c>
      <c r="D48" s="2" t="s">
        <v>12</v>
      </c>
      <c r="E48" s="2" t="s">
        <v>33</v>
      </c>
      <c r="F48">
        <v>896</v>
      </c>
      <c r="G48">
        <v>122</v>
      </c>
      <c r="H48">
        <v>109312</v>
      </c>
      <c r="I48">
        <v>10876.2448</v>
      </c>
      <c r="J48" s="2" t="s">
        <v>14</v>
      </c>
    </row>
    <row r="49" spans="1:10" x14ac:dyDescent="0.35">
      <c r="A49" s="1">
        <v>44941</v>
      </c>
      <c r="B49" s="2" t="s">
        <v>25</v>
      </c>
      <c r="C49" s="2" t="s">
        <v>23</v>
      </c>
      <c r="D49" s="2" t="s">
        <v>12</v>
      </c>
      <c r="E49" s="2" t="s">
        <v>28</v>
      </c>
      <c r="F49">
        <v>130</v>
      </c>
      <c r="G49">
        <v>368</v>
      </c>
      <c r="H49">
        <v>47840</v>
      </c>
      <c r="I49">
        <v>9114.7904999999992</v>
      </c>
      <c r="J49" s="2" t="s">
        <v>14</v>
      </c>
    </row>
    <row r="50" spans="1:10" x14ac:dyDescent="0.35">
      <c r="A50" s="1">
        <v>44941</v>
      </c>
      <c r="B50" s="2" t="s">
        <v>26</v>
      </c>
      <c r="C50" s="2" t="s">
        <v>27</v>
      </c>
      <c r="D50" s="2" t="s">
        <v>21</v>
      </c>
      <c r="E50" s="2" t="s">
        <v>32</v>
      </c>
      <c r="F50">
        <v>989</v>
      </c>
      <c r="G50">
        <v>294</v>
      </c>
      <c r="H50">
        <v>290766</v>
      </c>
      <c r="I50">
        <v>32173.266199999998</v>
      </c>
      <c r="J50" s="2" t="s">
        <v>14</v>
      </c>
    </row>
    <row r="51" spans="1:10" x14ac:dyDescent="0.35">
      <c r="A51" s="1">
        <v>44942</v>
      </c>
      <c r="B51" s="2" t="s">
        <v>36</v>
      </c>
      <c r="C51" s="2" t="s">
        <v>23</v>
      </c>
      <c r="D51" s="2" t="s">
        <v>12</v>
      </c>
      <c r="E51" s="2" t="s">
        <v>24</v>
      </c>
      <c r="F51">
        <v>859</v>
      </c>
      <c r="G51">
        <v>454</v>
      </c>
      <c r="H51">
        <v>389986</v>
      </c>
      <c r="I51">
        <v>62154.7091</v>
      </c>
      <c r="J51" s="2" t="s">
        <v>14</v>
      </c>
    </row>
    <row r="52" spans="1:10" x14ac:dyDescent="0.35">
      <c r="A52" s="1">
        <v>44943</v>
      </c>
      <c r="B52" s="2" t="s">
        <v>34</v>
      </c>
      <c r="C52" s="2" t="s">
        <v>20</v>
      </c>
      <c r="D52" s="2" t="s">
        <v>17</v>
      </c>
      <c r="E52" s="2" t="s">
        <v>24</v>
      </c>
      <c r="F52">
        <v>55</v>
      </c>
      <c r="G52">
        <v>260</v>
      </c>
      <c r="H52">
        <v>14300</v>
      </c>
      <c r="I52">
        <v>2372.6783</v>
      </c>
      <c r="J52" s="2" t="s">
        <v>14</v>
      </c>
    </row>
    <row r="53" spans="1:10" x14ac:dyDescent="0.35">
      <c r="A53" s="1">
        <v>44943</v>
      </c>
      <c r="B53" s="2" t="s">
        <v>36</v>
      </c>
      <c r="C53" s="2" t="s">
        <v>11</v>
      </c>
      <c r="D53" s="2" t="s">
        <v>12</v>
      </c>
      <c r="E53" s="2" t="s">
        <v>24</v>
      </c>
      <c r="F53">
        <v>668</v>
      </c>
      <c r="G53">
        <v>206</v>
      </c>
      <c r="H53">
        <v>137608</v>
      </c>
      <c r="I53">
        <v>27678.8904</v>
      </c>
      <c r="J53" s="2" t="s">
        <v>14</v>
      </c>
    </row>
    <row r="54" spans="1:10" x14ac:dyDescent="0.35">
      <c r="A54" s="1">
        <v>44943</v>
      </c>
      <c r="B54" s="2" t="s">
        <v>19</v>
      </c>
      <c r="C54" s="2" t="s">
        <v>20</v>
      </c>
      <c r="D54" s="2" t="s">
        <v>17</v>
      </c>
      <c r="E54" s="2" t="s">
        <v>28</v>
      </c>
      <c r="F54">
        <v>706</v>
      </c>
      <c r="G54">
        <v>261</v>
      </c>
      <c r="H54">
        <v>184266</v>
      </c>
      <c r="I54">
        <v>18238.014299999999</v>
      </c>
      <c r="J54" s="2" t="s">
        <v>14</v>
      </c>
    </row>
    <row r="55" spans="1:10" x14ac:dyDescent="0.35">
      <c r="A55" s="1">
        <v>44943</v>
      </c>
      <c r="B55" s="2" t="s">
        <v>10</v>
      </c>
      <c r="C55" s="2" t="s">
        <v>29</v>
      </c>
      <c r="D55" s="2" t="s">
        <v>17</v>
      </c>
      <c r="E55" s="2" t="s">
        <v>24</v>
      </c>
      <c r="F55">
        <v>202</v>
      </c>
      <c r="G55">
        <v>396</v>
      </c>
      <c r="H55">
        <v>79992</v>
      </c>
      <c r="I55">
        <v>11041.046399999999</v>
      </c>
      <c r="J55" s="2" t="s">
        <v>14</v>
      </c>
    </row>
    <row r="56" spans="1:10" x14ac:dyDescent="0.35">
      <c r="A56" s="1">
        <v>44943</v>
      </c>
      <c r="B56" s="2" t="s">
        <v>36</v>
      </c>
      <c r="C56" s="2" t="s">
        <v>20</v>
      </c>
      <c r="D56" s="2" t="s">
        <v>30</v>
      </c>
      <c r="E56" s="2" t="s">
        <v>18</v>
      </c>
      <c r="F56">
        <v>235</v>
      </c>
      <c r="G56">
        <v>307</v>
      </c>
      <c r="H56">
        <v>72145</v>
      </c>
      <c r="I56">
        <v>6507.7462999999998</v>
      </c>
      <c r="J56" s="2" t="s">
        <v>14</v>
      </c>
    </row>
    <row r="57" spans="1:10" x14ac:dyDescent="0.35">
      <c r="A57" s="1">
        <v>44943</v>
      </c>
      <c r="B57" s="2" t="s">
        <v>31</v>
      </c>
      <c r="C57" s="2" t="s">
        <v>16</v>
      </c>
      <c r="D57" s="2" t="s">
        <v>21</v>
      </c>
      <c r="E57" s="2" t="s">
        <v>24</v>
      </c>
      <c r="F57">
        <v>630</v>
      </c>
      <c r="G57">
        <v>216</v>
      </c>
      <c r="H57">
        <v>136080</v>
      </c>
      <c r="I57">
        <v>19932.616000000002</v>
      </c>
      <c r="J57" s="2" t="s">
        <v>14</v>
      </c>
    </row>
    <row r="58" spans="1:10" x14ac:dyDescent="0.35">
      <c r="A58" s="1">
        <v>44944</v>
      </c>
      <c r="B58" s="2" t="s">
        <v>34</v>
      </c>
      <c r="C58" s="2" t="s">
        <v>11</v>
      </c>
      <c r="D58" s="2" t="s">
        <v>12</v>
      </c>
      <c r="E58" s="2" t="s">
        <v>33</v>
      </c>
      <c r="F58">
        <v>611</v>
      </c>
      <c r="G58">
        <v>448</v>
      </c>
      <c r="H58">
        <v>273728</v>
      </c>
      <c r="I58">
        <v>26826.46</v>
      </c>
      <c r="J58" s="2" t="s">
        <v>14</v>
      </c>
    </row>
    <row r="59" spans="1:10" x14ac:dyDescent="0.35">
      <c r="A59" s="1">
        <v>44944</v>
      </c>
      <c r="B59" s="2" t="s">
        <v>15</v>
      </c>
      <c r="C59" s="2" t="s">
        <v>16</v>
      </c>
      <c r="D59" s="2" t="s">
        <v>17</v>
      </c>
      <c r="E59" s="2" t="s">
        <v>24</v>
      </c>
      <c r="F59">
        <v>303</v>
      </c>
      <c r="G59">
        <v>407</v>
      </c>
      <c r="H59">
        <v>123321</v>
      </c>
      <c r="I59">
        <v>27439.3223</v>
      </c>
      <c r="J59" s="2" t="s">
        <v>14</v>
      </c>
    </row>
    <row r="60" spans="1:10" x14ac:dyDescent="0.35">
      <c r="A60" s="1">
        <v>44945</v>
      </c>
      <c r="B60" s="2" t="s">
        <v>34</v>
      </c>
      <c r="C60" s="2" t="s">
        <v>16</v>
      </c>
      <c r="D60" s="2" t="s">
        <v>17</v>
      </c>
      <c r="E60" s="2" t="s">
        <v>13</v>
      </c>
      <c r="F60">
        <v>393</v>
      </c>
      <c r="G60">
        <v>418</v>
      </c>
      <c r="H60">
        <v>164274</v>
      </c>
      <c r="I60">
        <v>25269.3099</v>
      </c>
      <c r="J60" s="2" t="s">
        <v>14</v>
      </c>
    </row>
    <row r="61" spans="1:10" x14ac:dyDescent="0.35">
      <c r="A61" s="1">
        <v>44945</v>
      </c>
      <c r="B61" s="2" t="s">
        <v>31</v>
      </c>
      <c r="C61" s="2" t="s">
        <v>23</v>
      </c>
      <c r="D61" s="2" t="s">
        <v>30</v>
      </c>
      <c r="E61" s="2" t="s">
        <v>24</v>
      </c>
      <c r="F61">
        <v>673</v>
      </c>
      <c r="G61">
        <v>291</v>
      </c>
      <c r="H61">
        <v>195843</v>
      </c>
      <c r="I61">
        <v>19141.099300000002</v>
      </c>
      <c r="J61" s="2" t="s">
        <v>14</v>
      </c>
    </row>
    <row r="62" spans="1:10" x14ac:dyDescent="0.35">
      <c r="A62" s="1">
        <v>44945</v>
      </c>
      <c r="B62" s="2" t="s">
        <v>19</v>
      </c>
      <c r="C62" s="2" t="s">
        <v>29</v>
      </c>
      <c r="D62" s="2" t="s">
        <v>30</v>
      </c>
      <c r="E62" s="2" t="s">
        <v>13</v>
      </c>
      <c r="F62">
        <v>79</v>
      </c>
      <c r="G62">
        <v>123</v>
      </c>
      <c r="H62">
        <v>9717</v>
      </c>
      <c r="I62">
        <v>1985.2783999999999</v>
      </c>
      <c r="J62" s="2" t="s">
        <v>14</v>
      </c>
    </row>
    <row r="63" spans="1:10" x14ac:dyDescent="0.35">
      <c r="A63" s="1">
        <v>44945</v>
      </c>
      <c r="B63" s="2" t="s">
        <v>26</v>
      </c>
      <c r="C63" s="2" t="s">
        <v>16</v>
      </c>
      <c r="D63" s="2" t="s">
        <v>21</v>
      </c>
      <c r="E63" s="2" t="s">
        <v>33</v>
      </c>
      <c r="F63">
        <v>617</v>
      </c>
      <c r="G63">
        <v>389</v>
      </c>
      <c r="H63">
        <v>240013</v>
      </c>
      <c r="I63">
        <v>39641.389600000002</v>
      </c>
      <c r="J63" s="2" t="s">
        <v>14</v>
      </c>
    </row>
    <row r="64" spans="1:10" x14ac:dyDescent="0.35">
      <c r="A64" s="1">
        <v>44945</v>
      </c>
      <c r="B64" s="2" t="s">
        <v>25</v>
      </c>
      <c r="C64" s="2" t="s">
        <v>11</v>
      </c>
      <c r="D64" s="2" t="s">
        <v>17</v>
      </c>
      <c r="E64" s="2" t="s">
        <v>13</v>
      </c>
      <c r="F64">
        <v>106</v>
      </c>
      <c r="G64">
        <v>186</v>
      </c>
      <c r="H64">
        <v>19716</v>
      </c>
      <c r="I64">
        <v>4658.9228000000003</v>
      </c>
      <c r="J64" s="2" t="s">
        <v>14</v>
      </c>
    </row>
    <row r="65" spans="1:10" x14ac:dyDescent="0.35">
      <c r="A65" s="1">
        <v>44945</v>
      </c>
      <c r="B65" s="2" t="s">
        <v>25</v>
      </c>
      <c r="C65" s="2" t="s">
        <v>27</v>
      </c>
      <c r="D65" s="2" t="s">
        <v>30</v>
      </c>
      <c r="E65" s="2" t="s">
        <v>33</v>
      </c>
      <c r="F65">
        <v>327</v>
      </c>
      <c r="G65">
        <v>370</v>
      </c>
      <c r="H65">
        <v>120990</v>
      </c>
      <c r="I65">
        <v>27883.875700000001</v>
      </c>
      <c r="J65" s="2" t="s">
        <v>14</v>
      </c>
    </row>
    <row r="66" spans="1:10" x14ac:dyDescent="0.35">
      <c r="A66" s="1">
        <v>44945</v>
      </c>
      <c r="B66" s="2" t="s">
        <v>26</v>
      </c>
      <c r="C66" s="2" t="s">
        <v>23</v>
      </c>
      <c r="D66" s="2" t="s">
        <v>30</v>
      </c>
      <c r="E66" s="2" t="s">
        <v>13</v>
      </c>
      <c r="F66">
        <v>401</v>
      </c>
      <c r="G66">
        <v>356</v>
      </c>
      <c r="H66">
        <v>142756</v>
      </c>
      <c r="I66">
        <v>21746.526900000001</v>
      </c>
      <c r="J66" s="2" t="s">
        <v>14</v>
      </c>
    </row>
    <row r="67" spans="1:10" x14ac:dyDescent="0.35">
      <c r="A67" s="1">
        <v>44946</v>
      </c>
      <c r="B67" s="2" t="s">
        <v>10</v>
      </c>
      <c r="C67" s="2" t="s">
        <v>16</v>
      </c>
      <c r="D67" s="2" t="s">
        <v>17</v>
      </c>
      <c r="E67" s="2" t="s">
        <v>33</v>
      </c>
      <c r="F67">
        <v>930</v>
      </c>
      <c r="G67">
        <v>148</v>
      </c>
      <c r="H67">
        <v>137640</v>
      </c>
      <c r="I67">
        <v>11570.5566</v>
      </c>
      <c r="J67" s="2" t="s">
        <v>14</v>
      </c>
    </row>
    <row r="68" spans="1:10" x14ac:dyDescent="0.35">
      <c r="A68" s="1">
        <v>44946</v>
      </c>
      <c r="B68" s="2" t="s">
        <v>15</v>
      </c>
      <c r="C68" s="2" t="s">
        <v>20</v>
      </c>
      <c r="D68" s="2" t="s">
        <v>21</v>
      </c>
      <c r="E68" s="2" t="s">
        <v>33</v>
      </c>
      <c r="F68">
        <v>106</v>
      </c>
      <c r="G68">
        <v>143</v>
      </c>
      <c r="H68">
        <v>15158</v>
      </c>
      <c r="I68">
        <v>2603.2354999999998</v>
      </c>
      <c r="J68" s="2" t="s">
        <v>14</v>
      </c>
    </row>
    <row r="69" spans="1:10" x14ac:dyDescent="0.35">
      <c r="A69" s="1">
        <v>44947</v>
      </c>
      <c r="B69" s="2" t="s">
        <v>10</v>
      </c>
      <c r="C69" s="2" t="s">
        <v>11</v>
      </c>
      <c r="D69" s="2" t="s">
        <v>17</v>
      </c>
      <c r="E69" s="2" t="s">
        <v>33</v>
      </c>
      <c r="F69">
        <v>692</v>
      </c>
      <c r="G69">
        <v>279</v>
      </c>
      <c r="H69">
        <v>193068</v>
      </c>
      <c r="I69">
        <v>20782.426899999999</v>
      </c>
      <c r="J69" s="2" t="s">
        <v>14</v>
      </c>
    </row>
    <row r="70" spans="1:10" x14ac:dyDescent="0.35">
      <c r="A70" s="1">
        <v>44947</v>
      </c>
      <c r="B70" s="2" t="s">
        <v>36</v>
      </c>
      <c r="C70" s="2" t="s">
        <v>23</v>
      </c>
      <c r="D70" s="2" t="s">
        <v>17</v>
      </c>
      <c r="E70" s="2" t="s">
        <v>35</v>
      </c>
      <c r="F70">
        <v>81</v>
      </c>
      <c r="G70">
        <v>100</v>
      </c>
      <c r="H70">
        <v>8100</v>
      </c>
      <c r="I70">
        <v>689.69159999999999</v>
      </c>
      <c r="J70" s="2" t="s">
        <v>14</v>
      </c>
    </row>
    <row r="71" spans="1:10" x14ac:dyDescent="0.35">
      <c r="A71" s="1">
        <v>44947</v>
      </c>
      <c r="B71" s="2" t="s">
        <v>36</v>
      </c>
      <c r="C71" s="2" t="s">
        <v>11</v>
      </c>
      <c r="D71" s="2" t="s">
        <v>30</v>
      </c>
      <c r="E71" s="2" t="s">
        <v>32</v>
      </c>
      <c r="F71">
        <v>586</v>
      </c>
      <c r="G71">
        <v>239</v>
      </c>
      <c r="H71">
        <v>140054</v>
      </c>
      <c r="I71">
        <v>21086.212899999999</v>
      </c>
      <c r="J71" s="2" t="s">
        <v>14</v>
      </c>
    </row>
    <row r="72" spans="1:10" x14ac:dyDescent="0.35">
      <c r="A72" s="1">
        <v>44947</v>
      </c>
      <c r="B72" s="2" t="s">
        <v>26</v>
      </c>
      <c r="C72" s="2" t="s">
        <v>29</v>
      </c>
      <c r="D72" s="2" t="s">
        <v>12</v>
      </c>
      <c r="E72" s="2" t="s">
        <v>35</v>
      </c>
      <c r="F72">
        <v>719</v>
      </c>
      <c r="G72">
        <v>361</v>
      </c>
      <c r="H72">
        <v>259559</v>
      </c>
      <c r="I72">
        <v>60627.282700000003</v>
      </c>
      <c r="J72" s="2" t="s">
        <v>14</v>
      </c>
    </row>
    <row r="73" spans="1:10" x14ac:dyDescent="0.35">
      <c r="A73" s="1">
        <v>44947</v>
      </c>
      <c r="B73" s="2" t="s">
        <v>31</v>
      </c>
      <c r="C73" s="2" t="s">
        <v>11</v>
      </c>
      <c r="D73" s="2" t="s">
        <v>17</v>
      </c>
      <c r="E73" s="2" t="s">
        <v>33</v>
      </c>
      <c r="F73">
        <v>593</v>
      </c>
      <c r="G73">
        <v>464</v>
      </c>
      <c r="H73">
        <v>275152</v>
      </c>
      <c r="I73">
        <v>51354.315499999997</v>
      </c>
      <c r="J73" s="2" t="s">
        <v>14</v>
      </c>
    </row>
    <row r="74" spans="1:10" x14ac:dyDescent="0.35">
      <c r="A74" s="1">
        <v>44947</v>
      </c>
      <c r="B74" s="2" t="s">
        <v>34</v>
      </c>
      <c r="C74" s="2" t="s">
        <v>29</v>
      </c>
      <c r="D74" s="2" t="s">
        <v>30</v>
      </c>
      <c r="E74" s="2" t="s">
        <v>22</v>
      </c>
      <c r="F74">
        <v>524</v>
      </c>
      <c r="G74">
        <v>226</v>
      </c>
      <c r="H74">
        <v>118424</v>
      </c>
      <c r="I74">
        <v>24706.0468</v>
      </c>
      <c r="J74" s="2" t="s">
        <v>14</v>
      </c>
    </row>
    <row r="75" spans="1:10" x14ac:dyDescent="0.35">
      <c r="A75" s="1">
        <v>44947</v>
      </c>
      <c r="B75" s="2" t="s">
        <v>31</v>
      </c>
      <c r="C75" s="2" t="s">
        <v>20</v>
      </c>
      <c r="D75" s="2" t="s">
        <v>17</v>
      </c>
      <c r="E75" s="2" t="s">
        <v>33</v>
      </c>
      <c r="F75">
        <v>513</v>
      </c>
      <c r="G75">
        <v>214</v>
      </c>
      <c r="H75">
        <v>109782</v>
      </c>
      <c r="I75">
        <v>15950.013300000001</v>
      </c>
      <c r="J75" s="2" t="s">
        <v>14</v>
      </c>
    </row>
    <row r="76" spans="1:10" x14ac:dyDescent="0.35">
      <c r="A76" s="1">
        <v>44948</v>
      </c>
      <c r="B76" s="2" t="s">
        <v>19</v>
      </c>
      <c r="C76" s="2" t="s">
        <v>27</v>
      </c>
      <c r="D76" s="2" t="s">
        <v>30</v>
      </c>
      <c r="E76" s="2" t="s">
        <v>28</v>
      </c>
      <c r="F76">
        <v>991</v>
      </c>
      <c r="G76">
        <v>333</v>
      </c>
      <c r="H76">
        <v>330003</v>
      </c>
      <c r="I76">
        <v>42992.870799999997</v>
      </c>
      <c r="J76" s="2" t="s">
        <v>14</v>
      </c>
    </row>
    <row r="77" spans="1:10" x14ac:dyDescent="0.35">
      <c r="A77" s="1">
        <v>44948</v>
      </c>
      <c r="B77" s="2" t="s">
        <v>15</v>
      </c>
      <c r="C77" s="2" t="s">
        <v>23</v>
      </c>
      <c r="D77" s="2" t="s">
        <v>12</v>
      </c>
      <c r="E77" s="2" t="s">
        <v>32</v>
      </c>
      <c r="F77">
        <v>123</v>
      </c>
      <c r="G77">
        <v>333</v>
      </c>
      <c r="H77">
        <v>40959</v>
      </c>
      <c r="I77">
        <v>5930.0672000000004</v>
      </c>
      <c r="J77" s="2" t="s">
        <v>14</v>
      </c>
    </row>
    <row r="78" spans="1:10" x14ac:dyDescent="0.35">
      <c r="A78" s="1">
        <v>44948</v>
      </c>
      <c r="B78" s="2" t="s">
        <v>19</v>
      </c>
      <c r="C78" s="2" t="s">
        <v>20</v>
      </c>
      <c r="D78" s="2" t="s">
        <v>21</v>
      </c>
      <c r="E78" s="2" t="s">
        <v>24</v>
      </c>
      <c r="F78">
        <v>713</v>
      </c>
      <c r="G78">
        <v>256</v>
      </c>
      <c r="H78">
        <v>182528</v>
      </c>
      <c r="I78">
        <v>18413.518100000001</v>
      </c>
      <c r="J78" s="2" t="s">
        <v>14</v>
      </c>
    </row>
    <row r="79" spans="1:10" x14ac:dyDescent="0.35">
      <c r="A79" s="1">
        <v>44948</v>
      </c>
      <c r="B79" s="2" t="s">
        <v>15</v>
      </c>
      <c r="C79" s="2" t="s">
        <v>11</v>
      </c>
      <c r="D79" s="2" t="s">
        <v>12</v>
      </c>
      <c r="E79" s="2" t="s">
        <v>28</v>
      </c>
      <c r="F79">
        <v>343</v>
      </c>
      <c r="G79">
        <v>345</v>
      </c>
      <c r="H79">
        <v>118335</v>
      </c>
      <c r="I79">
        <v>27673.174800000001</v>
      </c>
      <c r="J79" s="2" t="s">
        <v>14</v>
      </c>
    </row>
    <row r="80" spans="1:10" x14ac:dyDescent="0.35">
      <c r="A80" s="1">
        <v>44948</v>
      </c>
      <c r="B80" s="2" t="s">
        <v>26</v>
      </c>
      <c r="C80" s="2" t="s">
        <v>16</v>
      </c>
      <c r="D80" s="2" t="s">
        <v>30</v>
      </c>
      <c r="E80" s="2" t="s">
        <v>18</v>
      </c>
      <c r="F80">
        <v>569</v>
      </c>
      <c r="G80">
        <v>447</v>
      </c>
      <c r="H80">
        <v>254343</v>
      </c>
      <c r="I80">
        <v>54918.949699999997</v>
      </c>
      <c r="J80" s="2" t="s">
        <v>14</v>
      </c>
    </row>
    <row r="81" spans="1:10" x14ac:dyDescent="0.35">
      <c r="A81" s="1">
        <v>44948</v>
      </c>
      <c r="B81" s="2" t="s">
        <v>34</v>
      </c>
      <c r="C81" s="2" t="s">
        <v>11</v>
      </c>
      <c r="D81" s="2" t="s">
        <v>12</v>
      </c>
      <c r="E81" s="2" t="s">
        <v>13</v>
      </c>
      <c r="F81">
        <v>688</v>
      </c>
      <c r="G81">
        <v>255</v>
      </c>
      <c r="H81">
        <v>175440</v>
      </c>
      <c r="I81">
        <v>38650.059099999999</v>
      </c>
      <c r="J81" s="2" t="s">
        <v>14</v>
      </c>
    </row>
    <row r="82" spans="1:10" x14ac:dyDescent="0.35">
      <c r="A82" s="1">
        <v>44949</v>
      </c>
      <c r="B82" s="2" t="s">
        <v>31</v>
      </c>
      <c r="C82" s="2" t="s">
        <v>11</v>
      </c>
      <c r="D82" s="2" t="s">
        <v>12</v>
      </c>
      <c r="E82" s="2" t="s">
        <v>28</v>
      </c>
      <c r="F82">
        <v>202</v>
      </c>
      <c r="G82">
        <v>446</v>
      </c>
      <c r="H82">
        <v>90092</v>
      </c>
      <c r="I82">
        <v>15372.7443</v>
      </c>
      <c r="J82" s="2" t="s">
        <v>14</v>
      </c>
    </row>
    <row r="83" spans="1:10" x14ac:dyDescent="0.35">
      <c r="A83" s="1">
        <v>44949</v>
      </c>
      <c r="B83" s="2" t="s">
        <v>19</v>
      </c>
      <c r="C83" s="2" t="s">
        <v>29</v>
      </c>
      <c r="D83" s="2" t="s">
        <v>12</v>
      </c>
      <c r="E83" s="2" t="s">
        <v>33</v>
      </c>
      <c r="F83">
        <v>848</v>
      </c>
      <c r="G83">
        <v>457</v>
      </c>
      <c r="H83">
        <v>387536</v>
      </c>
      <c r="I83">
        <v>37373.477899999998</v>
      </c>
      <c r="J83" s="2" t="s">
        <v>14</v>
      </c>
    </row>
    <row r="84" spans="1:10" x14ac:dyDescent="0.35">
      <c r="A84" s="1">
        <v>44949</v>
      </c>
      <c r="B84" s="2" t="s">
        <v>31</v>
      </c>
      <c r="C84" s="2" t="s">
        <v>23</v>
      </c>
      <c r="D84" s="2" t="s">
        <v>17</v>
      </c>
      <c r="E84" s="2" t="s">
        <v>35</v>
      </c>
      <c r="F84">
        <v>560</v>
      </c>
      <c r="G84">
        <v>110</v>
      </c>
      <c r="H84">
        <v>61600</v>
      </c>
      <c r="I84">
        <v>11230.121800000001</v>
      </c>
      <c r="J84" s="2" t="s">
        <v>14</v>
      </c>
    </row>
    <row r="85" spans="1:10" x14ac:dyDescent="0.35">
      <c r="A85" s="1">
        <v>44949</v>
      </c>
      <c r="B85" s="2" t="s">
        <v>25</v>
      </c>
      <c r="C85" s="2" t="s">
        <v>11</v>
      </c>
      <c r="D85" s="2" t="s">
        <v>30</v>
      </c>
      <c r="E85" s="2" t="s">
        <v>28</v>
      </c>
      <c r="F85">
        <v>108</v>
      </c>
      <c r="G85">
        <v>379</v>
      </c>
      <c r="H85">
        <v>40932</v>
      </c>
      <c r="I85">
        <v>7674.5392000000002</v>
      </c>
      <c r="J85" s="2" t="s">
        <v>14</v>
      </c>
    </row>
    <row r="86" spans="1:10" x14ac:dyDescent="0.35">
      <c r="A86" s="1">
        <v>44949</v>
      </c>
      <c r="B86" s="2" t="s">
        <v>10</v>
      </c>
      <c r="C86" s="2" t="s">
        <v>23</v>
      </c>
      <c r="D86" s="2" t="s">
        <v>21</v>
      </c>
      <c r="E86" s="2" t="s">
        <v>32</v>
      </c>
      <c r="F86">
        <v>838</v>
      </c>
      <c r="G86">
        <v>233</v>
      </c>
      <c r="H86">
        <v>195254</v>
      </c>
      <c r="I86">
        <v>43927.640299999999</v>
      </c>
      <c r="J86" s="2" t="s">
        <v>14</v>
      </c>
    </row>
    <row r="87" spans="1:10" x14ac:dyDescent="0.35">
      <c r="A87" s="1">
        <v>44950</v>
      </c>
      <c r="B87" s="2" t="s">
        <v>19</v>
      </c>
      <c r="C87" s="2" t="s">
        <v>27</v>
      </c>
      <c r="D87" s="2" t="s">
        <v>30</v>
      </c>
      <c r="E87" s="2" t="s">
        <v>18</v>
      </c>
      <c r="F87">
        <v>240</v>
      </c>
      <c r="G87">
        <v>333</v>
      </c>
      <c r="H87">
        <v>79920</v>
      </c>
      <c r="I87">
        <v>17032.6679</v>
      </c>
      <c r="J87" s="2" t="s">
        <v>14</v>
      </c>
    </row>
    <row r="88" spans="1:10" x14ac:dyDescent="0.35">
      <c r="A88" s="1">
        <v>44951</v>
      </c>
      <c r="B88" s="2" t="s">
        <v>10</v>
      </c>
      <c r="C88" s="2" t="s">
        <v>27</v>
      </c>
      <c r="D88" s="2" t="s">
        <v>17</v>
      </c>
      <c r="E88" s="2" t="s">
        <v>13</v>
      </c>
      <c r="F88">
        <v>348</v>
      </c>
      <c r="G88">
        <v>467</v>
      </c>
      <c r="H88">
        <v>162516</v>
      </c>
      <c r="I88">
        <v>14783.001700000001</v>
      </c>
      <c r="J88" s="2" t="s">
        <v>14</v>
      </c>
    </row>
    <row r="89" spans="1:10" x14ac:dyDescent="0.35">
      <c r="A89" s="1">
        <v>44951</v>
      </c>
      <c r="B89" s="2" t="s">
        <v>19</v>
      </c>
      <c r="C89" s="2" t="s">
        <v>16</v>
      </c>
      <c r="D89" s="2" t="s">
        <v>12</v>
      </c>
      <c r="E89" s="2" t="s">
        <v>33</v>
      </c>
      <c r="F89">
        <v>68</v>
      </c>
      <c r="G89">
        <v>122</v>
      </c>
      <c r="H89">
        <v>8296</v>
      </c>
      <c r="I89">
        <v>688.66369999999995</v>
      </c>
      <c r="J89" s="2" t="s">
        <v>14</v>
      </c>
    </row>
    <row r="90" spans="1:10" x14ac:dyDescent="0.35">
      <c r="A90" s="1">
        <v>44951</v>
      </c>
      <c r="B90" s="2" t="s">
        <v>34</v>
      </c>
      <c r="C90" s="2" t="s">
        <v>23</v>
      </c>
      <c r="D90" s="2" t="s">
        <v>17</v>
      </c>
      <c r="E90" s="2" t="s">
        <v>28</v>
      </c>
      <c r="F90">
        <v>88</v>
      </c>
      <c r="G90">
        <v>423</v>
      </c>
      <c r="H90">
        <v>37224</v>
      </c>
      <c r="I90">
        <v>3301.7894999999999</v>
      </c>
      <c r="J90" s="2" t="s">
        <v>14</v>
      </c>
    </row>
    <row r="91" spans="1:10" x14ac:dyDescent="0.35">
      <c r="A91" s="1">
        <v>44951</v>
      </c>
      <c r="B91" s="2" t="s">
        <v>15</v>
      </c>
      <c r="C91" s="2" t="s">
        <v>29</v>
      </c>
      <c r="D91" s="2" t="s">
        <v>30</v>
      </c>
      <c r="E91" s="2" t="s">
        <v>13</v>
      </c>
      <c r="F91">
        <v>946</v>
      </c>
      <c r="G91">
        <v>383</v>
      </c>
      <c r="H91">
        <v>362318</v>
      </c>
      <c r="I91">
        <v>71727.968299999993</v>
      </c>
      <c r="J91" s="2" t="s">
        <v>14</v>
      </c>
    </row>
    <row r="92" spans="1:10" x14ac:dyDescent="0.35">
      <c r="A92" s="1">
        <v>44951</v>
      </c>
      <c r="B92" s="2" t="s">
        <v>19</v>
      </c>
      <c r="C92" s="2" t="s">
        <v>11</v>
      </c>
      <c r="D92" s="2" t="s">
        <v>30</v>
      </c>
      <c r="E92" s="2" t="s">
        <v>35</v>
      </c>
      <c r="F92">
        <v>140</v>
      </c>
      <c r="G92">
        <v>236</v>
      </c>
      <c r="H92">
        <v>33040</v>
      </c>
      <c r="I92">
        <v>3390.2570000000001</v>
      </c>
      <c r="J92" s="2" t="s">
        <v>14</v>
      </c>
    </row>
    <row r="93" spans="1:10" x14ac:dyDescent="0.35">
      <c r="A93" s="1">
        <v>44951</v>
      </c>
      <c r="B93" s="2" t="s">
        <v>34</v>
      </c>
      <c r="C93" s="2" t="s">
        <v>11</v>
      </c>
      <c r="D93" s="2" t="s">
        <v>21</v>
      </c>
      <c r="E93" s="2" t="s">
        <v>24</v>
      </c>
      <c r="F93">
        <v>727</v>
      </c>
      <c r="G93">
        <v>392</v>
      </c>
      <c r="H93">
        <v>284984</v>
      </c>
      <c r="I93">
        <v>60799.019699999997</v>
      </c>
      <c r="J93" s="2" t="s">
        <v>14</v>
      </c>
    </row>
    <row r="94" spans="1:10" x14ac:dyDescent="0.35">
      <c r="A94" s="1">
        <v>44952</v>
      </c>
      <c r="B94" s="2" t="s">
        <v>36</v>
      </c>
      <c r="C94" s="2" t="s">
        <v>27</v>
      </c>
      <c r="D94" s="2" t="s">
        <v>17</v>
      </c>
      <c r="E94" s="2" t="s">
        <v>18</v>
      </c>
      <c r="F94">
        <v>676</v>
      </c>
      <c r="G94">
        <v>179</v>
      </c>
      <c r="H94">
        <v>121004</v>
      </c>
      <c r="I94">
        <v>16211.4962</v>
      </c>
      <c r="J94" s="2" t="s">
        <v>14</v>
      </c>
    </row>
    <row r="95" spans="1:10" x14ac:dyDescent="0.35">
      <c r="A95" s="1">
        <v>44952</v>
      </c>
      <c r="B95" s="2" t="s">
        <v>26</v>
      </c>
      <c r="C95" s="2" t="s">
        <v>20</v>
      </c>
      <c r="D95" s="2" t="s">
        <v>30</v>
      </c>
      <c r="E95" s="2" t="s">
        <v>33</v>
      </c>
      <c r="F95">
        <v>291</v>
      </c>
      <c r="G95">
        <v>130</v>
      </c>
      <c r="H95">
        <v>37830</v>
      </c>
      <c r="I95">
        <v>8967.6715999999997</v>
      </c>
      <c r="J95" s="2" t="s">
        <v>14</v>
      </c>
    </row>
    <row r="96" spans="1:10" x14ac:dyDescent="0.35">
      <c r="A96" s="1">
        <v>44953</v>
      </c>
      <c r="B96" s="2" t="s">
        <v>36</v>
      </c>
      <c r="C96" s="2" t="s">
        <v>20</v>
      </c>
      <c r="D96" s="2" t="s">
        <v>12</v>
      </c>
      <c r="E96" s="2" t="s">
        <v>33</v>
      </c>
      <c r="F96">
        <v>260</v>
      </c>
      <c r="G96">
        <v>444</v>
      </c>
      <c r="H96">
        <v>115440</v>
      </c>
      <c r="I96">
        <v>20096.444100000001</v>
      </c>
      <c r="J96" s="2" t="s">
        <v>14</v>
      </c>
    </row>
    <row r="97" spans="1:10" x14ac:dyDescent="0.35">
      <c r="A97" s="1">
        <v>44953</v>
      </c>
      <c r="B97" s="2" t="s">
        <v>26</v>
      </c>
      <c r="C97" s="2" t="s">
        <v>27</v>
      </c>
      <c r="D97" s="2" t="s">
        <v>21</v>
      </c>
      <c r="E97" s="2" t="s">
        <v>13</v>
      </c>
      <c r="F97">
        <v>829</v>
      </c>
      <c r="G97">
        <v>492</v>
      </c>
      <c r="H97">
        <v>407868</v>
      </c>
      <c r="I97">
        <v>55129.809699999998</v>
      </c>
      <c r="J97" s="2" t="s">
        <v>14</v>
      </c>
    </row>
    <row r="98" spans="1:10" x14ac:dyDescent="0.35">
      <c r="A98" s="1">
        <v>44954</v>
      </c>
      <c r="B98" s="2" t="s">
        <v>31</v>
      </c>
      <c r="C98" s="2" t="s">
        <v>27</v>
      </c>
      <c r="D98" s="2" t="s">
        <v>21</v>
      </c>
      <c r="E98" s="2" t="s">
        <v>24</v>
      </c>
      <c r="F98">
        <v>302</v>
      </c>
      <c r="G98">
        <v>164</v>
      </c>
      <c r="H98">
        <v>49528</v>
      </c>
      <c r="I98">
        <v>5330.0344999999998</v>
      </c>
      <c r="J98" s="2" t="s">
        <v>14</v>
      </c>
    </row>
    <row r="99" spans="1:10" x14ac:dyDescent="0.35">
      <c r="A99" s="1">
        <v>44954</v>
      </c>
      <c r="B99" s="2" t="s">
        <v>36</v>
      </c>
      <c r="C99" s="2" t="s">
        <v>29</v>
      </c>
      <c r="D99" s="2" t="s">
        <v>12</v>
      </c>
      <c r="E99" s="2" t="s">
        <v>24</v>
      </c>
      <c r="F99">
        <v>918</v>
      </c>
      <c r="G99">
        <v>320</v>
      </c>
      <c r="H99">
        <v>293760</v>
      </c>
      <c r="I99">
        <v>30704.692899999998</v>
      </c>
      <c r="J99" s="2" t="s">
        <v>14</v>
      </c>
    </row>
    <row r="100" spans="1:10" x14ac:dyDescent="0.35">
      <c r="A100" s="1">
        <v>44954</v>
      </c>
      <c r="B100" s="2" t="s">
        <v>15</v>
      </c>
      <c r="C100" s="2" t="s">
        <v>20</v>
      </c>
      <c r="D100" s="2" t="s">
        <v>17</v>
      </c>
      <c r="E100" s="2" t="s">
        <v>13</v>
      </c>
      <c r="F100">
        <v>843</v>
      </c>
      <c r="G100">
        <v>417</v>
      </c>
      <c r="H100">
        <v>351531</v>
      </c>
      <c r="I100">
        <v>29101.168399999999</v>
      </c>
      <c r="J100" s="2" t="s">
        <v>14</v>
      </c>
    </row>
    <row r="101" spans="1:10" x14ac:dyDescent="0.35">
      <c r="A101" s="1">
        <v>44954</v>
      </c>
      <c r="B101" s="2" t="s">
        <v>19</v>
      </c>
      <c r="C101" s="2" t="s">
        <v>11</v>
      </c>
      <c r="D101" s="2" t="s">
        <v>30</v>
      </c>
      <c r="E101" s="2" t="s">
        <v>35</v>
      </c>
      <c r="F101">
        <v>928</v>
      </c>
      <c r="G101">
        <v>386</v>
      </c>
      <c r="H101">
        <v>358208</v>
      </c>
      <c r="I101">
        <v>42142.035600000003</v>
      </c>
      <c r="J101" s="2" t="s">
        <v>14</v>
      </c>
    </row>
    <row r="102" spans="1:10" x14ac:dyDescent="0.35">
      <c r="A102" s="1">
        <v>44955</v>
      </c>
      <c r="B102" s="2" t="s">
        <v>31</v>
      </c>
      <c r="C102" s="2" t="s">
        <v>20</v>
      </c>
      <c r="D102" s="2" t="s">
        <v>30</v>
      </c>
      <c r="E102" s="2" t="s">
        <v>18</v>
      </c>
      <c r="F102">
        <v>279</v>
      </c>
      <c r="G102">
        <v>116</v>
      </c>
      <c r="H102">
        <v>32364</v>
      </c>
      <c r="I102">
        <v>3176.0736999999999</v>
      </c>
      <c r="J102" s="2" t="s">
        <v>14</v>
      </c>
    </row>
    <row r="103" spans="1:10" x14ac:dyDescent="0.35">
      <c r="A103" s="1">
        <v>44955</v>
      </c>
      <c r="B103" s="2" t="s">
        <v>36</v>
      </c>
      <c r="C103" s="2" t="s">
        <v>29</v>
      </c>
      <c r="D103" s="2" t="s">
        <v>30</v>
      </c>
      <c r="E103" s="2" t="s">
        <v>22</v>
      </c>
      <c r="F103">
        <v>109</v>
      </c>
      <c r="G103">
        <v>466</v>
      </c>
      <c r="H103">
        <v>50794</v>
      </c>
      <c r="I103">
        <v>6033.3523999999998</v>
      </c>
      <c r="J103" s="2" t="s">
        <v>14</v>
      </c>
    </row>
    <row r="104" spans="1:10" x14ac:dyDescent="0.35">
      <c r="A104" s="1">
        <v>44955</v>
      </c>
      <c r="B104" s="2" t="s">
        <v>34</v>
      </c>
      <c r="C104" s="2" t="s">
        <v>27</v>
      </c>
      <c r="D104" s="2" t="s">
        <v>30</v>
      </c>
      <c r="E104" s="2" t="s">
        <v>32</v>
      </c>
      <c r="F104">
        <v>423</v>
      </c>
      <c r="G104">
        <v>247</v>
      </c>
      <c r="H104">
        <v>104481</v>
      </c>
      <c r="I104">
        <v>20718.357199999999</v>
      </c>
      <c r="J104" s="2" t="s">
        <v>14</v>
      </c>
    </row>
    <row r="105" spans="1:10" x14ac:dyDescent="0.35">
      <c r="A105" s="1">
        <v>44955</v>
      </c>
      <c r="B105" s="2" t="s">
        <v>15</v>
      </c>
      <c r="C105" s="2" t="s">
        <v>20</v>
      </c>
      <c r="D105" s="2" t="s">
        <v>30</v>
      </c>
      <c r="E105" s="2" t="s">
        <v>18</v>
      </c>
      <c r="F105">
        <v>237</v>
      </c>
      <c r="G105">
        <v>378</v>
      </c>
      <c r="H105">
        <v>89586</v>
      </c>
      <c r="I105">
        <v>16595.363600000001</v>
      </c>
      <c r="J105" s="2" t="s">
        <v>14</v>
      </c>
    </row>
    <row r="106" spans="1:10" x14ac:dyDescent="0.35">
      <c r="A106" s="1">
        <v>44955</v>
      </c>
      <c r="B106" s="2" t="s">
        <v>26</v>
      </c>
      <c r="C106" s="2" t="s">
        <v>20</v>
      </c>
      <c r="D106" s="2" t="s">
        <v>21</v>
      </c>
      <c r="E106" s="2" t="s">
        <v>28</v>
      </c>
      <c r="F106">
        <v>853</v>
      </c>
      <c r="G106">
        <v>261</v>
      </c>
      <c r="H106">
        <v>222633</v>
      </c>
      <c r="I106">
        <v>44528.499400000001</v>
      </c>
      <c r="J106" s="2" t="s">
        <v>14</v>
      </c>
    </row>
    <row r="107" spans="1:10" x14ac:dyDescent="0.35">
      <c r="A107" s="1">
        <v>44955</v>
      </c>
      <c r="B107" s="2" t="s">
        <v>25</v>
      </c>
      <c r="C107" s="2" t="s">
        <v>29</v>
      </c>
      <c r="D107" s="2" t="s">
        <v>21</v>
      </c>
      <c r="E107" s="2" t="s">
        <v>22</v>
      </c>
      <c r="F107">
        <v>300</v>
      </c>
      <c r="G107">
        <v>138</v>
      </c>
      <c r="H107">
        <v>41400</v>
      </c>
      <c r="I107">
        <v>7904.4802</v>
      </c>
      <c r="J107" s="2" t="s">
        <v>14</v>
      </c>
    </row>
    <row r="108" spans="1:10" x14ac:dyDescent="0.35">
      <c r="A108" s="1">
        <v>44957</v>
      </c>
      <c r="B108" s="2" t="s">
        <v>31</v>
      </c>
      <c r="C108" s="2" t="s">
        <v>16</v>
      </c>
      <c r="D108" s="2" t="s">
        <v>12</v>
      </c>
      <c r="E108" s="2" t="s">
        <v>22</v>
      </c>
      <c r="F108">
        <v>267</v>
      </c>
      <c r="G108">
        <v>315</v>
      </c>
      <c r="H108">
        <v>84105</v>
      </c>
      <c r="I108">
        <v>9035.6923000000006</v>
      </c>
      <c r="J108" s="2" t="s">
        <v>14</v>
      </c>
    </row>
    <row r="109" spans="1:10" x14ac:dyDescent="0.35">
      <c r="A109" s="1">
        <v>44957</v>
      </c>
      <c r="B109" s="2" t="s">
        <v>34</v>
      </c>
      <c r="C109" s="2" t="s">
        <v>23</v>
      </c>
      <c r="D109" s="2" t="s">
        <v>12</v>
      </c>
      <c r="E109" s="2" t="s">
        <v>35</v>
      </c>
      <c r="F109">
        <v>573</v>
      </c>
      <c r="G109">
        <v>118</v>
      </c>
      <c r="H109">
        <v>67614</v>
      </c>
      <c r="I109">
        <v>14094.011399999999</v>
      </c>
      <c r="J109" s="2" t="s">
        <v>14</v>
      </c>
    </row>
    <row r="110" spans="1:10" x14ac:dyDescent="0.35">
      <c r="A110" s="1">
        <v>44958</v>
      </c>
      <c r="B110" s="2" t="s">
        <v>25</v>
      </c>
      <c r="C110" s="2" t="s">
        <v>27</v>
      </c>
      <c r="D110" s="2" t="s">
        <v>17</v>
      </c>
      <c r="E110" s="2" t="s">
        <v>35</v>
      </c>
      <c r="F110">
        <v>331</v>
      </c>
      <c r="G110">
        <v>237</v>
      </c>
      <c r="H110">
        <v>78447</v>
      </c>
      <c r="I110">
        <v>17010.254099999998</v>
      </c>
      <c r="J110" s="2" t="s">
        <v>37</v>
      </c>
    </row>
    <row r="111" spans="1:10" x14ac:dyDescent="0.35">
      <c r="A111" s="1">
        <v>44958</v>
      </c>
      <c r="B111" s="2" t="s">
        <v>26</v>
      </c>
      <c r="C111" s="2" t="s">
        <v>27</v>
      </c>
      <c r="D111" s="2" t="s">
        <v>12</v>
      </c>
      <c r="E111" s="2" t="s">
        <v>13</v>
      </c>
      <c r="F111">
        <v>993</v>
      </c>
      <c r="G111">
        <v>205</v>
      </c>
      <c r="H111">
        <v>203565</v>
      </c>
      <c r="I111">
        <v>17303.519899999999</v>
      </c>
      <c r="J111" s="2" t="s">
        <v>37</v>
      </c>
    </row>
    <row r="112" spans="1:10" x14ac:dyDescent="0.35">
      <c r="A112" s="1">
        <v>44958</v>
      </c>
      <c r="B112" s="2" t="s">
        <v>10</v>
      </c>
      <c r="C112" s="2" t="s">
        <v>20</v>
      </c>
      <c r="D112" s="2" t="s">
        <v>21</v>
      </c>
      <c r="E112" s="2" t="s">
        <v>35</v>
      </c>
      <c r="F112">
        <v>100</v>
      </c>
      <c r="G112">
        <v>420</v>
      </c>
      <c r="H112">
        <v>42000</v>
      </c>
      <c r="I112">
        <v>9630.2127</v>
      </c>
      <c r="J112" s="2" t="s">
        <v>37</v>
      </c>
    </row>
    <row r="113" spans="1:10" x14ac:dyDescent="0.35">
      <c r="A113" s="1">
        <v>44959</v>
      </c>
      <c r="B113" s="2" t="s">
        <v>31</v>
      </c>
      <c r="C113" s="2" t="s">
        <v>29</v>
      </c>
      <c r="D113" s="2" t="s">
        <v>30</v>
      </c>
      <c r="E113" s="2" t="s">
        <v>18</v>
      </c>
      <c r="F113">
        <v>348</v>
      </c>
      <c r="G113">
        <v>366</v>
      </c>
      <c r="H113">
        <v>127368</v>
      </c>
      <c r="I113">
        <v>13630.6283</v>
      </c>
      <c r="J113" s="2" t="s">
        <v>37</v>
      </c>
    </row>
    <row r="114" spans="1:10" x14ac:dyDescent="0.35">
      <c r="A114" s="1">
        <v>44960</v>
      </c>
      <c r="B114" s="2" t="s">
        <v>36</v>
      </c>
      <c r="C114" s="2" t="s">
        <v>16</v>
      </c>
      <c r="D114" s="2" t="s">
        <v>12</v>
      </c>
      <c r="E114" s="2" t="s">
        <v>28</v>
      </c>
      <c r="F114">
        <v>344</v>
      </c>
      <c r="G114">
        <v>356</v>
      </c>
      <c r="H114">
        <v>122464</v>
      </c>
      <c r="I114">
        <v>21219.046900000001</v>
      </c>
      <c r="J114" s="2" t="s">
        <v>37</v>
      </c>
    </row>
    <row r="115" spans="1:10" x14ac:dyDescent="0.35">
      <c r="A115" s="1">
        <v>44960</v>
      </c>
      <c r="B115" s="2" t="s">
        <v>26</v>
      </c>
      <c r="C115" s="2" t="s">
        <v>11</v>
      </c>
      <c r="D115" s="2" t="s">
        <v>17</v>
      </c>
      <c r="E115" s="2" t="s">
        <v>28</v>
      </c>
      <c r="F115">
        <v>312</v>
      </c>
      <c r="G115">
        <v>457</v>
      </c>
      <c r="H115">
        <v>142584</v>
      </c>
      <c r="I115">
        <v>24266.217799999999</v>
      </c>
      <c r="J115" s="2" t="s">
        <v>37</v>
      </c>
    </row>
    <row r="116" spans="1:10" x14ac:dyDescent="0.35">
      <c r="A116" s="1">
        <v>44960</v>
      </c>
      <c r="B116" s="2" t="s">
        <v>10</v>
      </c>
      <c r="C116" s="2" t="s">
        <v>11</v>
      </c>
      <c r="D116" s="2" t="s">
        <v>12</v>
      </c>
      <c r="E116" s="2" t="s">
        <v>13</v>
      </c>
      <c r="F116">
        <v>486</v>
      </c>
      <c r="G116">
        <v>436</v>
      </c>
      <c r="H116">
        <v>211896</v>
      </c>
      <c r="I116">
        <v>51329.7736</v>
      </c>
      <c r="J116" s="2" t="s">
        <v>37</v>
      </c>
    </row>
    <row r="117" spans="1:10" x14ac:dyDescent="0.35">
      <c r="A117" s="1">
        <v>44961</v>
      </c>
      <c r="B117" s="2" t="s">
        <v>34</v>
      </c>
      <c r="C117" s="2" t="s">
        <v>11</v>
      </c>
      <c r="D117" s="2" t="s">
        <v>17</v>
      </c>
      <c r="E117" s="2" t="s">
        <v>33</v>
      </c>
      <c r="F117">
        <v>958</v>
      </c>
      <c r="G117">
        <v>275</v>
      </c>
      <c r="H117">
        <v>263450</v>
      </c>
      <c r="I117">
        <v>58209.921600000001</v>
      </c>
      <c r="J117" s="2" t="s">
        <v>37</v>
      </c>
    </row>
    <row r="118" spans="1:10" x14ac:dyDescent="0.35">
      <c r="A118" s="1">
        <v>44961</v>
      </c>
      <c r="B118" s="2" t="s">
        <v>10</v>
      </c>
      <c r="C118" s="2" t="s">
        <v>23</v>
      </c>
      <c r="D118" s="2" t="s">
        <v>17</v>
      </c>
      <c r="E118" s="2" t="s">
        <v>13</v>
      </c>
      <c r="F118">
        <v>964</v>
      </c>
      <c r="G118">
        <v>486</v>
      </c>
      <c r="H118">
        <v>468504</v>
      </c>
      <c r="I118">
        <v>73624.797000000006</v>
      </c>
      <c r="J118" s="2" t="s">
        <v>37</v>
      </c>
    </row>
    <row r="119" spans="1:10" x14ac:dyDescent="0.35">
      <c r="A119" s="1">
        <v>44961</v>
      </c>
      <c r="B119" s="2" t="s">
        <v>26</v>
      </c>
      <c r="C119" s="2" t="s">
        <v>23</v>
      </c>
      <c r="D119" s="2" t="s">
        <v>12</v>
      </c>
      <c r="E119" s="2" t="s">
        <v>35</v>
      </c>
      <c r="F119">
        <v>606</v>
      </c>
      <c r="G119">
        <v>378</v>
      </c>
      <c r="H119">
        <v>229068</v>
      </c>
      <c r="I119">
        <v>34310.830999999998</v>
      </c>
      <c r="J119" s="2" t="s">
        <v>37</v>
      </c>
    </row>
    <row r="120" spans="1:10" x14ac:dyDescent="0.35">
      <c r="A120" s="1">
        <v>44962</v>
      </c>
      <c r="B120" s="2" t="s">
        <v>34</v>
      </c>
      <c r="C120" s="2" t="s">
        <v>23</v>
      </c>
      <c r="D120" s="2" t="s">
        <v>17</v>
      </c>
      <c r="E120" s="2" t="s">
        <v>28</v>
      </c>
      <c r="F120">
        <v>224</v>
      </c>
      <c r="G120">
        <v>351</v>
      </c>
      <c r="H120">
        <v>78624</v>
      </c>
      <c r="I120">
        <v>17786.717799999999</v>
      </c>
      <c r="J120" s="2" t="s">
        <v>37</v>
      </c>
    </row>
    <row r="121" spans="1:10" x14ac:dyDescent="0.35">
      <c r="A121" s="1">
        <v>44962</v>
      </c>
      <c r="B121" s="2" t="s">
        <v>15</v>
      </c>
      <c r="C121" s="2" t="s">
        <v>23</v>
      </c>
      <c r="D121" s="2" t="s">
        <v>12</v>
      </c>
      <c r="E121" s="2" t="s">
        <v>35</v>
      </c>
      <c r="F121">
        <v>242</v>
      </c>
      <c r="G121">
        <v>476</v>
      </c>
      <c r="H121">
        <v>115192</v>
      </c>
      <c r="I121">
        <v>16564.048599999998</v>
      </c>
      <c r="J121" s="2" t="s">
        <v>37</v>
      </c>
    </row>
    <row r="122" spans="1:10" x14ac:dyDescent="0.35">
      <c r="A122" s="1">
        <v>44962</v>
      </c>
      <c r="B122" s="2" t="s">
        <v>19</v>
      </c>
      <c r="C122" s="2" t="s">
        <v>16</v>
      </c>
      <c r="D122" s="2" t="s">
        <v>30</v>
      </c>
      <c r="E122" s="2" t="s">
        <v>35</v>
      </c>
      <c r="F122">
        <v>850</v>
      </c>
      <c r="G122">
        <v>353</v>
      </c>
      <c r="H122">
        <v>300050</v>
      </c>
      <c r="I122">
        <v>30433.754499999999</v>
      </c>
      <c r="J122" s="2" t="s">
        <v>37</v>
      </c>
    </row>
    <row r="123" spans="1:10" x14ac:dyDescent="0.35">
      <c r="A123" s="1">
        <v>44963</v>
      </c>
      <c r="B123" s="2" t="s">
        <v>15</v>
      </c>
      <c r="C123" s="2" t="s">
        <v>16</v>
      </c>
      <c r="D123" s="2" t="s">
        <v>21</v>
      </c>
      <c r="E123" s="2" t="s">
        <v>28</v>
      </c>
      <c r="F123">
        <v>681</v>
      </c>
      <c r="G123">
        <v>244</v>
      </c>
      <c r="H123">
        <v>166164</v>
      </c>
      <c r="I123">
        <v>22463.720499999999</v>
      </c>
      <c r="J123" s="2" t="s">
        <v>37</v>
      </c>
    </row>
    <row r="124" spans="1:10" x14ac:dyDescent="0.35">
      <c r="A124" s="1">
        <v>44963</v>
      </c>
      <c r="B124" s="2" t="s">
        <v>31</v>
      </c>
      <c r="C124" s="2" t="s">
        <v>23</v>
      </c>
      <c r="D124" s="2" t="s">
        <v>21</v>
      </c>
      <c r="E124" s="2" t="s">
        <v>35</v>
      </c>
      <c r="F124">
        <v>862</v>
      </c>
      <c r="G124">
        <v>197</v>
      </c>
      <c r="H124">
        <v>169814</v>
      </c>
      <c r="I124">
        <v>38718.8655</v>
      </c>
      <c r="J124" s="2" t="s">
        <v>37</v>
      </c>
    </row>
    <row r="125" spans="1:10" x14ac:dyDescent="0.35">
      <c r="A125" s="1">
        <v>44963</v>
      </c>
      <c r="B125" s="2" t="s">
        <v>25</v>
      </c>
      <c r="C125" s="2" t="s">
        <v>27</v>
      </c>
      <c r="D125" s="2" t="s">
        <v>17</v>
      </c>
      <c r="E125" s="2" t="s">
        <v>18</v>
      </c>
      <c r="F125">
        <v>549</v>
      </c>
      <c r="G125">
        <v>209</v>
      </c>
      <c r="H125">
        <v>114741</v>
      </c>
      <c r="I125">
        <v>11601.526599999999</v>
      </c>
      <c r="J125" s="2" t="s">
        <v>37</v>
      </c>
    </row>
    <row r="126" spans="1:10" x14ac:dyDescent="0.35">
      <c r="A126" s="1">
        <v>44964</v>
      </c>
      <c r="B126" s="2" t="s">
        <v>31</v>
      </c>
      <c r="C126" s="2" t="s">
        <v>23</v>
      </c>
      <c r="D126" s="2" t="s">
        <v>30</v>
      </c>
      <c r="E126" s="2" t="s">
        <v>13</v>
      </c>
      <c r="F126">
        <v>470</v>
      </c>
      <c r="G126">
        <v>311</v>
      </c>
      <c r="H126">
        <v>146170</v>
      </c>
      <c r="I126">
        <v>25104.688399999999</v>
      </c>
      <c r="J126" s="2" t="s">
        <v>37</v>
      </c>
    </row>
    <row r="127" spans="1:10" x14ac:dyDescent="0.35">
      <c r="A127" s="1">
        <v>44964</v>
      </c>
      <c r="B127" s="2" t="s">
        <v>15</v>
      </c>
      <c r="C127" s="2" t="s">
        <v>20</v>
      </c>
      <c r="D127" s="2" t="s">
        <v>21</v>
      </c>
      <c r="E127" s="2" t="s">
        <v>33</v>
      </c>
      <c r="F127">
        <v>726</v>
      </c>
      <c r="G127">
        <v>189</v>
      </c>
      <c r="H127">
        <v>137214</v>
      </c>
      <c r="I127">
        <v>11299.541999999999</v>
      </c>
      <c r="J127" s="2" t="s">
        <v>37</v>
      </c>
    </row>
    <row r="128" spans="1:10" x14ac:dyDescent="0.35">
      <c r="A128" s="1">
        <v>44964</v>
      </c>
      <c r="B128" s="2" t="s">
        <v>19</v>
      </c>
      <c r="C128" s="2" t="s">
        <v>16</v>
      </c>
      <c r="D128" s="2" t="s">
        <v>30</v>
      </c>
      <c r="E128" s="2" t="s">
        <v>24</v>
      </c>
      <c r="F128">
        <v>121</v>
      </c>
      <c r="G128">
        <v>405</v>
      </c>
      <c r="H128">
        <v>49005</v>
      </c>
      <c r="I128">
        <v>7541.7748000000001</v>
      </c>
      <c r="J128" s="2" t="s">
        <v>37</v>
      </c>
    </row>
    <row r="129" spans="1:10" x14ac:dyDescent="0.35">
      <c r="A129" s="1">
        <v>44965</v>
      </c>
      <c r="B129" s="2" t="s">
        <v>15</v>
      </c>
      <c r="C129" s="2" t="s">
        <v>27</v>
      </c>
      <c r="D129" s="2" t="s">
        <v>17</v>
      </c>
      <c r="E129" s="2" t="s">
        <v>18</v>
      </c>
      <c r="F129">
        <v>302</v>
      </c>
      <c r="G129">
        <v>491</v>
      </c>
      <c r="H129">
        <v>148282</v>
      </c>
      <c r="I129">
        <v>30122.739300000001</v>
      </c>
      <c r="J129" s="2" t="s">
        <v>37</v>
      </c>
    </row>
    <row r="130" spans="1:10" x14ac:dyDescent="0.35">
      <c r="A130" s="1">
        <v>44965</v>
      </c>
      <c r="B130" s="2" t="s">
        <v>26</v>
      </c>
      <c r="C130" s="2" t="s">
        <v>27</v>
      </c>
      <c r="D130" s="2" t="s">
        <v>12</v>
      </c>
      <c r="E130" s="2" t="s">
        <v>28</v>
      </c>
      <c r="F130">
        <v>652</v>
      </c>
      <c r="G130">
        <v>236</v>
      </c>
      <c r="H130">
        <v>153872</v>
      </c>
      <c r="I130">
        <v>21377.350299999998</v>
      </c>
      <c r="J130" s="2" t="s">
        <v>37</v>
      </c>
    </row>
    <row r="131" spans="1:10" x14ac:dyDescent="0.35">
      <c r="A131" s="1">
        <v>44965</v>
      </c>
      <c r="B131" s="2" t="s">
        <v>26</v>
      </c>
      <c r="C131" s="2" t="s">
        <v>29</v>
      </c>
      <c r="D131" s="2" t="s">
        <v>12</v>
      </c>
      <c r="E131" s="2" t="s">
        <v>18</v>
      </c>
      <c r="F131">
        <v>96</v>
      </c>
      <c r="G131">
        <v>442</v>
      </c>
      <c r="H131">
        <v>42432</v>
      </c>
      <c r="I131">
        <v>5061.5605999999998</v>
      </c>
      <c r="J131" s="2" t="s">
        <v>37</v>
      </c>
    </row>
    <row r="132" spans="1:10" x14ac:dyDescent="0.35">
      <c r="A132" s="1">
        <v>44965</v>
      </c>
      <c r="B132" s="2" t="s">
        <v>26</v>
      </c>
      <c r="C132" s="2" t="s">
        <v>27</v>
      </c>
      <c r="D132" s="2" t="s">
        <v>12</v>
      </c>
      <c r="E132" s="2" t="s">
        <v>24</v>
      </c>
      <c r="F132">
        <v>639</v>
      </c>
      <c r="G132">
        <v>251</v>
      </c>
      <c r="H132">
        <v>160389</v>
      </c>
      <c r="I132">
        <v>37641.381500000003</v>
      </c>
      <c r="J132" s="2" t="s">
        <v>37</v>
      </c>
    </row>
    <row r="133" spans="1:10" x14ac:dyDescent="0.35">
      <c r="A133" s="1">
        <v>44965</v>
      </c>
      <c r="B133" s="2" t="s">
        <v>36</v>
      </c>
      <c r="C133" s="2" t="s">
        <v>23</v>
      </c>
      <c r="D133" s="2" t="s">
        <v>21</v>
      </c>
      <c r="E133" s="2" t="s">
        <v>33</v>
      </c>
      <c r="F133">
        <v>971</v>
      </c>
      <c r="G133">
        <v>267</v>
      </c>
      <c r="H133">
        <v>259257</v>
      </c>
      <c r="I133">
        <v>51221.796799999996</v>
      </c>
      <c r="J133" s="2" t="s">
        <v>37</v>
      </c>
    </row>
    <row r="134" spans="1:10" x14ac:dyDescent="0.35">
      <c r="A134" s="1">
        <v>44966</v>
      </c>
      <c r="B134" s="2" t="s">
        <v>26</v>
      </c>
      <c r="C134" s="2" t="s">
        <v>27</v>
      </c>
      <c r="D134" s="2" t="s">
        <v>21</v>
      </c>
      <c r="E134" s="2" t="s">
        <v>13</v>
      </c>
      <c r="F134">
        <v>745</v>
      </c>
      <c r="G134">
        <v>109</v>
      </c>
      <c r="H134">
        <v>81205</v>
      </c>
      <c r="I134">
        <v>18798.132000000001</v>
      </c>
      <c r="J134" s="2" t="s">
        <v>37</v>
      </c>
    </row>
    <row r="135" spans="1:10" x14ac:dyDescent="0.35">
      <c r="A135" s="1">
        <v>44966</v>
      </c>
      <c r="B135" s="2" t="s">
        <v>26</v>
      </c>
      <c r="C135" s="2" t="s">
        <v>27</v>
      </c>
      <c r="D135" s="2" t="s">
        <v>12</v>
      </c>
      <c r="E135" s="2" t="s">
        <v>24</v>
      </c>
      <c r="F135">
        <v>596</v>
      </c>
      <c r="G135">
        <v>400</v>
      </c>
      <c r="H135">
        <v>238400</v>
      </c>
      <c r="I135">
        <v>39298.847999999998</v>
      </c>
      <c r="J135" s="2" t="s">
        <v>37</v>
      </c>
    </row>
    <row r="136" spans="1:10" x14ac:dyDescent="0.35">
      <c r="A136" s="1">
        <v>44966</v>
      </c>
      <c r="B136" s="2" t="s">
        <v>34</v>
      </c>
      <c r="C136" s="2" t="s">
        <v>23</v>
      </c>
      <c r="D136" s="2" t="s">
        <v>21</v>
      </c>
      <c r="E136" s="2" t="s">
        <v>24</v>
      </c>
      <c r="F136">
        <v>632</v>
      </c>
      <c r="G136">
        <v>135</v>
      </c>
      <c r="H136">
        <v>85320</v>
      </c>
      <c r="I136">
        <v>21184.167099999999</v>
      </c>
      <c r="J136" s="2" t="s">
        <v>37</v>
      </c>
    </row>
    <row r="137" spans="1:10" x14ac:dyDescent="0.35">
      <c r="A137" s="1">
        <v>44966</v>
      </c>
      <c r="B137" s="2" t="s">
        <v>36</v>
      </c>
      <c r="C137" s="2" t="s">
        <v>16</v>
      </c>
      <c r="D137" s="2" t="s">
        <v>17</v>
      </c>
      <c r="E137" s="2" t="s">
        <v>35</v>
      </c>
      <c r="F137">
        <v>999</v>
      </c>
      <c r="G137">
        <v>197</v>
      </c>
      <c r="H137">
        <v>196803</v>
      </c>
      <c r="I137">
        <v>26891.385600000001</v>
      </c>
      <c r="J137" s="2" t="s">
        <v>37</v>
      </c>
    </row>
    <row r="138" spans="1:10" x14ac:dyDescent="0.35">
      <c r="A138" s="1">
        <v>44967</v>
      </c>
      <c r="B138" s="2" t="s">
        <v>34</v>
      </c>
      <c r="C138" s="2" t="s">
        <v>16</v>
      </c>
      <c r="D138" s="2" t="s">
        <v>17</v>
      </c>
      <c r="E138" s="2" t="s">
        <v>18</v>
      </c>
      <c r="F138">
        <v>769</v>
      </c>
      <c r="G138">
        <v>350</v>
      </c>
      <c r="H138">
        <v>269150</v>
      </c>
      <c r="I138">
        <v>43783.825199999999</v>
      </c>
      <c r="J138" s="2" t="s">
        <v>37</v>
      </c>
    </row>
    <row r="139" spans="1:10" x14ac:dyDescent="0.35">
      <c r="A139" s="1">
        <v>44967</v>
      </c>
      <c r="B139" s="2" t="s">
        <v>15</v>
      </c>
      <c r="C139" s="2" t="s">
        <v>16</v>
      </c>
      <c r="D139" s="2" t="s">
        <v>12</v>
      </c>
      <c r="E139" s="2" t="s">
        <v>32</v>
      </c>
      <c r="F139">
        <v>719</v>
      </c>
      <c r="G139">
        <v>122</v>
      </c>
      <c r="H139">
        <v>87718</v>
      </c>
      <c r="I139">
        <v>15515.8781</v>
      </c>
      <c r="J139" s="2" t="s">
        <v>37</v>
      </c>
    </row>
    <row r="140" spans="1:10" x14ac:dyDescent="0.35">
      <c r="A140" s="1">
        <v>44967</v>
      </c>
      <c r="B140" s="2" t="s">
        <v>25</v>
      </c>
      <c r="C140" s="2" t="s">
        <v>29</v>
      </c>
      <c r="D140" s="2" t="s">
        <v>30</v>
      </c>
      <c r="E140" s="2" t="s">
        <v>24</v>
      </c>
      <c r="F140">
        <v>221</v>
      </c>
      <c r="G140">
        <v>304</v>
      </c>
      <c r="H140">
        <v>67184</v>
      </c>
      <c r="I140">
        <v>13262.429599999999</v>
      </c>
      <c r="J140" s="2" t="s">
        <v>37</v>
      </c>
    </row>
    <row r="141" spans="1:10" x14ac:dyDescent="0.35">
      <c r="A141" s="1">
        <v>44967</v>
      </c>
      <c r="B141" s="2" t="s">
        <v>34</v>
      </c>
      <c r="C141" s="2" t="s">
        <v>29</v>
      </c>
      <c r="D141" s="2" t="s">
        <v>12</v>
      </c>
      <c r="E141" s="2" t="s">
        <v>32</v>
      </c>
      <c r="F141">
        <v>841</v>
      </c>
      <c r="G141">
        <v>186</v>
      </c>
      <c r="H141">
        <v>156426</v>
      </c>
      <c r="I141">
        <v>18515.592799999999</v>
      </c>
      <c r="J141" s="2" t="s">
        <v>37</v>
      </c>
    </row>
    <row r="142" spans="1:10" x14ac:dyDescent="0.35">
      <c r="A142" s="1">
        <v>44967</v>
      </c>
      <c r="B142" s="2" t="s">
        <v>25</v>
      </c>
      <c r="C142" s="2" t="s">
        <v>27</v>
      </c>
      <c r="D142" s="2" t="s">
        <v>12</v>
      </c>
      <c r="E142" s="2" t="s">
        <v>22</v>
      </c>
      <c r="F142">
        <v>959</v>
      </c>
      <c r="G142">
        <v>382</v>
      </c>
      <c r="H142">
        <v>366338</v>
      </c>
      <c r="I142">
        <v>51261.534</v>
      </c>
      <c r="J142" s="2" t="s">
        <v>37</v>
      </c>
    </row>
    <row r="143" spans="1:10" x14ac:dyDescent="0.35">
      <c r="A143" s="1">
        <v>44967</v>
      </c>
      <c r="B143" s="2" t="s">
        <v>31</v>
      </c>
      <c r="C143" s="2" t="s">
        <v>16</v>
      </c>
      <c r="D143" s="2" t="s">
        <v>21</v>
      </c>
      <c r="E143" s="2" t="s">
        <v>18</v>
      </c>
      <c r="F143">
        <v>770</v>
      </c>
      <c r="G143">
        <v>211</v>
      </c>
      <c r="H143">
        <v>162470</v>
      </c>
      <c r="I143">
        <v>27579.3606</v>
      </c>
      <c r="J143" s="2" t="s">
        <v>37</v>
      </c>
    </row>
    <row r="144" spans="1:10" x14ac:dyDescent="0.35">
      <c r="A144" s="1">
        <v>44968</v>
      </c>
      <c r="B144" s="2" t="s">
        <v>31</v>
      </c>
      <c r="C144" s="2" t="s">
        <v>20</v>
      </c>
      <c r="D144" s="2" t="s">
        <v>30</v>
      </c>
      <c r="E144" s="2" t="s">
        <v>18</v>
      </c>
      <c r="F144">
        <v>83</v>
      </c>
      <c r="G144">
        <v>414</v>
      </c>
      <c r="H144">
        <v>34362</v>
      </c>
      <c r="I144">
        <v>8009.8036000000002</v>
      </c>
      <c r="J144" s="2" t="s">
        <v>37</v>
      </c>
    </row>
    <row r="145" spans="1:10" x14ac:dyDescent="0.35">
      <c r="A145" s="1">
        <v>44968</v>
      </c>
      <c r="B145" s="2" t="s">
        <v>31</v>
      </c>
      <c r="C145" s="2" t="s">
        <v>29</v>
      </c>
      <c r="D145" s="2" t="s">
        <v>17</v>
      </c>
      <c r="E145" s="2" t="s">
        <v>33</v>
      </c>
      <c r="F145">
        <v>158</v>
      </c>
      <c r="G145">
        <v>450</v>
      </c>
      <c r="H145">
        <v>71100</v>
      </c>
      <c r="I145">
        <v>17291.9133</v>
      </c>
      <c r="J145" s="2" t="s">
        <v>37</v>
      </c>
    </row>
    <row r="146" spans="1:10" x14ac:dyDescent="0.35">
      <c r="A146" s="1">
        <v>44968</v>
      </c>
      <c r="B146" s="2" t="s">
        <v>31</v>
      </c>
      <c r="C146" s="2" t="s">
        <v>23</v>
      </c>
      <c r="D146" s="2" t="s">
        <v>12</v>
      </c>
      <c r="E146" s="2" t="s">
        <v>32</v>
      </c>
      <c r="F146">
        <v>728</v>
      </c>
      <c r="G146">
        <v>143</v>
      </c>
      <c r="H146">
        <v>104104</v>
      </c>
      <c r="I146">
        <v>11957.7842</v>
      </c>
      <c r="J146" s="2" t="s">
        <v>37</v>
      </c>
    </row>
    <row r="147" spans="1:10" x14ac:dyDescent="0.35">
      <c r="A147" s="1">
        <v>44969</v>
      </c>
      <c r="B147" s="2" t="s">
        <v>26</v>
      </c>
      <c r="C147" s="2" t="s">
        <v>23</v>
      </c>
      <c r="D147" s="2" t="s">
        <v>12</v>
      </c>
      <c r="E147" s="2" t="s">
        <v>35</v>
      </c>
      <c r="F147">
        <v>703</v>
      </c>
      <c r="G147">
        <v>200</v>
      </c>
      <c r="H147">
        <v>140600</v>
      </c>
      <c r="I147">
        <v>16928.496999999999</v>
      </c>
      <c r="J147" s="2" t="s">
        <v>37</v>
      </c>
    </row>
    <row r="148" spans="1:10" x14ac:dyDescent="0.35">
      <c r="A148" s="1">
        <v>44969</v>
      </c>
      <c r="B148" s="2" t="s">
        <v>26</v>
      </c>
      <c r="C148" s="2" t="s">
        <v>16</v>
      </c>
      <c r="D148" s="2" t="s">
        <v>30</v>
      </c>
      <c r="E148" s="2" t="s">
        <v>28</v>
      </c>
      <c r="F148">
        <v>835</v>
      </c>
      <c r="G148">
        <v>278</v>
      </c>
      <c r="H148">
        <v>232130</v>
      </c>
      <c r="I148">
        <v>55418.614099999999</v>
      </c>
      <c r="J148" s="2" t="s">
        <v>37</v>
      </c>
    </row>
    <row r="149" spans="1:10" x14ac:dyDescent="0.35">
      <c r="A149" s="1">
        <v>44969</v>
      </c>
      <c r="B149" s="2" t="s">
        <v>25</v>
      </c>
      <c r="C149" s="2" t="s">
        <v>16</v>
      </c>
      <c r="D149" s="2" t="s">
        <v>17</v>
      </c>
      <c r="E149" s="2" t="s">
        <v>22</v>
      </c>
      <c r="F149">
        <v>337</v>
      </c>
      <c r="G149">
        <v>190</v>
      </c>
      <c r="H149">
        <v>64030</v>
      </c>
      <c r="I149">
        <v>13362.7696</v>
      </c>
      <c r="J149" s="2" t="s">
        <v>37</v>
      </c>
    </row>
    <row r="150" spans="1:10" x14ac:dyDescent="0.35">
      <c r="A150" s="1">
        <v>44969</v>
      </c>
      <c r="B150" s="2" t="s">
        <v>34</v>
      </c>
      <c r="C150" s="2" t="s">
        <v>11</v>
      </c>
      <c r="D150" s="2" t="s">
        <v>30</v>
      </c>
      <c r="E150" s="2" t="s">
        <v>18</v>
      </c>
      <c r="F150">
        <v>445</v>
      </c>
      <c r="G150">
        <v>489</v>
      </c>
      <c r="H150">
        <v>217605</v>
      </c>
      <c r="I150">
        <v>33254.005799999999</v>
      </c>
      <c r="J150" s="2" t="s">
        <v>37</v>
      </c>
    </row>
    <row r="151" spans="1:10" x14ac:dyDescent="0.35">
      <c r="A151" s="1">
        <v>44969</v>
      </c>
      <c r="B151" s="2" t="s">
        <v>25</v>
      </c>
      <c r="C151" s="2" t="s">
        <v>23</v>
      </c>
      <c r="D151" s="2" t="s">
        <v>17</v>
      </c>
      <c r="E151" s="2" t="s">
        <v>22</v>
      </c>
      <c r="F151">
        <v>995</v>
      </c>
      <c r="G151">
        <v>330</v>
      </c>
      <c r="H151">
        <v>328350</v>
      </c>
      <c r="I151">
        <v>54872.070599999999</v>
      </c>
      <c r="J151" s="2" t="s">
        <v>37</v>
      </c>
    </row>
    <row r="152" spans="1:10" x14ac:dyDescent="0.35">
      <c r="A152" s="1">
        <v>44969</v>
      </c>
      <c r="B152" s="2" t="s">
        <v>19</v>
      </c>
      <c r="C152" s="2" t="s">
        <v>23</v>
      </c>
      <c r="D152" s="2" t="s">
        <v>17</v>
      </c>
      <c r="E152" s="2" t="s">
        <v>33</v>
      </c>
      <c r="F152">
        <v>835</v>
      </c>
      <c r="G152">
        <v>395</v>
      </c>
      <c r="H152">
        <v>329825</v>
      </c>
      <c r="I152">
        <v>47829.714200000002</v>
      </c>
      <c r="J152" s="2" t="s">
        <v>37</v>
      </c>
    </row>
    <row r="153" spans="1:10" x14ac:dyDescent="0.35">
      <c r="A153" s="1">
        <v>44969</v>
      </c>
      <c r="B153" s="2" t="s">
        <v>34</v>
      </c>
      <c r="C153" s="2" t="s">
        <v>11</v>
      </c>
      <c r="D153" s="2" t="s">
        <v>21</v>
      </c>
      <c r="E153" s="2" t="s">
        <v>32</v>
      </c>
      <c r="F153">
        <v>992</v>
      </c>
      <c r="G153">
        <v>160</v>
      </c>
      <c r="H153">
        <v>158720</v>
      </c>
      <c r="I153">
        <v>18011.5455</v>
      </c>
      <c r="J153" s="2" t="s">
        <v>37</v>
      </c>
    </row>
    <row r="154" spans="1:10" x14ac:dyDescent="0.35">
      <c r="A154" s="1">
        <v>44971</v>
      </c>
      <c r="B154" s="2" t="s">
        <v>25</v>
      </c>
      <c r="C154" s="2" t="s">
        <v>16</v>
      </c>
      <c r="D154" s="2" t="s">
        <v>30</v>
      </c>
      <c r="E154" s="2" t="s">
        <v>35</v>
      </c>
      <c r="F154">
        <v>164</v>
      </c>
      <c r="G154">
        <v>457</v>
      </c>
      <c r="H154">
        <v>74948</v>
      </c>
      <c r="I154">
        <v>13670.658299999999</v>
      </c>
      <c r="J154" s="2" t="s">
        <v>37</v>
      </c>
    </row>
    <row r="155" spans="1:10" x14ac:dyDescent="0.35">
      <c r="A155" s="1">
        <v>44972</v>
      </c>
      <c r="B155" s="2" t="s">
        <v>19</v>
      </c>
      <c r="C155" s="2" t="s">
        <v>29</v>
      </c>
      <c r="D155" s="2" t="s">
        <v>12</v>
      </c>
      <c r="E155" s="2" t="s">
        <v>33</v>
      </c>
      <c r="F155">
        <v>280</v>
      </c>
      <c r="G155">
        <v>294</v>
      </c>
      <c r="H155">
        <v>82320</v>
      </c>
      <c r="I155">
        <v>18654.904399999999</v>
      </c>
      <c r="J155" s="2" t="s">
        <v>37</v>
      </c>
    </row>
    <row r="156" spans="1:10" x14ac:dyDescent="0.35">
      <c r="A156" s="1">
        <v>44973</v>
      </c>
      <c r="B156" s="2" t="s">
        <v>25</v>
      </c>
      <c r="C156" s="2" t="s">
        <v>23</v>
      </c>
      <c r="D156" s="2" t="s">
        <v>30</v>
      </c>
      <c r="E156" s="2" t="s">
        <v>13</v>
      </c>
      <c r="F156">
        <v>169</v>
      </c>
      <c r="G156">
        <v>203</v>
      </c>
      <c r="H156">
        <v>34307</v>
      </c>
      <c r="I156">
        <v>4429.9632000000001</v>
      </c>
      <c r="J156" s="2" t="s">
        <v>37</v>
      </c>
    </row>
    <row r="157" spans="1:10" x14ac:dyDescent="0.35">
      <c r="A157" s="1">
        <v>44973</v>
      </c>
      <c r="B157" s="2" t="s">
        <v>10</v>
      </c>
      <c r="C157" s="2" t="s">
        <v>11</v>
      </c>
      <c r="D157" s="2" t="s">
        <v>30</v>
      </c>
      <c r="E157" s="2" t="s">
        <v>28</v>
      </c>
      <c r="F157">
        <v>281</v>
      </c>
      <c r="G157">
        <v>272</v>
      </c>
      <c r="H157">
        <v>76432</v>
      </c>
      <c r="I157">
        <v>14458.0869</v>
      </c>
      <c r="J157" s="2" t="s">
        <v>37</v>
      </c>
    </row>
    <row r="158" spans="1:10" x14ac:dyDescent="0.35">
      <c r="A158" s="1">
        <v>44973</v>
      </c>
      <c r="B158" s="2" t="s">
        <v>19</v>
      </c>
      <c r="C158" s="2" t="s">
        <v>27</v>
      </c>
      <c r="D158" s="2" t="s">
        <v>12</v>
      </c>
      <c r="E158" s="2" t="s">
        <v>22</v>
      </c>
      <c r="F158">
        <v>665</v>
      </c>
      <c r="G158">
        <v>481</v>
      </c>
      <c r="H158">
        <v>319865</v>
      </c>
      <c r="I158">
        <v>72444.706900000005</v>
      </c>
      <c r="J158" s="2" t="s">
        <v>37</v>
      </c>
    </row>
    <row r="159" spans="1:10" x14ac:dyDescent="0.35">
      <c r="A159" s="1">
        <v>44973</v>
      </c>
      <c r="B159" s="2" t="s">
        <v>10</v>
      </c>
      <c r="C159" s="2" t="s">
        <v>23</v>
      </c>
      <c r="D159" s="2" t="s">
        <v>17</v>
      </c>
      <c r="E159" s="2" t="s">
        <v>18</v>
      </c>
      <c r="F159">
        <v>815</v>
      </c>
      <c r="G159">
        <v>481</v>
      </c>
      <c r="H159">
        <v>392015</v>
      </c>
      <c r="I159">
        <v>71514.091899999999</v>
      </c>
      <c r="J159" s="2" t="s">
        <v>37</v>
      </c>
    </row>
    <row r="160" spans="1:10" x14ac:dyDescent="0.35">
      <c r="A160" s="1">
        <v>44973</v>
      </c>
      <c r="B160" s="2" t="s">
        <v>19</v>
      </c>
      <c r="C160" s="2" t="s">
        <v>11</v>
      </c>
      <c r="D160" s="2" t="s">
        <v>17</v>
      </c>
      <c r="E160" s="2" t="s">
        <v>24</v>
      </c>
      <c r="F160">
        <v>79</v>
      </c>
      <c r="G160">
        <v>445</v>
      </c>
      <c r="H160">
        <v>35155</v>
      </c>
      <c r="I160">
        <v>3970.4301</v>
      </c>
      <c r="J160" s="2" t="s">
        <v>37</v>
      </c>
    </row>
    <row r="161" spans="1:10" x14ac:dyDescent="0.35">
      <c r="A161" s="1">
        <v>44974</v>
      </c>
      <c r="B161" s="2" t="s">
        <v>26</v>
      </c>
      <c r="C161" s="2" t="s">
        <v>20</v>
      </c>
      <c r="D161" s="2" t="s">
        <v>17</v>
      </c>
      <c r="E161" s="2" t="s">
        <v>13</v>
      </c>
      <c r="F161">
        <v>712</v>
      </c>
      <c r="G161">
        <v>176</v>
      </c>
      <c r="H161">
        <v>125312</v>
      </c>
      <c r="I161">
        <v>14269.3087</v>
      </c>
      <c r="J161" s="2" t="s">
        <v>37</v>
      </c>
    </row>
    <row r="162" spans="1:10" x14ac:dyDescent="0.35">
      <c r="A162" s="1">
        <v>44975</v>
      </c>
      <c r="B162" s="2" t="s">
        <v>36</v>
      </c>
      <c r="C162" s="2" t="s">
        <v>23</v>
      </c>
      <c r="D162" s="2" t="s">
        <v>30</v>
      </c>
      <c r="E162" s="2" t="s">
        <v>18</v>
      </c>
      <c r="F162">
        <v>697</v>
      </c>
      <c r="G162">
        <v>474</v>
      </c>
      <c r="H162">
        <v>330378</v>
      </c>
      <c r="I162">
        <v>43162.651100000003</v>
      </c>
      <c r="J162" s="2" t="s">
        <v>37</v>
      </c>
    </row>
    <row r="163" spans="1:10" x14ac:dyDescent="0.35">
      <c r="A163" s="1">
        <v>44975</v>
      </c>
      <c r="B163" s="2" t="s">
        <v>26</v>
      </c>
      <c r="C163" s="2" t="s">
        <v>27</v>
      </c>
      <c r="D163" s="2" t="s">
        <v>30</v>
      </c>
      <c r="E163" s="2" t="s">
        <v>28</v>
      </c>
      <c r="F163">
        <v>366</v>
      </c>
      <c r="G163">
        <v>338</v>
      </c>
      <c r="H163">
        <v>123708</v>
      </c>
      <c r="I163">
        <v>29930.0926</v>
      </c>
      <c r="J163" s="2" t="s">
        <v>37</v>
      </c>
    </row>
    <row r="164" spans="1:10" x14ac:dyDescent="0.35">
      <c r="A164" s="1">
        <v>44975</v>
      </c>
      <c r="B164" s="2" t="s">
        <v>31</v>
      </c>
      <c r="C164" s="2" t="s">
        <v>11</v>
      </c>
      <c r="D164" s="2" t="s">
        <v>30</v>
      </c>
      <c r="E164" s="2" t="s">
        <v>18</v>
      </c>
      <c r="F164">
        <v>456</v>
      </c>
      <c r="G164">
        <v>360</v>
      </c>
      <c r="H164">
        <v>164160</v>
      </c>
      <c r="I164">
        <v>13182.005499999999</v>
      </c>
      <c r="J164" s="2" t="s">
        <v>37</v>
      </c>
    </row>
    <row r="165" spans="1:10" x14ac:dyDescent="0.35">
      <c r="A165" s="1">
        <v>44975</v>
      </c>
      <c r="B165" s="2" t="s">
        <v>25</v>
      </c>
      <c r="C165" s="2" t="s">
        <v>23</v>
      </c>
      <c r="D165" s="2" t="s">
        <v>12</v>
      </c>
      <c r="E165" s="2" t="s">
        <v>33</v>
      </c>
      <c r="F165">
        <v>824</v>
      </c>
      <c r="G165">
        <v>366</v>
      </c>
      <c r="H165">
        <v>301584</v>
      </c>
      <c r="I165">
        <v>73109.989700000006</v>
      </c>
      <c r="J165" s="2" t="s">
        <v>37</v>
      </c>
    </row>
    <row r="166" spans="1:10" x14ac:dyDescent="0.35">
      <c r="A166" s="1">
        <v>44976</v>
      </c>
      <c r="B166" s="2" t="s">
        <v>19</v>
      </c>
      <c r="C166" s="2" t="s">
        <v>16</v>
      </c>
      <c r="D166" s="2" t="s">
        <v>30</v>
      </c>
      <c r="E166" s="2" t="s">
        <v>18</v>
      </c>
      <c r="F166">
        <v>256</v>
      </c>
      <c r="G166">
        <v>177</v>
      </c>
      <c r="H166">
        <v>45312</v>
      </c>
      <c r="I166">
        <v>6344.7583000000004</v>
      </c>
      <c r="J166" s="2" t="s">
        <v>37</v>
      </c>
    </row>
    <row r="167" spans="1:10" x14ac:dyDescent="0.35">
      <c r="A167" s="1">
        <v>44976</v>
      </c>
      <c r="B167" s="2" t="s">
        <v>34</v>
      </c>
      <c r="C167" s="2" t="s">
        <v>11</v>
      </c>
      <c r="D167" s="2" t="s">
        <v>17</v>
      </c>
      <c r="E167" s="2" t="s">
        <v>13</v>
      </c>
      <c r="F167">
        <v>180</v>
      </c>
      <c r="G167">
        <v>299</v>
      </c>
      <c r="H167">
        <v>53820</v>
      </c>
      <c r="I167">
        <v>10481.9467</v>
      </c>
      <c r="J167" s="2" t="s">
        <v>37</v>
      </c>
    </row>
    <row r="168" spans="1:10" x14ac:dyDescent="0.35">
      <c r="A168" s="1">
        <v>44976</v>
      </c>
      <c r="B168" s="2" t="s">
        <v>26</v>
      </c>
      <c r="C168" s="2" t="s">
        <v>16</v>
      </c>
      <c r="D168" s="2" t="s">
        <v>30</v>
      </c>
      <c r="E168" s="2" t="s">
        <v>32</v>
      </c>
      <c r="F168">
        <v>131</v>
      </c>
      <c r="G168">
        <v>122</v>
      </c>
      <c r="H168">
        <v>15982</v>
      </c>
      <c r="I168">
        <v>3442.5201999999999</v>
      </c>
      <c r="J168" s="2" t="s">
        <v>37</v>
      </c>
    </row>
    <row r="169" spans="1:10" x14ac:dyDescent="0.35">
      <c r="A169" s="1">
        <v>44976</v>
      </c>
      <c r="B169" s="2" t="s">
        <v>36</v>
      </c>
      <c r="C169" s="2" t="s">
        <v>23</v>
      </c>
      <c r="D169" s="2" t="s">
        <v>12</v>
      </c>
      <c r="E169" s="2" t="s">
        <v>32</v>
      </c>
      <c r="F169">
        <v>323</v>
      </c>
      <c r="G169">
        <v>467</v>
      </c>
      <c r="H169">
        <v>150841</v>
      </c>
      <c r="I169">
        <v>16434.398399999998</v>
      </c>
      <c r="J169" s="2" t="s">
        <v>37</v>
      </c>
    </row>
    <row r="170" spans="1:10" x14ac:dyDescent="0.35">
      <c r="A170" s="1">
        <v>44977</v>
      </c>
      <c r="B170" s="2" t="s">
        <v>10</v>
      </c>
      <c r="C170" s="2" t="s">
        <v>29</v>
      </c>
      <c r="D170" s="2" t="s">
        <v>30</v>
      </c>
      <c r="E170" s="2" t="s">
        <v>18</v>
      </c>
      <c r="F170">
        <v>250</v>
      </c>
      <c r="G170">
        <v>426</v>
      </c>
      <c r="H170">
        <v>106500</v>
      </c>
      <c r="I170">
        <v>17477.934799999999</v>
      </c>
      <c r="J170" s="2" t="s">
        <v>37</v>
      </c>
    </row>
    <row r="171" spans="1:10" x14ac:dyDescent="0.35">
      <c r="A171" s="1">
        <v>44977</v>
      </c>
      <c r="B171" s="2" t="s">
        <v>10</v>
      </c>
      <c r="C171" s="2" t="s">
        <v>29</v>
      </c>
      <c r="D171" s="2" t="s">
        <v>12</v>
      </c>
      <c r="E171" s="2" t="s">
        <v>18</v>
      </c>
      <c r="F171">
        <v>67</v>
      </c>
      <c r="G171">
        <v>109</v>
      </c>
      <c r="H171">
        <v>7303</v>
      </c>
      <c r="I171">
        <v>956.62260000000003</v>
      </c>
      <c r="J171" s="2" t="s">
        <v>37</v>
      </c>
    </row>
    <row r="172" spans="1:10" x14ac:dyDescent="0.35">
      <c r="A172" s="1">
        <v>44977</v>
      </c>
      <c r="B172" s="2" t="s">
        <v>31</v>
      </c>
      <c r="C172" s="2" t="s">
        <v>11</v>
      </c>
      <c r="D172" s="2" t="s">
        <v>30</v>
      </c>
      <c r="E172" s="2" t="s">
        <v>32</v>
      </c>
      <c r="F172">
        <v>900</v>
      </c>
      <c r="G172">
        <v>131</v>
      </c>
      <c r="H172">
        <v>117900</v>
      </c>
      <c r="I172">
        <v>17726.770400000001</v>
      </c>
      <c r="J172" s="2" t="s">
        <v>37</v>
      </c>
    </row>
    <row r="173" spans="1:10" x14ac:dyDescent="0.35">
      <c r="A173" s="1">
        <v>44977</v>
      </c>
      <c r="B173" s="2" t="s">
        <v>25</v>
      </c>
      <c r="C173" s="2" t="s">
        <v>16</v>
      </c>
      <c r="D173" s="2" t="s">
        <v>17</v>
      </c>
      <c r="E173" s="2" t="s">
        <v>35</v>
      </c>
      <c r="F173">
        <v>670</v>
      </c>
      <c r="G173">
        <v>222</v>
      </c>
      <c r="H173">
        <v>148740</v>
      </c>
      <c r="I173">
        <v>33310.109600000003</v>
      </c>
      <c r="J173" s="2" t="s">
        <v>37</v>
      </c>
    </row>
    <row r="174" spans="1:10" x14ac:dyDescent="0.35">
      <c r="A174" s="1">
        <v>44978</v>
      </c>
      <c r="B174" s="2" t="s">
        <v>10</v>
      </c>
      <c r="C174" s="2" t="s">
        <v>11</v>
      </c>
      <c r="D174" s="2" t="s">
        <v>21</v>
      </c>
      <c r="E174" s="2" t="s">
        <v>22</v>
      </c>
      <c r="F174">
        <v>634</v>
      </c>
      <c r="G174">
        <v>426</v>
      </c>
      <c r="H174">
        <v>270084</v>
      </c>
      <c r="I174">
        <v>44355.027699999999</v>
      </c>
      <c r="J174" s="2" t="s">
        <v>37</v>
      </c>
    </row>
    <row r="175" spans="1:10" x14ac:dyDescent="0.35">
      <c r="A175" s="1">
        <v>44979</v>
      </c>
      <c r="B175" s="2" t="s">
        <v>25</v>
      </c>
      <c r="C175" s="2" t="s">
        <v>11</v>
      </c>
      <c r="D175" s="2" t="s">
        <v>17</v>
      </c>
      <c r="E175" s="2" t="s">
        <v>32</v>
      </c>
      <c r="F175">
        <v>364</v>
      </c>
      <c r="G175">
        <v>418</v>
      </c>
      <c r="H175">
        <v>152152</v>
      </c>
      <c r="I175">
        <v>12912.1854</v>
      </c>
      <c r="J175" s="2" t="s">
        <v>37</v>
      </c>
    </row>
    <row r="176" spans="1:10" x14ac:dyDescent="0.35">
      <c r="A176" s="1">
        <v>44979</v>
      </c>
      <c r="B176" s="2" t="s">
        <v>36</v>
      </c>
      <c r="C176" s="2" t="s">
        <v>16</v>
      </c>
      <c r="D176" s="2" t="s">
        <v>12</v>
      </c>
      <c r="E176" s="2" t="s">
        <v>28</v>
      </c>
      <c r="F176">
        <v>577</v>
      </c>
      <c r="G176">
        <v>409</v>
      </c>
      <c r="H176">
        <v>235993</v>
      </c>
      <c r="I176">
        <v>40467.978499999997</v>
      </c>
      <c r="J176" s="2" t="s">
        <v>37</v>
      </c>
    </row>
    <row r="177" spans="1:10" x14ac:dyDescent="0.35">
      <c r="A177" s="1">
        <v>44979</v>
      </c>
      <c r="B177" s="2" t="s">
        <v>10</v>
      </c>
      <c r="C177" s="2" t="s">
        <v>11</v>
      </c>
      <c r="D177" s="2" t="s">
        <v>17</v>
      </c>
      <c r="E177" s="2" t="s">
        <v>22</v>
      </c>
      <c r="F177">
        <v>592</v>
      </c>
      <c r="G177">
        <v>324</v>
      </c>
      <c r="H177">
        <v>191808</v>
      </c>
      <c r="I177">
        <v>17051.7804</v>
      </c>
      <c r="J177" s="2" t="s">
        <v>37</v>
      </c>
    </row>
    <row r="178" spans="1:10" x14ac:dyDescent="0.35">
      <c r="A178" s="1">
        <v>44980</v>
      </c>
      <c r="B178" s="2" t="s">
        <v>34</v>
      </c>
      <c r="C178" s="2" t="s">
        <v>11</v>
      </c>
      <c r="D178" s="2" t="s">
        <v>21</v>
      </c>
      <c r="E178" s="2" t="s">
        <v>32</v>
      </c>
      <c r="F178">
        <v>596</v>
      </c>
      <c r="G178">
        <v>249</v>
      </c>
      <c r="H178">
        <v>148404</v>
      </c>
      <c r="I178">
        <v>21362.89</v>
      </c>
      <c r="J178" s="2" t="s">
        <v>37</v>
      </c>
    </row>
    <row r="179" spans="1:10" x14ac:dyDescent="0.35">
      <c r="A179" s="1">
        <v>44980</v>
      </c>
      <c r="B179" s="2" t="s">
        <v>15</v>
      </c>
      <c r="C179" s="2" t="s">
        <v>23</v>
      </c>
      <c r="D179" s="2" t="s">
        <v>30</v>
      </c>
      <c r="E179" s="2" t="s">
        <v>24</v>
      </c>
      <c r="F179">
        <v>352</v>
      </c>
      <c r="G179">
        <v>303</v>
      </c>
      <c r="H179">
        <v>106656</v>
      </c>
      <c r="I179">
        <v>18299.933199999999</v>
      </c>
      <c r="J179" s="2" t="s">
        <v>37</v>
      </c>
    </row>
    <row r="180" spans="1:10" x14ac:dyDescent="0.35">
      <c r="A180" s="1">
        <v>44980</v>
      </c>
      <c r="B180" s="2" t="s">
        <v>26</v>
      </c>
      <c r="C180" s="2" t="s">
        <v>20</v>
      </c>
      <c r="D180" s="2" t="s">
        <v>30</v>
      </c>
      <c r="E180" s="2" t="s">
        <v>33</v>
      </c>
      <c r="F180">
        <v>953</v>
      </c>
      <c r="G180">
        <v>140</v>
      </c>
      <c r="H180">
        <v>133420</v>
      </c>
      <c r="I180">
        <v>21377.7477</v>
      </c>
      <c r="J180" s="2" t="s">
        <v>37</v>
      </c>
    </row>
    <row r="181" spans="1:10" x14ac:dyDescent="0.35">
      <c r="A181" s="1">
        <v>44980</v>
      </c>
      <c r="B181" s="2" t="s">
        <v>19</v>
      </c>
      <c r="C181" s="2" t="s">
        <v>27</v>
      </c>
      <c r="D181" s="2" t="s">
        <v>30</v>
      </c>
      <c r="E181" s="2" t="s">
        <v>28</v>
      </c>
      <c r="F181">
        <v>622</v>
      </c>
      <c r="G181">
        <v>329</v>
      </c>
      <c r="H181">
        <v>204638</v>
      </c>
      <c r="I181">
        <v>16965.697199999999</v>
      </c>
      <c r="J181" s="2" t="s">
        <v>37</v>
      </c>
    </row>
    <row r="182" spans="1:10" x14ac:dyDescent="0.35">
      <c r="A182" s="1">
        <v>44981</v>
      </c>
      <c r="B182" s="2" t="s">
        <v>34</v>
      </c>
      <c r="C182" s="2" t="s">
        <v>23</v>
      </c>
      <c r="D182" s="2" t="s">
        <v>17</v>
      </c>
      <c r="E182" s="2" t="s">
        <v>33</v>
      </c>
      <c r="F182">
        <v>95</v>
      </c>
      <c r="G182">
        <v>107</v>
      </c>
      <c r="H182">
        <v>10165</v>
      </c>
      <c r="I182">
        <v>2522.3199</v>
      </c>
      <c r="J182" s="2" t="s">
        <v>37</v>
      </c>
    </row>
    <row r="183" spans="1:10" x14ac:dyDescent="0.35">
      <c r="A183" s="1">
        <v>44981</v>
      </c>
      <c r="B183" s="2" t="s">
        <v>34</v>
      </c>
      <c r="C183" s="2" t="s">
        <v>27</v>
      </c>
      <c r="D183" s="2" t="s">
        <v>12</v>
      </c>
      <c r="E183" s="2" t="s">
        <v>13</v>
      </c>
      <c r="F183">
        <v>83</v>
      </c>
      <c r="G183">
        <v>198</v>
      </c>
      <c r="H183">
        <v>16434</v>
      </c>
      <c r="I183">
        <v>2703.2278000000001</v>
      </c>
      <c r="J183" s="2" t="s">
        <v>37</v>
      </c>
    </row>
    <row r="184" spans="1:10" x14ac:dyDescent="0.35">
      <c r="A184" s="1">
        <v>44981</v>
      </c>
      <c r="B184" s="2" t="s">
        <v>31</v>
      </c>
      <c r="C184" s="2" t="s">
        <v>27</v>
      </c>
      <c r="D184" s="2" t="s">
        <v>21</v>
      </c>
      <c r="E184" s="2" t="s">
        <v>33</v>
      </c>
      <c r="F184">
        <v>131</v>
      </c>
      <c r="G184">
        <v>118</v>
      </c>
      <c r="H184">
        <v>15458</v>
      </c>
      <c r="I184">
        <v>1590.9974</v>
      </c>
      <c r="J184" s="2" t="s">
        <v>37</v>
      </c>
    </row>
    <row r="185" spans="1:10" x14ac:dyDescent="0.35">
      <c r="A185" s="1">
        <v>44981</v>
      </c>
      <c r="B185" s="2" t="s">
        <v>15</v>
      </c>
      <c r="C185" s="2" t="s">
        <v>23</v>
      </c>
      <c r="D185" s="2" t="s">
        <v>30</v>
      </c>
      <c r="E185" s="2" t="s">
        <v>33</v>
      </c>
      <c r="F185">
        <v>836</v>
      </c>
      <c r="G185">
        <v>410</v>
      </c>
      <c r="H185">
        <v>342760</v>
      </c>
      <c r="I185">
        <v>56878.278400000003</v>
      </c>
      <c r="J185" s="2" t="s">
        <v>37</v>
      </c>
    </row>
    <row r="186" spans="1:10" x14ac:dyDescent="0.35">
      <c r="A186" s="1">
        <v>44981</v>
      </c>
      <c r="B186" s="2" t="s">
        <v>34</v>
      </c>
      <c r="C186" s="2" t="s">
        <v>27</v>
      </c>
      <c r="D186" s="2" t="s">
        <v>12</v>
      </c>
      <c r="E186" s="2" t="s">
        <v>35</v>
      </c>
      <c r="F186">
        <v>346</v>
      </c>
      <c r="G186">
        <v>263</v>
      </c>
      <c r="H186">
        <v>90998</v>
      </c>
      <c r="I186">
        <v>19183.2173</v>
      </c>
      <c r="J186" s="2" t="s">
        <v>37</v>
      </c>
    </row>
    <row r="187" spans="1:10" x14ac:dyDescent="0.35">
      <c r="A187" s="1">
        <v>44982</v>
      </c>
      <c r="B187" s="2" t="s">
        <v>25</v>
      </c>
      <c r="C187" s="2" t="s">
        <v>27</v>
      </c>
      <c r="D187" s="2" t="s">
        <v>21</v>
      </c>
      <c r="E187" s="2" t="s">
        <v>22</v>
      </c>
      <c r="F187">
        <v>350</v>
      </c>
      <c r="G187">
        <v>253</v>
      </c>
      <c r="H187">
        <v>88550</v>
      </c>
      <c r="I187">
        <v>17882.002199999999</v>
      </c>
      <c r="J187" s="2" t="s">
        <v>37</v>
      </c>
    </row>
    <row r="188" spans="1:10" x14ac:dyDescent="0.35">
      <c r="A188" s="1">
        <v>44983</v>
      </c>
      <c r="B188" s="2" t="s">
        <v>25</v>
      </c>
      <c r="C188" s="2" t="s">
        <v>27</v>
      </c>
      <c r="D188" s="2" t="s">
        <v>21</v>
      </c>
      <c r="E188" s="2" t="s">
        <v>33</v>
      </c>
      <c r="F188">
        <v>441</v>
      </c>
      <c r="G188">
        <v>328</v>
      </c>
      <c r="H188">
        <v>144648</v>
      </c>
      <c r="I188">
        <v>27020.372599999999</v>
      </c>
      <c r="J188" s="2" t="s">
        <v>37</v>
      </c>
    </row>
    <row r="189" spans="1:10" x14ac:dyDescent="0.35">
      <c r="A189" s="1">
        <v>44983</v>
      </c>
      <c r="B189" s="2" t="s">
        <v>10</v>
      </c>
      <c r="C189" s="2" t="s">
        <v>27</v>
      </c>
      <c r="D189" s="2" t="s">
        <v>17</v>
      </c>
      <c r="E189" s="2" t="s">
        <v>18</v>
      </c>
      <c r="F189">
        <v>563</v>
      </c>
      <c r="G189">
        <v>101</v>
      </c>
      <c r="H189">
        <v>56863</v>
      </c>
      <c r="I189">
        <v>7942.7921999999999</v>
      </c>
      <c r="J189" s="2" t="s">
        <v>37</v>
      </c>
    </row>
    <row r="190" spans="1:10" x14ac:dyDescent="0.35">
      <c r="A190" s="1">
        <v>44984</v>
      </c>
      <c r="B190" s="2" t="s">
        <v>36</v>
      </c>
      <c r="C190" s="2" t="s">
        <v>23</v>
      </c>
      <c r="D190" s="2" t="s">
        <v>30</v>
      </c>
      <c r="E190" s="2" t="s">
        <v>13</v>
      </c>
      <c r="F190">
        <v>572</v>
      </c>
      <c r="G190">
        <v>362</v>
      </c>
      <c r="H190">
        <v>207064</v>
      </c>
      <c r="I190">
        <v>44776.971899999997</v>
      </c>
      <c r="J190" s="2" t="s">
        <v>37</v>
      </c>
    </row>
    <row r="191" spans="1:10" x14ac:dyDescent="0.35">
      <c r="A191" s="1">
        <v>44984</v>
      </c>
      <c r="B191" s="2" t="s">
        <v>36</v>
      </c>
      <c r="C191" s="2" t="s">
        <v>16</v>
      </c>
      <c r="D191" s="2" t="s">
        <v>12</v>
      </c>
      <c r="E191" s="2" t="s">
        <v>22</v>
      </c>
      <c r="F191">
        <v>139</v>
      </c>
      <c r="G191">
        <v>461</v>
      </c>
      <c r="H191">
        <v>64079</v>
      </c>
      <c r="I191">
        <v>8726.0251000000007</v>
      </c>
      <c r="J191" s="2" t="s">
        <v>37</v>
      </c>
    </row>
    <row r="192" spans="1:10" x14ac:dyDescent="0.35">
      <c r="A192" s="1">
        <v>44984</v>
      </c>
      <c r="B192" s="2" t="s">
        <v>36</v>
      </c>
      <c r="C192" s="2" t="s">
        <v>27</v>
      </c>
      <c r="D192" s="2" t="s">
        <v>17</v>
      </c>
      <c r="E192" s="2" t="s">
        <v>13</v>
      </c>
      <c r="F192">
        <v>826</v>
      </c>
      <c r="G192">
        <v>243</v>
      </c>
      <c r="H192">
        <v>200718</v>
      </c>
      <c r="I192">
        <v>35229.0792</v>
      </c>
      <c r="J192" s="2" t="s">
        <v>37</v>
      </c>
    </row>
    <row r="193" spans="1:10" x14ac:dyDescent="0.35">
      <c r="A193" s="1">
        <v>44985</v>
      </c>
      <c r="B193" s="2" t="s">
        <v>26</v>
      </c>
      <c r="C193" s="2" t="s">
        <v>16</v>
      </c>
      <c r="D193" s="2" t="s">
        <v>12</v>
      </c>
      <c r="E193" s="2" t="s">
        <v>22</v>
      </c>
      <c r="F193">
        <v>86</v>
      </c>
      <c r="G193">
        <v>293</v>
      </c>
      <c r="H193">
        <v>25198</v>
      </c>
      <c r="I193">
        <v>6113.6399000000001</v>
      </c>
      <c r="J193" s="2" t="s">
        <v>37</v>
      </c>
    </row>
    <row r="194" spans="1:10" x14ac:dyDescent="0.35">
      <c r="A194" s="1">
        <v>44985</v>
      </c>
      <c r="B194" s="2" t="s">
        <v>15</v>
      </c>
      <c r="C194" s="2" t="s">
        <v>23</v>
      </c>
      <c r="D194" s="2" t="s">
        <v>21</v>
      </c>
      <c r="E194" s="2" t="s">
        <v>24</v>
      </c>
      <c r="F194">
        <v>442</v>
      </c>
      <c r="G194">
        <v>211</v>
      </c>
      <c r="H194">
        <v>93262</v>
      </c>
      <c r="I194">
        <v>10049.8745</v>
      </c>
      <c r="J194" s="2" t="s">
        <v>37</v>
      </c>
    </row>
    <row r="195" spans="1:10" x14ac:dyDescent="0.35">
      <c r="A195" s="1">
        <v>44986</v>
      </c>
      <c r="B195" s="2" t="s">
        <v>34</v>
      </c>
      <c r="C195" s="2" t="s">
        <v>20</v>
      </c>
      <c r="D195" s="2" t="s">
        <v>21</v>
      </c>
      <c r="E195" s="2" t="s">
        <v>32</v>
      </c>
      <c r="F195">
        <v>574</v>
      </c>
      <c r="G195">
        <v>308</v>
      </c>
      <c r="H195">
        <v>176792</v>
      </c>
      <c r="I195">
        <v>35984.0694</v>
      </c>
      <c r="J195" s="2" t="s">
        <v>38</v>
      </c>
    </row>
    <row r="196" spans="1:10" x14ac:dyDescent="0.35">
      <c r="A196" s="1">
        <v>44987</v>
      </c>
      <c r="B196" s="2" t="s">
        <v>36</v>
      </c>
      <c r="C196" s="2" t="s">
        <v>23</v>
      </c>
      <c r="D196" s="2" t="s">
        <v>17</v>
      </c>
      <c r="E196" s="2" t="s">
        <v>32</v>
      </c>
      <c r="F196">
        <v>391</v>
      </c>
      <c r="G196">
        <v>424</v>
      </c>
      <c r="H196">
        <v>165784</v>
      </c>
      <c r="I196">
        <v>35727.160300000003</v>
      </c>
      <c r="J196" s="2" t="s">
        <v>38</v>
      </c>
    </row>
    <row r="197" spans="1:10" x14ac:dyDescent="0.35">
      <c r="A197" s="1">
        <v>44987</v>
      </c>
      <c r="B197" s="2" t="s">
        <v>10</v>
      </c>
      <c r="C197" s="2" t="s">
        <v>20</v>
      </c>
      <c r="D197" s="2" t="s">
        <v>21</v>
      </c>
      <c r="E197" s="2" t="s">
        <v>28</v>
      </c>
      <c r="F197">
        <v>138</v>
      </c>
      <c r="G197">
        <v>257</v>
      </c>
      <c r="H197">
        <v>35466</v>
      </c>
      <c r="I197">
        <v>3079.1158999999998</v>
      </c>
      <c r="J197" s="2" t="s">
        <v>38</v>
      </c>
    </row>
    <row r="198" spans="1:10" x14ac:dyDescent="0.35">
      <c r="A198" s="1">
        <v>44987</v>
      </c>
      <c r="B198" s="2" t="s">
        <v>15</v>
      </c>
      <c r="C198" s="2" t="s">
        <v>29</v>
      </c>
      <c r="D198" s="2" t="s">
        <v>17</v>
      </c>
      <c r="E198" s="2" t="s">
        <v>33</v>
      </c>
      <c r="F198">
        <v>198</v>
      </c>
      <c r="G198">
        <v>340</v>
      </c>
      <c r="H198">
        <v>67320</v>
      </c>
      <c r="I198">
        <v>15474.4825</v>
      </c>
      <c r="J198" s="2" t="s">
        <v>38</v>
      </c>
    </row>
    <row r="199" spans="1:10" x14ac:dyDescent="0.35">
      <c r="A199" s="1">
        <v>44987</v>
      </c>
      <c r="B199" s="2" t="s">
        <v>31</v>
      </c>
      <c r="C199" s="2" t="s">
        <v>20</v>
      </c>
      <c r="D199" s="2" t="s">
        <v>21</v>
      </c>
      <c r="E199" s="2" t="s">
        <v>33</v>
      </c>
      <c r="F199">
        <v>277</v>
      </c>
      <c r="G199">
        <v>170</v>
      </c>
      <c r="H199">
        <v>47090</v>
      </c>
      <c r="I199">
        <v>9136.3209999999999</v>
      </c>
      <c r="J199" s="2" t="s">
        <v>38</v>
      </c>
    </row>
    <row r="200" spans="1:10" x14ac:dyDescent="0.35">
      <c r="A200" s="1">
        <v>44987</v>
      </c>
      <c r="B200" s="2" t="s">
        <v>26</v>
      </c>
      <c r="C200" s="2" t="s">
        <v>11</v>
      </c>
      <c r="D200" s="2" t="s">
        <v>30</v>
      </c>
      <c r="E200" s="2" t="s">
        <v>22</v>
      </c>
      <c r="F200">
        <v>381</v>
      </c>
      <c r="G200">
        <v>354</v>
      </c>
      <c r="H200">
        <v>134874</v>
      </c>
      <c r="I200">
        <v>32040.502899999999</v>
      </c>
      <c r="J200" s="2" t="s">
        <v>38</v>
      </c>
    </row>
    <row r="201" spans="1:10" x14ac:dyDescent="0.35">
      <c r="A201" s="1">
        <v>44988</v>
      </c>
      <c r="B201" s="2" t="s">
        <v>34</v>
      </c>
      <c r="C201" s="2" t="s">
        <v>27</v>
      </c>
      <c r="D201" s="2" t="s">
        <v>17</v>
      </c>
      <c r="E201" s="2" t="s">
        <v>18</v>
      </c>
      <c r="F201">
        <v>740</v>
      </c>
      <c r="G201">
        <v>143</v>
      </c>
      <c r="H201">
        <v>105820</v>
      </c>
      <c r="I201">
        <v>14718.072899999999</v>
      </c>
      <c r="J201" s="2" t="s">
        <v>38</v>
      </c>
    </row>
    <row r="202" spans="1:10" x14ac:dyDescent="0.35">
      <c r="A202" s="1">
        <v>44988</v>
      </c>
      <c r="B202" s="2" t="s">
        <v>26</v>
      </c>
      <c r="C202" s="2" t="s">
        <v>29</v>
      </c>
      <c r="D202" s="2" t="s">
        <v>12</v>
      </c>
      <c r="E202" s="2" t="s">
        <v>13</v>
      </c>
      <c r="F202">
        <v>299</v>
      </c>
      <c r="G202">
        <v>283</v>
      </c>
      <c r="H202">
        <v>84617</v>
      </c>
      <c r="I202">
        <v>20965.257000000001</v>
      </c>
      <c r="J202" s="2" t="s">
        <v>38</v>
      </c>
    </row>
    <row r="203" spans="1:10" x14ac:dyDescent="0.35">
      <c r="A203" s="1">
        <v>44989</v>
      </c>
      <c r="B203" s="2" t="s">
        <v>10</v>
      </c>
      <c r="C203" s="2" t="s">
        <v>29</v>
      </c>
      <c r="D203" s="2" t="s">
        <v>30</v>
      </c>
      <c r="E203" s="2" t="s">
        <v>32</v>
      </c>
      <c r="F203">
        <v>161</v>
      </c>
      <c r="G203">
        <v>176</v>
      </c>
      <c r="H203">
        <v>28336</v>
      </c>
      <c r="I203">
        <v>5143.1728000000003</v>
      </c>
      <c r="J203" s="2" t="s">
        <v>38</v>
      </c>
    </row>
    <row r="204" spans="1:10" x14ac:dyDescent="0.35">
      <c r="A204" s="1">
        <v>44989</v>
      </c>
      <c r="B204" s="2" t="s">
        <v>31</v>
      </c>
      <c r="C204" s="2" t="s">
        <v>16</v>
      </c>
      <c r="D204" s="2" t="s">
        <v>21</v>
      </c>
      <c r="E204" s="2" t="s">
        <v>13</v>
      </c>
      <c r="F204">
        <v>759</v>
      </c>
      <c r="G204">
        <v>131</v>
      </c>
      <c r="H204">
        <v>99429</v>
      </c>
      <c r="I204">
        <v>22955.8269</v>
      </c>
      <c r="J204" s="2" t="s">
        <v>38</v>
      </c>
    </row>
    <row r="205" spans="1:10" x14ac:dyDescent="0.35">
      <c r="A205" s="1">
        <v>44989</v>
      </c>
      <c r="B205" s="2" t="s">
        <v>26</v>
      </c>
      <c r="C205" s="2" t="s">
        <v>27</v>
      </c>
      <c r="D205" s="2" t="s">
        <v>30</v>
      </c>
      <c r="E205" s="2" t="s">
        <v>24</v>
      </c>
      <c r="F205">
        <v>128</v>
      </c>
      <c r="G205">
        <v>467</v>
      </c>
      <c r="H205">
        <v>59776</v>
      </c>
      <c r="I205">
        <v>10804.6836</v>
      </c>
      <c r="J205" s="2" t="s">
        <v>38</v>
      </c>
    </row>
    <row r="206" spans="1:10" x14ac:dyDescent="0.35">
      <c r="A206" s="1">
        <v>44990</v>
      </c>
      <c r="B206" s="2" t="s">
        <v>19</v>
      </c>
      <c r="C206" s="2" t="s">
        <v>27</v>
      </c>
      <c r="D206" s="2" t="s">
        <v>30</v>
      </c>
      <c r="E206" s="2" t="s">
        <v>33</v>
      </c>
      <c r="F206">
        <v>539</v>
      </c>
      <c r="G206">
        <v>341</v>
      </c>
      <c r="H206">
        <v>183799</v>
      </c>
      <c r="I206">
        <v>36884.793799999999</v>
      </c>
      <c r="J206" s="2" t="s">
        <v>38</v>
      </c>
    </row>
    <row r="207" spans="1:10" x14ac:dyDescent="0.35">
      <c r="A207" s="1">
        <v>44991</v>
      </c>
      <c r="B207" s="2" t="s">
        <v>36</v>
      </c>
      <c r="C207" s="2" t="s">
        <v>29</v>
      </c>
      <c r="D207" s="2" t="s">
        <v>12</v>
      </c>
      <c r="E207" s="2" t="s">
        <v>35</v>
      </c>
      <c r="F207">
        <v>743</v>
      </c>
      <c r="G207">
        <v>464</v>
      </c>
      <c r="H207">
        <v>344752</v>
      </c>
      <c r="I207">
        <v>63384.778200000001</v>
      </c>
      <c r="J207" s="2" t="s">
        <v>38</v>
      </c>
    </row>
    <row r="208" spans="1:10" x14ac:dyDescent="0.35">
      <c r="A208" s="1">
        <v>44991</v>
      </c>
      <c r="B208" s="2" t="s">
        <v>19</v>
      </c>
      <c r="C208" s="2" t="s">
        <v>29</v>
      </c>
      <c r="D208" s="2" t="s">
        <v>12</v>
      </c>
      <c r="E208" s="2" t="s">
        <v>13</v>
      </c>
      <c r="F208">
        <v>285</v>
      </c>
      <c r="G208">
        <v>391</v>
      </c>
      <c r="H208">
        <v>111435</v>
      </c>
      <c r="I208">
        <v>25994.060700000002</v>
      </c>
      <c r="J208" s="2" t="s">
        <v>38</v>
      </c>
    </row>
    <row r="209" spans="1:10" x14ac:dyDescent="0.35">
      <c r="A209" s="1">
        <v>44991</v>
      </c>
      <c r="B209" s="2" t="s">
        <v>34</v>
      </c>
      <c r="C209" s="2" t="s">
        <v>11</v>
      </c>
      <c r="D209" s="2" t="s">
        <v>21</v>
      </c>
      <c r="E209" s="2" t="s">
        <v>22</v>
      </c>
      <c r="F209">
        <v>448</v>
      </c>
      <c r="G209">
        <v>158</v>
      </c>
      <c r="H209">
        <v>70784</v>
      </c>
      <c r="I209">
        <v>6882.1183000000001</v>
      </c>
      <c r="J209" s="2" t="s">
        <v>38</v>
      </c>
    </row>
    <row r="210" spans="1:10" x14ac:dyDescent="0.35">
      <c r="A210" s="1">
        <v>44992</v>
      </c>
      <c r="B210" s="2" t="s">
        <v>25</v>
      </c>
      <c r="C210" s="2" t="s">
        <v>20</v>
      </c>
      <c r="D210" s="2" t="s">
        <v>30</v>
      </c>
      <c r="E210" s="2" t="s">
        <v>22</v>
      </c>
      <c r="F210">
        <v>165</v>
      </c>
      <c r="G210">
        <v>284</v>
      </c>
      <c r="H210">
        <v>46860</v>
      </c>
      <c r="I210">
        <v>10943.4935</v>
      </c>
      <c r="J210" s="2" t="s">
        <v>38</v>
      </c>
    </row>
    <row r="211" spans="1:10" x14ac:dyDescent="0.35">
      <c r="A211" s="1">
        <v>44992</v>
      </c>
      <c r="B211" s="2" t="s">
        <v>25</v>
      </c>
      <c r="C211" s="2" t="s">
        <v>20</v>
      </c>
      <c r="D211" s="2" t="s">
        <v>21</v>
      </c>
      <c r="E211" s="2" t="s">
        <v>28</v>
      </c>
      <c r="F211">
        <v>663</v>
      </c>
      <c r="G211">
        <v>146</v>
      </c>
      <c r="H211">
        <v>96798</v>
      </c>
      <c r="I211">
        <v>21620.9421</v>
      </c>
      <c r="J211" s="2" t="s">
        <v>38</v>
      </c>
    </row>
    <row r="212" spans="1:10" x14ac:dyDescent="0.35">
      <c r="A212" s="1">
        <v>44993</v>
      </c>
      <c r="B212" s="2" t="s">
        <v>26</v>
      </c>
      <c r="C212" s="2" t="s">
        <v>20</v>
      </c>
      <c r="D212" s="2" t="s">
        <v>21</v>
      </c>
      <c r="E212" s="2" t="s">
        <v>28</v>
      </c>
      <c r="F212">
        <v>354</v>
      </c>
      <c r="G212">
        <v>308</v>
      </c>
      <c r="H212">
        <v>109032</v>
      </c>
      <c r="I212">
        <v>13712.9154</v>
      </c>
      <c r="J212" s="2" t="s">
        <v>38</v>
      </c>
    </row>
    <row r="213" spans="1:10" x14ac:dyDescent="0.35">
      <c r="A213" s="1">
        <v>44993</v>
      </c>
      <c r="B213" s="2" t="s">
        <v>34</v>
      </c>
      <c r="C213" s="2" t="s">
        <v>20</v>
      </c>
      <c r="D213" s="2" t="s">
        <v>21</v>
      </c>
      <c r="E213" s="2" t="s">
        <v>22</v>
      </c>
      <c r="F213">
        <v>861</v>
      </c>
      <c r="G213">
        <v>244</v>
      </c>
      <c r="H213">
        <v>210084</v>
      </c>
      <c r="I213">
        <v>34746.070899999999</v>
      </c>
      <c r="J213" s="2" t="s">
        <v>38</v>
      </c>
    </row>
    <row r="214" spans="1:10" x14ac:dyDescent="0.35">
      <c r="A214" s="1">
        <v>44994</v>
      </c>
      <c r="B214" s="2" t="s">
        <v>15</v>
      </c>
      <c r="C214" s="2" t="s">
        <v>29</v>
      </c>
      <c r="D214" s="2" t="s">
        <v>30</v>
      </c>
      <c r="E214" s="2" t="s">
        <v>18</v>
      </c>
      <c r="F214">
        <v>439</v>
      </c>
      <c r="G214">
        <v>249</v>
      </c>
      <c r="H214">
        <v>109311</v>
      </c>
      <c r="I214">
        <v>24692.297399999999</v>
      </c>
      <c r="J214" s="2" t="s">
        <v>38</v>
      </c>
    </row>
    <row r="215" spans="1:10" x14ac:dyDescent="0.35">
      <c r="A215" s="1">
        <v>44994</v>
      </c>
      <c r="B215" s="2" t="s">
        <v>31</v>
      </c>
      <c r="C215" s="2" t="s">
        <v>27</v>
      </c>
      <c r="D215" s="2" t="s">
        <v>12</v>
      </c>
      <c r="E215" s="2" t="s">
        <v>28</v>
      </c>
      <c r="F215">
        <v>807</v>
      </c>
      <c r="G215">
        <v>434</v>
      </c>
      <c r="H215">
        <v>350238</v>
      </c>
      <c r="I215">
        <v>36435.627699999997</v>
      </c>
      <c r="J215" s="2" t="s">
        <v>38</v>
      </c>
    </row>
    <row r="216" spans="1:10" x14ac:dyDescent="0.35">
      <c r="A216" s="1">
        <v>44995</v>
      </c>
      <c r="B216" s="2" t="s">
        <v>19</v>
      </c>
      <c r="C216" s="2" t="s">
        <v>11</v>
      </c>
      <c r="D216" s="2" t="s">
        <v>21</v>
      </c>
      <c r="E216" s="2" t="s">
        <v>28</v>
      </c>
      <c r="F216">
        <v>676</v>
      </c>
      <c r="G216">
        <v>295</v>
      </c>
      <c r="H216">
        <v>199420</v>
      </c>
      <c r="I216">
        <v>31548.914199999999</v>
      </c>
      <c r="J216" s="2" t="s">
        <v>38</v>
      </c>
    </row>
    <row r="217" spans="1:10" x14ac:dyDescent="0.35">
      <c r="A217" s="1">
        <v>44995</v>
      </c>
      <c r="B217" s="2" t="s">
        <v>34</v>
      </c>
      <c r="C217" s="2" t="s">
        <v>20</v>
      </c>
      <c r="D217" s="2" t="s">
        <v>21</v>
      </c>
      <c r="E217" s="2" t="s">
        <v>18</v>
      </c>
      <c r="F217">
        <v>410</v>
      </c>
      <c r="G217">
        <v>464</v>
      </c>
      <c r="H217">
        <v>190240</v>
      </c>
      <c r="I217">
        <v>43122.8433</v>
      </c>
      <c r="J217" s="2" t="s">
        <v>38</v>
      </c>
    </row>
    <row r="218" spans="1:10" x14ac:dyDescent="0.35">
      <c r="A218" s="1">
        <v>44995</v>
      </c>
      <c r="B218" s="2" t="s">
        <v>36</v>
      </c>
      <c r="C218" s="2" t="s">
        <v>29</v>
      </c>
      <c r="D218" s="2" t="s">
        <v>30</v>
      </c>
      <c r="E218" s="2" t="s">
        <v>33</v>
      </c>
      <c r="F218">
        <v>882</v>
      </c>
      <c r="G218">
        <v>392</v>
      </c>
      <c r="H218">
        <v>345744</v>
      </c>
      <c r="I218">
        <v>29461.5769</v>
      </c>
      <c r="J218" s="2" t="s">
        <v>38</v>
      </c>
    </row>
    <row r="219" spans="1:10" x14ac:dyDescent="0.35">
      <c r="A219" s="1">
        <v>44995</v>
      </c>
      <c r="B219" s="2" t="s">
        <v>31</v>
      </c>
      <c r="C219" s="2" t="s">
        <v>20</v>
      </c>
      <c r="D219" s="2" t="s">
        <v>17</v>
      </c>
      <c r="E219" s="2" t="s">
        <v>24</v>
      </c>
      <c r="F219">
        <v>944</v>
      </c>
      <c r="G219">
        <v>393</v>
      </c>
      <c r="H219">
        <v>370992</v>
      </c>
      <c r="I219">
        <v>92581.888699999996</v>
      </c>
      <c r="J219" s="2" t="s">
        <v>38</v>
      </c>
    </row>
    <row r="220" spans="1:10" x14ac:dyDescent="0.35">
      <c r="A220" s="1">
        <v>44995</v>
      </c>
      <c r="B220" s="2" t="s">
        <v>15</v>
      </c>
      <c r="C220" s="2" t="s">
        <v>27</v>
      </c>
      <c r="D220" s="2" t="s">
        <v>17</v>
      </c>
      <c r="E220" s="2" t="s">
        <v>32</v>
      </c>
      <c r="F220">
        <v>357</v>
      </c>
      <c r="G220">
        <v>245</v>
      </c>
      <c r="H220">
        <v>87465</v>
      </c>
      <c r="I220">
        <v>10070.052799999999</v>
      </c>
      <c r="J220" s="2" t="s">
        <v>38</v>
      </c>
    </row>
    <row r="221" spans="1:10" x14ac:dyDescent="0.35">
      <c r="A221" s="1">
        <v>44997</v>
      </c>
      <c r="B221" s="2" t="s">
        <v>19</v>
      </c>
      <c r="C221" s="2" t="s">
        <v>11</v>
      </c>
      <c r="D221" s="2" t="s">
        <v>12</v>
      </c>
      <c r="E221" s="2" t="s">
        <v>33</v>
      </c>
      <c r="F221">
        <v>543</v>
      </c>
      <c r="G221">
        <v>221</v>
      </c>
      <c r="H221">
        <v>120003</v>
      </c>
      <c r="I221">
        <v>16063.2263</v>
      </c>
      <c r="J221" s="2" t="s">
        <v>38</v>
      </c>
    </row>
    <row r="222" spans="1:10" x14ac:dyDescent="0.35">
      <c r="A222" s="1">
        <v>44998</v>
      </c>
      <c r="B222" s="2" t="s">
        <v>10</v>
      </c>
      <c r="C222" s="2" t="s">
        <v>29</v>
      </c>
      <c r="D222" s="2" t="s">
        <v>12</v>
      </c>
      <c r="E222" s="2" t="s">
        <v>13</v>
      </c>
      <c r="F222">
        <v>636</v>
      </c>
      <c r="G222">
        <v>386</v>
      </c>
      <c r="H222">
        <v>245496</v>
      </c>
      <c r="I222">
        <v>60768.947999999997</v>
      </c>
      <c r="J222" s="2" t="s">
        <v>38</v>
      </c>
    </row>
    <row r="223" spans="1:10" x14ac:dyDescent="0.35">
      <c r="A223" s="1">
        <v>44999</v>
      </c>
      <c r="B223" s="2" t="s">
        <v>19</v>
      </c>
      <c r="C223" s="2" t="s">
        <v>11</v>
      </c>
      <c r="D223" s="2" t="s">
        <v>12</v>
      </c>
      <c r="E223" s="2" t="s">
        <v>22</v>
      </c>
      <c r="F223">
        <v>971</v>
      </c>
      <c r="G223">
        <v>475</v>
      </c>
      <c r="H223">
        <v>461225</v>
      </c>
      <c r="I223">
        <v>65472.808199999999</v>
      </c>
      <c r="J223" s="2" t="s">
        <v>38</v>
      </c>
    </row>
    <row r="224" spans="1:10" x14ac:dyDescent="0.35">
      <c r="A224" s="1">
        <v>44999</v>
      </c>
      <c r="B224" s="2" t="s">
        <v>10</v>
      </c>
      <c r="C224" s="2" t="s">
        <v>29</v>
      </c>
      <c r="D224" s="2" t="s">
        <v>12</v>
      </c>
      <c r="E224" s="2" t="s">
        <v>22</v>
      </c>
      <c r="F224">
        <v>136</v>
      </c>
      <c r="G224">
        <v>244</v>
      </c>
      <c r="H224">
        <v>33184</v>
      </c>
      <c r="I224">
        <v>7306.9813999999997</v>
      </c>
      <c r="J224" s="2" t="s">
        <v>38</v>
      </c>
    </row>
    <row r="225" spans="1:10" x14ac:dyDescent="0.35">
      <c r="A225" s="1">
        <v>44999</v>
      </c>
      <c r="B225" s="2" t="s">
        <v>36</v>
      </c>
      <c r="C225" s="2" t="s">
        <v>23</v>
      </c>
      <c r="D225" s="2" t="s">
        <v>21</v>
      </c>
      <c r="E225" s="2" t="s">
        <v>28</v>
      </c>
      <c r="F225">
        <v>369</v>
      </c>
      <c r="G225">
        <v>314</v>
      </c>
      <c r="H225">
        <v>115866</v>
      </c>
      <c r="I225">
        <v>13119.759700000001</v>
      </c>
      <c r="J225" s="2" t="s">
        <v>38</v>
      </c>
    </row>
    <row r="226" spans="1:10" x14ac:dyDescent="0.35">
      <c r="A226" s="1">
        <v>44999</v>
      </c>
      <c r="B226" s="2" t="s">
        <v>26</v>
      </c>
      <c r="C226" s="2" t="s">
        <v>27</v>
      </c>
      <c r="D226" s="2" t="s">
        <v>30</v>
      </c>
      <c r="E226" s="2" t="s">
        <v>33</v>
      </c>
      <c r="F226">
        <v>565</v>
      </c>
      <c r="G226">
        <v>362</v>
      </c>
      <c r="H226">
        <v>204530</v>
      </c>
      <c r="I226">
        <v>30507.618399999999</v>
      </c>
      <c r="J226" s="2" t="s">
        <v>38</v>
      </c>
    </row>
    <row r="227" spans="1:10" x14ac:dyDescent="0.35">
      <c r="A227" s="1">
        <v>44999</v>
      </c>
      <c r="B227" s="2" t="s">
        <v>25</v>
      </c>
      <c r="C227" s="2" t="s">
        <v>29</v>
      </c>
      <c r="D227" s="2" t="s">
        <v>21</v>
      </c>
      <c r="E227" s="2" t="s">
        <v>13</v>
      </c>
      <c r="F227">
        <v>891</v>
      </c>
      <c r="G227">
        <v>211</v>
      </c>
      <c r="H227">
        <v>188001</v>
      </c>
      <c r="I227">
        <v>28230.576799999999</v>
      </c>
      <c r="J227" s="2" t="s">
        <v>38</v>
      </c>
    </row>
    <row r="228" spans="1:10" x14ac:dyDescent="0.35">
      <c r="A228" s="1">
        <v>44999</v>
      </c>
      <c r="B228" s="2" t="s">
        <v>31</v>
      </c>
      <c r="C228" s="2" t="s">
        <v>16</v>
      </c>
      <c r="D228" s="2" t="s">
        <v>12</v>
      </c>
      <c r="E228" s="2" t="s">
        <v>28</v>
      </c>
      <c r="F228">
        <v>935</v>
      </c>
      <c r="G228">
        <v>268</v>
      </c>
      <c r="H228">
        <v>250580</v>
      </c>
      <c r="I228">
        <v>49671.729399999997</v>
      </c>
      <c r="J228" s="2" t="s">
        <v>38</v>
      </c>
    </row>
    <row r="229" spans="1:10" x14ac:dyDescent="0.35">
      <c r="A229" s="1">
        <v>44999</v>
      </c>
      <c r="B229" s="2" t="s">
        <v>25</v>
      </c>
      <c r="C229" s="2" t="s">
        <v>16</v>
      </c>
      <c r="D229" s="2" t="s">
        <v>17</v>
      </c>
      <c r="E229" s="2" t="s">
        <v>28</v>
      </c>
      <c r="F229">
        <v>126</v>
      </c>
      <c r="G229">
        <v>244</v>
      </c>
      <c r="H229">
        <v>30744</v>
      </c>
      <c r="I229">
        <v>6953.3671000000004</v>
      </c>
      <c r="J229" s="2" t="s">
        <v>38</v>
      </c>
    </row>
    <row r="230" spans="1:10" x14ac:dyDescent="0.35">
      <c r="A230" s="1">
        <v>45000</v>
      </c>
      <c r="B230" s="2" t="s">
        <v>15</v>
      </c>
      <c r="C230" s="2" t="s">
        <v>23</v>
      </c>
      <c r="D230" s="2" t="s">
        <v>17</v>
      </c>
      <c r="E230" s="2" t="s">
        <v>33</v>
      </c>
      <c r="F230">
        <v>768</v>
      </c>
      <c r="G230">
        <v>351</v>
      </c>
      <c r="H230">
        <v>269568</v>
      </c>
      <c r="I230">
        <v>42282.554100000001</v>
      </c>
      <c r="J230" s="2" t="s">
        <v>38</v>
      </c>
    </row>
    <row r="231" spans="1:10" x14ac:dyDescent="0.35">
      <c r="A231" s="1">
        <v>45001</v>
      </c>
      <c r="B231" s="2" t="s">
        <v>15</v>
      </c>
      <c r="C231" s="2" t="s">
        <v>29</v>
      </c>
      <c r="D231" s="2" t="s">
        <v>17</v>
      </c>
      <c r="E231" s="2" t="s">
        <v>18</v>
      </c>
      <c r="F231">
        <v>358</v>
      </c>
      <c r="G231">
        <v>227</v>
      </c>
      <c r="H231">
        <v>81266</v>
      </c>
      <c r="I231">
        <v>15929.8413</v>
      </c>
      <c r="J231" s="2" t="s">
        <v>38</v>
      </c>
    </row>
    <row r="232" spans="1:10" x14ac:dyDescent="0.35">
      <c r="A232" s="1">
        <v>45001</v>
      </c>
      <c r="B232" s="2" t="s">
        <v>10</v>
      </c>
      <c r="C232" s="2" t="s">
        <v>11</v>
      </c>
      <c r="D232" s="2" t="s">
        <v>12</v>
      </c>
      <c r="E232" s="2" t="s">
        <v>13</v>
      </c>
      <c r="F232">
        <v>474</v>
      </c>
      <c r="G232">
        <v>419</v>
      </c>
      <c r="H232">
        <v>198606</v>
      </c>
      <c r="I232">
        <v>45948.118399999999</v>
      </c>
      <c r="J232" s="2" t="s">
        <v>38</v>
      </c>
    </row>
    <row r="233" spans="1:10" x14ac:dyDescent="0.35">
      <c r="A233" s="1">
        <v>45001</v>
      </c>
      <c r="B233" s="2" t="s">
        <v>19</v>
      </c>
      <c r="C233" s="2" t="s">
        <v>23</v>
      </c>
      <c r="D233" s="2" t="s">
        <v>21</v>
      </c>
      <c r="E233" s="2" t="s">
        <v>33</v>
      </c>
      <c r="F233">
        <v>639</v>
      </c>
      <c r="G233">
        <v>105</v>
      </c>
      <c r="H233">
        <v>67095</v>
      </c>
      <c r="I233">
        <v>11501.0584</v>
      </c>
      <c r="J233" s="2" t="s">
        <v>38</v>
      </c>
    </row>
    <row r="234" spans="1:10" x14ac:dyDescent="0.35">
      <c r="A234" s="1">
        <v>45001</v>
      </c>
      <c r="B234" s="2" t="s">
        <v>25</v>
      </c>
      <c r="C234" s="2" t="s">
        <v>11</v>
      </c>
      <c r="D234" s="2" t="s">
        <v>17</v>
      </c>
      <c r="E234" s="2" t="s">
        <v>22</v>
      </c>
      <c r="F234">
        <v>550</v>
      </c>
      <c r="G234">
        <v>161</v>
      </c>
      <c r="H234">
        <v>88550</v>
      </c>
      <c r="I234">
        <v>20310.470600000001</v>
      </c>
      <c r="J234" s="2" t="s">
        <v>38</v>
      </c>
    </row>
    <row r="235" spans="1:10" x14ac:dyDescent="0.35">
      <c r="A235" s="1">
        <v>45001</v>
      </c>
      <c r="B235" s="2" t="s">
        <v>36</v>
      </c>
      <c r="C235" s="2" t="s">
        <v>29</v>
      </c>
      <c r="D235" s="2" t="s">
        <v>21</v>
      </c>
      <c r="E235" s="2" t="s">
        <v>13</v>
      </c>
      <c r="F235">
        <v>656</v>
      </c>
      <c r="G235">
        <v>367</v>
      </c>
      <c r="H235">
        <v>240752</v>
      </c>
      <c r="I235">
        <v>29629.4764</v>
      </c>
      <c r="J235" s="2" t="s">
        <v>38</v>
      </c>
    </row>
    <row r="236" spans="1:10" x14ac:dyDescent="0.35">
      <c r="A236" s="1">
        <v>45001</v>
      </c>
      <c r="B236" s="2" t="s">
        <v>34</v>
      </c>
      <c r="C236" s="2" t="s">
        <v>29</v>
      </c>
      <c r="D236" s="2" t="s">
        <v>12</v>
      </c>
      <c r="E236" s="2" t="s">
        <v>22</v>
      </c>
      <c r="F236">
        <v>434</v>
      </c>
      <c r="G236">
        <v>167</v>
      </c>
      <c r="H236">
        <v>72478</v>
      </c>
      <c r="I236">
        <v>5955.1998000000003</v>
      </c>
      <c r="J236" s="2" t="s">
        <v>38</v>
      </c>
    </row>
    <row r="237" spans="1:10" x14ac:dyDescent="0.35">
      <c r="A237" s="1">
        <v>45002</v>
      </c>
      <c r="B237" s="2" t="s">
        <v>25</v>
      </c>
      <c r="C237" s="2" t="s">
        <v>29</v>
      </c>
      <c r="D237" s="2" t="s">
        <v>17</v>
      </c>
      <c r="E237" s="2" t="s">
        <v>32</v>
      </c>
      <c r="F237">
        <v>80</v>
      </c>
      <c r="G237">
        <v>228</v>
      </c>
      <c r="H237">
        <v>18240</v>
      </c>
      <c r="I237">
        <v>3379.0592999999999</v>
      </c>
      <c r="J237" s="2" t="s">
        <v>38</v>
      </c>
    </row>
    <row r="238" spans="1:10" x14ac:dyDescent="0.35">
      <c r="A238" s="1">
        <v>45002</v>
      </c>
      <c r="B238" s="2" t="s">
        <v>25</v>
      </c>
      <c r="C238" s="2" t="s">
        <v>20</v>
      </c>
      <c r="D238" s="2" t="s">
        <v>30</v>
      </c>
      <c r="E238" s="2" t="s">
        <v>13</v>
      </c>
      <c r="F238">
        <v>741</v>
      </c>
      <c r="G238">
        <v>439</v>
      </c>
      <c r="H238">
        <v>325299</v>
      </c>
      <c r="I238">
        <v>67508.7399</v>
      </c>
      <c r="J238" s="2" t="s">
        <v>38</v>
      </c>
    </row>
    <row r="239" spans="1:10" x14ac:dyDescent="0.35">
      <c r="A239" s="1">
        <v>45002</v>
      </c>
      <c r="B239" s="2" t="s">
        <v>34</v>
      </c>
      <c r="C239" s="2" t="s">
        <v>23</v>
      </c>
      <c r="D239" s="2" t="s">
        <v>12</v>
      </c>
      <c r="E239" s="2" t="s">
        <v>13</v>
      </c>
      <c r="F239">
        <v>780</v>
      </c>
      <c r="G239">
        <v>193</v>
      </c>
      <c r="H239">
        <v>150540</v>
      </c>
      <c r="I239">
        <v>12310.0515</v>
      </c>
      <c r="J239" s="2" t="s">
        <v>38</v>
      </c>
    </row>
    <row r="240" spans="1:10" x14ac:dyDescent="0.35">
      <c r="A240" s="1">
        <v>45003</v>
      </c>
      <c r="B240" s="2" t="s">
        <v>26</v>
      </c>
      <c r="C240" s="2" t="s">
        <v>27</v>
      </c>
      <c r="D240" s="2" t="s">
        <v>21</v>
      </c>
      <c r="E240" s="2" t="s">
        <v>24</v>
      </c>
      <c r="F240">
        <v>779</v>
      </c>
      <c r="G240">
        <v>150</v>
      </c>
      <c r="H240">
        <v>116850</v>
      </c>
      <c r="I240">
        <v>26586.263200000001</v>
      </c>
      <c r="J240" s="2" t="s">
        <v>38</v>
      </c>
    </row>
    <row r="241" spans="1:10" x14ac:dyDescent="0.35">
      <c r="A241" s="1">
        <v>45004</v>
      </c>
      <c r="B241" s="2" t="s">
        <v>10</v>
      </c>
      <c r="C241" s="2" t="s">
        <v>23</v>
      </c>
      <c r="D241" s="2" t="s">
        <v>21</v>
      </c>
      <c r="E241" s="2" t="s">
        <v>28</v>
      </c>
      <c r="F241">
        <v>293</v>
      </c>
      <c r="G241">
        <v>278</v>
      </c>
      <c r="H241">
        <v>81454</v>
      </c>
      <c r="I241">
        <v>8412.0184000000008</v>
      </c>
      <c r="J241" s="2" t="s">
        <v>38</v>
      </c>
    </row>
    <row r="242" spans="1:10" x14ac:dyDescent="0.35">
      <c r="A242" s="1">
        <v>45004</v>
      </c>
      <c r="B242" s="2" t="s">
        <v>34</v>
      </c>
      <c r="C242" s="2" t="s">
        <v>29</v>
      </c>
      <c r="D242" s="2" t="s">
        <v>21</v>
      </c>
      <c r="E242" s="2" t="s">
        <v>33</v>
      </c>
      <c r="F242">
        <v>492</v>
      </c>
      <c r="G242">
        <v>300</v>
      </c>
      <c r="H242">
        <v>147600</v>
      </c>
      <c r="I242">
        <v>15537.345799999999</v>
      </c>
      <c r="J242" s="2" t="s">
        <v>38</v>
      </c>
    </row>
    <row r="243" spans="1:10" x14ac:dyDescent="0.35">
      <c r="A243" s="1">
        <v>45004</v>
      </c>
      <c r="B243" s="2" t="s">
        <v>26</v>
      </c>
      <c r="C243" s="2" t="s">
        <v>27</v>
      </c>
      <c r="D243" s="2" t="s">
        <v>30</v>
      </c>
      <c r="E243" s="2" t="s">
        <v>35</v>
      </c>
      <c r="F243">
        <v>945</v>
      </c>
      <c r="G243">
        <v>409</v>
      </c>
      <c r="H243">
        <v>386505</v>
      </c>
      <c r="I243">
        <v>71808.583799999993</v>
      </c>
      <c r="J243" s="2" t="s">
        <v>38</v>
      </c>
    </row>
    <row r="244" spans="1:10" x14ac:dyDescent="0.35">
      <c r="A244" s="1">
        <v>45004</v>
      </c>
      <c r="B244" s="2" t="s">
        <v>31</v>
      </c>
      <c r="C244" s="2" t="s">
        <v>16</v>
      </c>
      <c r="D244" s="2" t="s">
        <v>30</v>
      </c>
      <c r="E244" s="2" t="s">
        <v>18</v>
      </c>
      <c r="F244">
        <v>766</v>
      </c>
      <c r="G244">
        <v>446</v>
      </c>
      <c r="H244">
        <v>341636</v>
      </c>
      <c r="I244">
        <v>40855.182699999998</v>
      </c>
      <c r="J244" s="2" t="s">
        <v>38</v>
      </c>
    </row>
    <row r="245" spans="1:10" x14ac:dyDescent="0.35">
      <c r="A245" s="1">
        <v>45005</v>
      </c>
      <c r="B245" s="2" t="s">
        <v>10</v>
      </c>
      <c r="C245" s="2" t="s">
        <v>29</v>
      </c>
      <c r="D245" s="2" t="s">
        <v>30</v>
      </c>
      <c r="E245" s="2" t="s">
        <v>22</v>
      </c>
      <c r="F245">
        <v>910</v>
      </c>
      <c r="G245">
        <v>413</v>
      </c>
      <c r="H245">
        <v>375830</v>
      </c>
      <c r="I245">
        <v>92630.678799999994</v>
      </c>
      <c r="J245" s="2" t="s">
        <v>38</v>
      </c>
    </row>
    <row r="246" spans="1:10" x14ac:dyDescent="0.35">
      <c r="A246" s="1">
        <v>45005</v>
      </c>
      <c r="B246" s="2" t="s">
        <v>15</v>
      </c>
      <c r="C246" s="2" t="s">
        <v>27</v>
      </c>
      <c r="D246" s="2" t="s">
        <v>17</v>
      </c>
      <c r="E246" s="2" t="s">
        <v>28</v>
      </c>
      <c r="F246">
        <v>862</v>
      </c>
      <c r="G246">
        <v>154</v>
      </c>
      <c r="H246">
        <v>132748</v>
      </c>
      <c r="I246">
        <v>16010.2291</v>
      </c>
      <c r="J246" s="2" t="s">
        <v>38</v>
      </c>
    </row>
    <row r="247" spans="1:10" x14ac:dyDescent="0.35">
      <c r="A247" s="1">
        <v>45005</v>
      </c>
      <c r="B247" s="2" t="s">
        <v>15</v>
      </c>
      <c r="C247" s="2" t="s">
        <v>11</v>
      </c>
      <c r="D247" s="2" t="s">
        <v>30</v>
      </c>
      <c r="E247" s="2" t="s">
        <v>18</v>
      </c>
      <c r="F247">
        <v>790</v>
      </c>
      <c r="G247">
        <v>190</v>
      </c>
      <c r="H247">
        <v>150100</v>
      </c>
      <c r="I247">
        <v>34395.723899999997</v>
      </c>
      <c r="J247" s="2" t="s">
        <v>38</v>
      </c>
    </row>
    <row r="248" spans="1:10" x14ac:dyDescent="0.35">
      <c r="A248" s="1">
        <v>45006</v>
      </c>
      <c r="B248" s="2" t="s">
        <v>26</v>
      </c>
      <c r="C248" s="2" t="s">
        <v>20</v>
      </c>
      <c r="D248" s="2" t="s">
        <v>17</v>
      </c>
      <c r="E248" s="2" t="s">
        <v>28</v>
      </c>
      <c r="F248">
        <v>811</v>
      </c>
      <c r="G248">
        <v>234</v>
      </c>
      <c r="H248">
        <v>189774</v>
      </c>
      <c r="I248">
        <v>26721.148099999999</v>
      </c>
      <c r="J248" s="2" t="s">
        <v>38</v>
      </c>
    </row>
    <row r="249" spans="1:10" x14ac:dyDescent="0.35">
      <c r="A249" s="1">
        <v>45007</v>
      </c>
      <c r="B249" s="2" t="s">
        <v>19</v>
      </c>
      <c r="C249" s="2" t="s">
        <v>27</v>
      </c>
      <c r="D249" s="2" t="s">
        <v>12</v>
      </c>
      <c r="E249" s="2" t="s">
        <v>32</v>
      </c>
      <c r="F249">
        <v>899</v>
      </c>
      <c r="G249">
        <v>403</v>
      </c>
      <c r="H249">
        <v>362297</v>
      </c>
      <c r="I249">
        <v>72480.916700000002</v>
      </c>
      <c r="J249" s="2" t="s">
        <v>38</v>
      </c>
    </row>
    <row r="250" spans="1:10" x14ac:dyDescent="0.35">
      <c r="A250" s="1">
        <v>45008</v>
      </c>
      <c r="B250" s="2" t="s">
        <v>34</v>
      </c>
      <c r="C250" s="2" t="s">
        <v>20</v>
      </c>
      <c r="D250" s="2" t="s">
        <v>12</v>
      </c>
      <c r="E250" s="2" t="s">
        <v>32</v>
      </c>
      <c r="F250">
        <v>241</v>
      </c>
      <c r="G250">
        <v>492</v>
      </c>
      <c r="H250">
        <v>118572</v>
      </c>
      <c r="I250">
        <v>12433.2675</v>
      </c>
      <c r="J250" s="2" t="s">
        <v>38</v>
      </c>
    </row>
    <row r="251" spans="1:10" x14ac:dyDescent="0.35">
      <c r="A251" s="1">
        <v>45008</v>
      </c>
      <c r="B251" s="2" t="s">
        <v>15</v>
      </c>
      <c r="C251" s="2" t="s">
        <v>16</v>
      </c>
      <c r="D251" s="2" t="s">
        <v>17</v>
      </c>
      <c r="E251" s="2" t="s">
        <v>33</v>
      </c>
      <c r="F251">
        <v>104</v>
      </c>
      <c r="G251">
        <v>330</v>
      </c>
      <c r="H251">
        <v>34320</v>
      </c>
      <c r="I251">
        <v>6866.3715000000002</v>
      </c>
      <c r="J251" s="2" t="s">
        <v>38</v>
      </c>
    </row>
    <row r="252" spans="1:10" x14ac:dyDescent="0.35">
      <c r="A252" s="1">
        <v>45008</v>
      </c>
      <c r="B252" s="2" t="s">
        <v>19</v>
      </c>
      <c r="C252" s="2" t="s">
        <v>16</v>
      </c>
      <c r="D252" s="2" t="s">
        <v>12</v>
      </c>
      <c r="E252" s="2" t="s">
        <v>33</v>
      </c>
      <c r="F252">
        <v>101</v>
      </c>
      <c r="G252">
        <v>390</v>
      </c>
      <c r="H252">
        <v>39390</v>
      </c>
      <c r="I252">
        <v>6673.1665000000003</v>
      </c>
      <c r="J252" s="2" t="s">
        <v>38</v>
      </c>
    </row>
    <row r="253" spans="1:10" x14ac:dyDescent="0.35">
      <c r="A253" s="1">
        <v>45008</v>
      </c>
      <c r="B253" s="2" t="s">
        <v>10</v>
      </c>
      <c r="C253" s="2" t="s">
        <v>11</v>
      </c>
      <c r="D253" s="2" t="s">
        <v>30</v>
      </c>
      <c r="E253" s="2" t="s">
        <v>18</v>
      </c>
      <c r="F253">
        <v>805</v>
      </c>
      <c r="G253">
        <v>227</v>
      </c>
      <c r="H253">
        <v>182735</v>
      </c>
      <c r="I253">
        <v>21499.367200000001</v>
      </c>
      <c r="J253" s="2" t="s">
        <v>38</v>
      </c>
    </row>
    <row r="254" spans="1:10" x14ac:dyDescent="0.35">
      <c r="A254" s="1">
        <v>45009</v>
      </c>
      <c r="B254" s="2" t="s">
        <v>15</v>
      </c>
      <c r="C254" s="2" t="s">
        <v>23</v>
      </c>
      <c r="D254" s="2" t="s">
        <v>17</v>
      </c>
      <c r="E254" s="2" t="s">
        <v>32</v>
      </c>
      <c r="F254">
        <v>397</v>
      </c>
      <c r="G254">
        <v>453</v>
      </c>
      <c r="H254">
        <v>179841</v>
      </c>
      <c r="I254">
        <v>20312.451300000001</v>
      </c>
      <c r="J254" s="2" t="s">
        <v>38</v>
      </c>
    </row>
    <row r="255" spans="1:10" x14ac:dyDescent="0.35">
      <c r="A255" s="1">
        <v>45009</v>
      </c>
      <c r="B255" s="2" t="s">
        <v>15</v>
      </c>
      <c r="C255" s="2" t="s">
        <v>16</v>
      </c>
      <c r="D255" s="2" t="s">
        <v>17</v>
      </c>
      <c r="E255" s="2" t="s">
        <v>22</v>
      </c>
      <c r="F255">
        <v>306</v>
      </c>
      <c r="G255">
        <v>249</v>
      </c>
      <c r="H255">
        <v>76194</v>
      </c>
      <c r="I255">
        <v>16112.312599999999</v>
      </c>
      <c r="J255" s="2" t="s">
        <v>38</v>
      </c>
    </row>
    <row r="256" spans="1:10" x14ac:dyDescent="0.35">
      <c r="A256" s="1">
        <v>45009</v>
      </c>
      <c r="B256" s="2" t="s">
        <v>26</v>
      </c>
      <c r="C256" s="2" t="s">
        <v>29</v>
      </c>
      <c r="D256" s="2" t="s">
        <v>21</v>
      </c>
      <c r="E256" s="2" t="s">
        <v>32</v>
      </c>
      <c r="F256">
        <v>265</v>
      </c>
      <c r="G256">
        <v>328</v>
      </c>
      <c r="H256">
        <v>86920</v>
      </c>
      <c r="I256">
        <v>17058.042600000001</v>
      </c>
      <c r="J256" s="2" t="s">
        <v>38</v>
      </c>
    </row>
    <row r="257" spans="1:10" x14ac:dyDescent="0.35">
      <c r="A257" s="1">
        <v>45009</v>
      </c>
      <c r="B257" s="2" t="s">
        <v>15</v>
      </c>
      <c r="C257" s="2" t="s">
        <v>20</v>
      </c>
      <c r="D257" s="2" t="s">
        <v>12</v>
      </c>
      <c r="E257" s="2" t="s">
        <v>32</v>
      </c>
      <c r="F257">
        <v>674</v>
      </c>
      <c r="G257">
        <v>253</v>
      </c>
      <c r="H257">
        <v>170522</v>
      </c>
      <c r="I257">
        <v>14515.5906</v>
      </c>
      <c r="J257" s="2" t="s">
        <v>38</v>
      </c>
    </row>
    <row r="258" spans="1:10" x14ac:dyDescent="0.35">
      <c r="A258" s="1">
        <v>45009</v>
      </c>
      <c r="B258" s="2" t="s">
        <v>34</v>
      </c>
      <c r="C258" s="2" t="s">
        <v>23</v>
      </c>
      <c r="D258" s="2" t="s">
        <v>17</v>
      </c>
      <c r="E258" s="2" t="s">
        <v>22</v>
      </c>
      <c r="F258">
        <v>679</v>
      </c>
      <c r="G258">
        <v>198</v>
      </c>
      <c r="H258">
        <v>134442</v>
      </c>
      <c r="I258">
        <v>28998.3815</v>
      </c>
      <c r="J258" s="2" t="s">
        <v>38</v>
      </c>
    </row>
    <row r="259" spans="1:10" x14ac:dyDescent="0.35">
      <c r="A259" s="1">
        <v>45010</v>
      </c>
      <c r="B259" s="2" t="s">
        <v>10</v>
      </c>
      <c r="C259" s="2" t="s">
        <v>11</v>
      </c>
      <c r="D259" s="2" t="s">
        <v>12</v>
      </c>
      <c r="E259" s="2" t="s">
        <v>24</v>
      </c>
      <c r="F259">
        <v>940</v>
      </c>
      <c r="G259">
        <v>294</v>
      </c>
      <c r="H259">
        <v>276360</v>
      </c>
      <c r="I259">
        <v>49950.601999999999</v>
      </c>
      <c r="J259" s="2" t="s">
        <v>38</v>
      </c>
    </row>
    <row r="260" spans="1:10" x14ac:dyDescent="0.35">
      <c r="A260" s="1">
        <v>45010</v>
      </c>
      <c r="B260" s="2" t="s">
        <v>34</v>
      </c>
      <c r="C260" s="2" t="s">
        <v>11</v>
      </c>
      <c r="D260" s="2" t="s">
        <v>21</v>
      </c>
      <c r="E260" s="2" t="s">
        <v>18</v>
      </c>
      <c r="F260">
        <v>811</v>
      </c>
      <c r="G260">
        <v>437</v>
      </c>
      <c r="H260">
        <v>354407</v>
      </c>
      <c r="I260">
        <v>35155.316500000001</v>
      </c>
      <c r="J260" s="2" t="s">
        <v>38</v>
      </c>
    </row>
    <row r="261" spans="1:10" x14ac:dyDescent="0.35">
      <c r="A261" s="1">
        <v>45011</v>
      </c>
      <c r="B261" s="2" t="s">
        <v>36</v>
      </c>
      <c r="C261" s="2" t="s">
        <v>27</v>
      </c>
      <c r="D261" s="2" t="s">
        <v>21</v>
      </c>
      <c r="E261" s="2" t="s">
        <v>35</v>
      </c>
      <c r="F261">
        <v>524</v>
      </c>
      <c r="G261">
        <v>408</v>
      </c>
      <c r="H261">
        <v>213792</v>
      </c>
      <c r="I261">
        <v>34051.309600000001</v>
      </c>
      <c r="J261" s="2" t="s">
        <v>38</v>
      </c>
    </row>
    <row r="262" spans="1:10" x14ac:dyDescent="0.35">
      <c r="A262" s="1">
        <v>45012</v>
      </c>
      <c r="B262" s="2" t="s">
        <v>25</v>
      </c>
      <c r="C262" s="2" t="s">
        <v>11</v>
      </c>
      <c r="D262" s="2" t="s">
        <v>30</v>
      </c>
      <c r="E262" s="2" t="s">
        <v>32</v>
      </c>
      <c r="F262">
        <v>678</v>
      </c>
      <c r="G262">
        <v>343</v>
      </c>
      <c r="H262">
        <v>232554</v>
      </c>
      <c r="I262">
        <v>42220.618900000001</v>
      </c>
      <c r="J262" s="2" t="s">
        <v>38</v>
      </c>
    </row>
    <row r="263" spans="1:10" x14ac:dyDescent="0.35">
      <c r="A263" s="1">
        <v>45012</v>
      </c>
      <c r="B263" s="2" t="s">
        <v>15</v>
      </c>
      <c r="C263" s="2" t="s">
        <v>11</v>
      </c>
      <c r="D263" s="2" t="s">
        <v>30</v>
      </c>
      <c r="E263" s="2" t="s">
        <v>13</v>
      </c>
      <c r="F263">
        <v>743</v>
      </c>
      <c r="G263">
        <v>421</v>
      </c>
      <c r="H263">
        <v>312803</v>
      </c>
      <c r="I263">
        <v>26931.2772</v>
      </c>
      <c r="J263" s="2" t="s">
        <v>38</v>
      </c>
    </row>
    <row r="264" spans="1:10" x14ac:dyDescent="0.35">
      <c r="A264" s="1">
        <v>45012</v>
      </c>
      <c r="B264" s="2" t="s">
        <v>15</v>
      </c>
      <c r="C264" s="2" t="s">
        <v>16</v>
      </c>
      <c r="D264" s="2" t="s">
        <v>21</v>
      </c>
      <c r="E264" s="2" t="s">
        <v>28</v>
      </c>
      <c r="F264">
        <v>724</v>
      </c>
      <c r="G264">
        <v>220</v>
      </c>
      <c r="H264">
        <v>159280</v>
      </c>
      <c r="I264">
        <v>39108.208500000001</v>
      </c>
      <c r="J264" s="2" t="s">
        <v>38</v>
      </c>
    </row>
    <row r="265" spans="1:10" x14ac:dyDescent="0.35">
      <c r="A265" s="1">
        <v>45013</v>
      </c>
      <c r="B265" s="2" t="s">
        <v>10</v>
      </c>
      <c r="C265" s="2" t="s">
        <v>27</v>
      </c>
      <c r="D265" s="2" t="s">
        <v>21</v>
      </c>
      <c r="E265" s="2" t="s">
        <v>33</v>
      </c>
      <c r="F265">
        <v>775</v>
      </c>
      <c r="G265">
        <v>466</v>
      </c>
      <c r="H265">
        <v>361150</v>
      </c>
      <c r="I265">
        <v>75910.242400000003</v>
      </c>
      <c r="J265" s="2" t="s">
        <v>38</v>
      </c>
    </row>
    <row r="266" spans="1:10" x14ac:dyDescent="0.35">
      <c r="A266" s="1">
        <v>45013</v>
      </c>
      <c r="B266" s="2" t="s">
        <v>19</v>
      </c>
      <c r="C266" s="2" t="s">
        <v>16</v>
      </c>
      <c r="D266" s="2" t="s">
        <v>12</v>
      </c>
      <c r="E266" s="2" t="s">
        <v>13</v>
      </c>
      <c r="F266">
        <v>564</v>
      </c>
      <c r="G266">
        <v>301</v>
      </c>
      <c r="H266">
        <v>169764</v>
      </c>
      <c r="I266">
        <v>32601.5759</v>
      </c>
      <c r="J266" s="2" t="s">
        <v>38</v>
      </c>
    </row>
    <row r="267" spans="1:10" x14ac:dyDescent="0.35">
      <c r="A267" s="1">
        <v>45013</v>
      </c>
      <c r="B267" s="2" t="s">
        <v>25</v>
      </c>
      <c r="C267" s="2" t="s">
        <v>29</v>
      </c>
      <c r="D267" s="2" t="s">
        <v>17</v>
      </c>
      <c r="E267" s="2" t="s">
        <v>13</v>
      </c>
      <c r="F267">
        <v>677</v>
      </c>
      <c r="G267">
        <v>368</v>
      </c>
      <c r="H267">
        <v>249136</v>
      </c>
      <c r="I267">
        <v>26000.011900000001</v>
      </c>
      <c r="J267" s="2" t="s">
        <v>38</v>
      </c>
    </row>
    <row r="268" spans="1:10" x14ac:dyDescent="0.35">
      <c r="A268" s="1">
        <v>45013</v>
      </c>
      <c r="B268" s="2" t="s">
        <v>19</v>
      </c>
      <c r="C268" s="2" t="s">
        <v>16</v>
      </c>
      <c r="D268" s="2" t="s">
        <v>17</v>
      </c>
      <c r="E268" s="2" t="s">
        <v>28</v>
      </c>
      <c r="F268">
        <v>449</v>
      </c>
      <c r="G268">
        <v>335</v>
      </c>
      <c r="H268">
        <v>150415</v>
      </c>
      <c r="I268">
        <v>25563.179899999999</v>
      </c>
      <c r="J268" s="2" t="s">
        <v>38</v>
      </c>
    </row>
    <row r="269" spans="1:10" x14ac:dyDescent="0.35">
      <c r="A269" s="1">
        <v>45013</v>
      </c>
      <c r="B269" s="2" t="s">
        <v>34</v>
      </c>
      <c r="C269" s="2" t="s">
        <v>23</v>
      </c>
      <c r="D269" s="2" t="s">
        <v>12</v>
      </c>
      <c r="E269" s="2" t="s">
        <v>18</v>
      </c>
      <c r="F269">
        <v>484</v>
      </c>
      <c r="G269">
        <v>332</v>
      </c>
      <c r="H269">
        <v>160688</v>
      </c>
      <c r="I269">
        <v>26929.223900000001</v>
      </c>
      <c r="J269" s="2" t="s">
        <v>38</v>
      </c>
    </row>
    <row r="270" spans="1:10" x14ac:dyDescent="0.35">
      <c r="A270" s="1">
        <v>45014</v>
      </c>
      <c r="B270" s="2" t="s">
        <v>26</v>
      </c>
      <c r="C270" s="2" t="s">
        <v>29</v>
      </c>
      <c r="D270" s="2" t="s">
        <v>17</v>
      </c>
      <c r="E270" s="2" t="s">
        <v>28</v>
      </c>
      <c r="F270">
        <v>927</v>
      </c>
      <c r="G270">
        <v>499</v>
      </c>
      <c r="H270">
        <v>462573</v>
      </c>
      <c r="I270">
        <v>95536.054799999998</v>
      </c>
      <c r="J270" s="2" t="s">
        <v>38</v>
      </c>
    </row>
    <row r="271" spans="1:10" x14ac:dyDescent="0.35">
      <c r="A271" s="1">
        <v>45014</v>
      </c>
      <c r="B271" s="2" t="s">
        <v>34</v>
      </c>
      <c r="C271" s="2" t="s">
        <v>29</v>
      </c>
      <c r="D271" s="2" t="s">
        <v>30</v>
      </c>
      <c r="E271" s="2" t="s">
        <v>35</v>
      </c>
      <c r="F271">
        <v>670</v>
      </c>
      <c r="G271">
        <v>409</v>
      </c>
      <c r="H271">
        <v>274030</v>
      </c>
      <c r="I271">
        <v>66546.851999999999</v>
      </c>
      <c r="J271" s="2" t="s">
        <v>38</v>
      </c>
    </row>
    <row r="272" spans="1:10" x14ac:dyDescent="0.35">
      <c r="A272" s="1">
        <v>45014</v>
      </c>
      <c r="B272" s="2" t="s">
        <v>36</v>
      </c>
      <c r="C272" s="2" t="s">
        <v>11</v>
      </c>
      <c r="D272" s="2" t="s">
        <v>30</v>
      </c>
      <c r="E272" s="2" t="s">
        <v>33</v>
      </c>
      <c r="F272">
        <v>979</v>
      </c>
      <c r="G272">
        <v>486</v>
      </c>
      <c r="H272">
        <v>475794</v>
      </c>
      <c r="I272">
        <v>66173.789499999999</v>
      </c>
      <c r="J272" s="2" t="s">
        <v>38</v>
      </c>
    </row>
    <row r="273" spans="1:10" x14ac:dyDescent="0.35">
      <c r="A273" s="1">
        <v>45015</v>
      </c>
      <c r="B273" s="2" t="s">
        <v>31</v>
      </c>
      <c r="C273" s="2" t="s">
        <v>29</v>
      </c>
      <c r="D273" s="2" t="s">
        <v>12</v>
      </c>
      <c r="E273" s="2" t="s">
        <v>33</v>
      </c>
      <c r="F273">
        <v>863</v>
      </c>
      <c r="G273">
        <v>140</v>
      </c>
      <c r="H273">
        <v>120820</v>
      </c>
      <c r="I273">
        <v>16506.754099999998</v>
      </c>
      <c r="J273" s="2" t="s">
        <v>38</v>
      </c>
    </row>
    <row r="274" spans="1:10" x14ac:dyDescent="0.35">
      <c r="A274" s="1">
        <v>45015</v>
      </c>
      <c r="B274" s="2" t="s">
        <v>25</v>
      </c>
      <c r="C274" s="2" t="s">
        <v>23</v>
      </c>
      <c r="D274" s="2" t="s">
        <v>30</v>
      </c>
      <c r="E274" s="2" t="s">
        <v>35</v>
      </c>
      <c r="F274">
        <v>696</v>
      </c>
      <c r="G274">
        <v>451</v>
      </c>
      <c r="H274">
        <v>313896</v>
      </c>
      <c r="I274">
        <v>58611.6466</v>
      </c>
      <c r="J274" s="2" t="s">
        <v>38</v>
      </c>
    </row>
    <row r="275" spans="1:10" x14ac:dyDescent="0.35">
      <c r="A275" s="1">
        <v>45016</v>
      </c>
      <c r="B275" s="2" t="s">
        <v>31</v>
      </c>
      <c r="C275" s="2" t="s">
        <v>23</v>
      </c>
      <c r="D275" s="2" t="s">
        <v>21</v>
      </c>
      <c r="E275" s="2" t="s">
        <v>35</v>
      </c>
      <c r="F275">
        <v>439</v>
      </c>
      <c r="G275">
        <v>187</v>
      </c>
      <c r="H275">
        <v>82093</v>
      </c>
      <c r="I275">
        <v>9443.3173000000006</v>
      </c>
      <c r="J275" s="2" t="s">
        <v>38</v>
      </c>
    </row>
    <row r="276" spans="1:10" x14ac:dyDescent="0.35">
      <c r="A276" s="1">
        <v>45016</v>
      </c>
      <c r="B276" s="2" t="s">
        <v>36</v>
      </c>
      <c r="C276" s="2" t="s">
        <v>16</v>
      </c>
      <c r="D276" s="2" t="s">
        <v>12</v>
      </c>
      <c r="E276" s="2" t="s">
        <v>33</v>
      </c>
      <c r="F276">
        <v>745</v>
      </c>
      <c r="G276">
        <v>131</v>
      </c>
      <c r="H276">
        <v>97595</v>
      </c>
      <c r="I276">
        <v>14004.7333</v>
      </c>
      <c r="J276" s="2" t="s">
        <v>38</v>
      </c>
    </row>
    <row r="277" spans="1:10" x14ac:dyDescent="0.35">
      <c r="A277" s="1">
        <v>45016</v>
      </c>
      <c r="B277" s="2" t="s">
        <v>26</v>
      </c>
      <c r="C277" s="2" t="s">
        <v>16</v>
      </c>
      <c r="D277" s="2" t="s">
        <v>30</v>
      </c>
      <c r="E277" s="2" t="s">
        <v>13</v>
      </c>
      <c r="F277">
        <v>437</v>
      </c>
      <c r="G277">
        <v>322</v>
      </c>
      <c r="H277">
        <v>140714</v>
      </c>
      <c r="I277">
        <v>18269.445500000002</v>
      </c>
      <c r="J277" s="2" t="s">
        <v>38</v>
      </c>
    </row>
    <row r="278" spans="1:10" x14ac:dyDescent="0.35">
      <c r="A278" s="1">
        <v>45016</v>
      </c>
      <c r="B278" s="2" t="s">
        <v>25</v>
      </c>
      <c r="C278" s="2" t="s">
        <v>29</v>
      </c>
      <c r="D278" s="2" t="s">
        <v>21</v>
      </c>
      <c r="E278" s="2" t="s">
        <v>13</v>
      </c>
      <c r="F278">
        <v>568</v>
      </c>
      <c r="G278">
        <v>233</v>
      </c>
      <c r="H278">
        <v>132344</v>
      </c>
      <c r="I278">
        <v>13877.5234</v>
      </c>
      <c r="J278" s="2" t="s">
        <v>38</v>
      </c>
    </row>
    <row r="279" spans="1:10" x14ac:dyDescent="0.35">
      <c r="A279" s="1">
        <v>45016</v>
      </c>
      <c r="B279" s="2" t="s">
        <v>36</v>
      </c>
      <c r="C279" s="2" t="s">
        <v>16</v>
      </c>
      <c r="D279" s="2" t="s">
        <v>17</v>
      </c>
      <c r="E279" s="2" t="s">
        <v>22</v>
      </c>
      <c r="F279">
        <v>666</v>
      </c>
      <c r="G279">
        <v>489</v>
      </c>
      <c r="H279">
        <v>325674</v>
      </c>
      <c r="I279">
        <v>74056.760299999994</v>
      </c>
      <c r="J279" s="2" t="s">
        <v>38</v>
      </c>
    </row>
    <row r="280" spans="1:10" x14ac:dyDescent="0.35">
      <c r="A280" s="1">
        <v>45017</v>
      </c>
      <c r="B280" s="2" t="s">
        <v>36</v>
      </c>
      <c r="C280" s="2" t="s">
        <v>16</v>
      </c>
      <c r="D280" s="2" t="s">
        <v>17</v>
      </c>
      <c r="E280" s="2" t="s">
        <v>35</v>
      </c>
      <c r="F280">
        <v>125</v>
      </c>
      <c r="G280">
        <v>290</v>
      </c>
      <c r="H280">
        <v>36250</v>
      </c>
      <c r="I280">
        <v>5156.6880000000001</v>
      </c>
      <c r="J280" s="2" t="s">
        <v>39</v>
      </c>
    </row>
    <row r="281" spans="1:10" x14ac:dyDescent="0.35">
      <c r="A281" s="1">
        <v>45018</v>
      </c>
      <c r="B281" s="2" t="s">
        <v>34</v>
      </c>
      <c r="C281" s="2" t="s">
        <v>23</v>
      </c>
      <c r="D281" s="2" t="s">
        <v>21</v>
      </c>
      <c r="E281" s="2" t="s">
        <v>13</v>
      </c>
      <c r="F281">
        <v>705</v>
      </c>
      <c r="G281">
        <v>268</v>
      </c>
      <c r="H281">
        <v>188940</v>
      </c>
      <c r="I281">
        <v>43533.415000000001</v>
      </c>
      <c r="J281" s="2" t="s">
        <v>39</v>
      </c>
    </row>
    <row r="282" spans="1:10" x14ac:dyDescent="0.35">
      <c r="A282" s="1">
        <v>45018</v>
      </c>
      <c r="B282" s="2" t="s">
        <v>36</v>
      </c>
      <c r="C282" s="2" t="s">
        <v>23</v>
      </c>
      <c r="D282" s="2" t="s">
        <v>21</v>
      </c>
      <c r="E282" s="2" t="s">
        <v>24</v>
      </c>
      <c r="F282">
        <v>993</v>
      </c>
      <c r="G282">
        <v>477</v>
      </c>
      <c r="H282">
        <v>473661</v>
      </c>
      <c r="I282">
        <v>86424.217199999999</v>
      </c>
      <c r="J282" s="2" t="s">
        <v>39</v>
      </c>
    </row>
    <row r="283" spans="1:10" x14ac:dyDescent="0.35">
      <c r="A283" s="1">
        <v>45018</v>
      </c>
      <c r="B283" s="2" t="s">
        <v>36</v>
      </c>
      <c r="C283" s="2" t="s">
        <v>27</v>
      </c>
      <c r="D283" s="2" t="s">
        <v>12</v>
      </c>
      <c r="E283" s="2" t="s">
        <v>22</v>
      </c>
      <c r="F283">
        <v>682</v>
      </c>
      <c r="G283">
        <v>422</v>
      </c>
      <c r="H283">
        <v>287804</v>
      </c>
      <c r="I283">
        <v>63770.296399999999</v>
      </c>
      <c r="J283" s="2" t="s">
        <v>39</v>
      </c>
    </row>
    <row r="284" spans="1:10" x14ac:dyDescent="0.35">
      <c r="A284" s="1">
        <v>45018</v>
      </c>
      <c r="B284" s="2" t="s">
        <v>10</v>
      </c>
      <c r="C284" s="2" t="s">
        <v>23</v>
      </c>
      <c r="D284" s="2" t="s">
        <v>12</v>
      </c>
      <c r="E284" s="2" t="s">
        <v>24</v>
      </c>
      <c r="F284">
        <v>332</v>
      </c>
      <c r="G284">
        <v>276</v>
      </c>
      <c r="H284">
        <v>91632</v>
      </c>
      <c r="I284">
        <v>20183.3727</v>
      </c>
      <c r="J284" s="2" t="s">
        <v>39</v>
      </c>
    </row>
    <row r="285" spans="1:10" x14ac:dyDescent="0.35">
      <c r="A285" s="1">
        <v>45018</v>
      </c>
      <c r="B285" s="2" t="s">
        <v>31</v>
      </c>
      <c r="C285" s="2" t="s">
        <v>20</v>
      </c>
      <c r="D285" s="2" t="s">
        <v>17</v>
      </c>
      <c r="E285" s="2" t="s">
        <v>13</v>
      </c>
      <c r="F285">
        <v>899</v>
      </c>
      <c r="G285">
        <v>270</v>
      </c>
      <c r="H285">
        <v>242730</v>
      </c>
      <c r="I285">
        <v>22137.173500000001</v>
      </c>
      <c r="J285" s="2" t="s">
        <v>39</v>
      </c>
    </row>
    <row r="286" spans="1:10" x14ac:dyDescent="0.35">
      <c r="A286" s="1">
        <v>45018</v>
      </c>
      <c r="B286" s="2" t="s">
        <v>25</v>
      </c>
      <c r="C286" s="2" t="s">
        <v>11</v>
      </c>
      <c r="D286" s="2" t="s">
        <v>12</v>
      </c>
      <c r="E286" s="2" t="s">
        <v>32</v>
      </c>
      <c r="F286">
        <v>596</v>
      </c>
      <c r="G286">
        <v>226</v>
      </c>
      <c r="H286">
        <v>134696</v>
      </c>
      <c r="I286">
        <v>27654.582900000001</v>
      </c>
      <c r="J286" s="2" t="s">
        <v>39</v>
      </c>
    </row>
    <row r="287" spans="1:10" x14ac:dyDescent="0.35">
      <c r="A287" s="1">
        <v>45019</v>
      </c>
      <c r="B287" s="2" t="s">
        <v>34</v>
      </c>
      <c r="C287" s="2" t="s">
        <v>16</v>
      </c>
      <c r="D287" s="2" t="s">
        <v>17</v>
      </c>
      <c r="E287" s="2" t="s">
        <v>35</v>
      </c>
      <c r="F287">
        <v>889</v>
      </c>
      <c r="G287">
        <v>263</v>
      </c>
      <c r="H287">
        <v>233807</v>
      </c>
      <c r="I287">
        <v>18962.962299999999</v>
      </c>
      <c r="J287" s="2" t="s">
        <v>39</v>
      </c>
    </row>
    <row r="288" spans="1:10" x14ac:dyDescent="0.35">
      <c r="A288" s="1">
        <v>45019</v>
      </c>
      <c r="B288" s="2" t="s">
        <v>19</v>
      </c>
      <c r="C288" s="2" t="s">
        <v>27</v>
      </c>
      <c r="D288" s="2" t="s">
        <v>30</v>
      </c>
      <c r="E288" s="2" t="s">
        <v>28</v>
      </c>
      <c r="F288">
        <v>834</v>
      </c>
      <c r="G288">
        <v>150</v>
      </c>
      <c r="H288">
        <v>125100</v>
      </c>
      <c r="I288">
        <v>20606.8655</v>
      </c>
      <c r="J288" s="2" t="s">
        <v>39</v>
      </c>
    </row>
    <row r="289" spans="1:10" x14ac:dyDescent="0.35">
      <c r="A289" s="1">
        <v>45019</v>
      </c>
      <c r="B289" s="2" t="s">
        <v>26</v>
      </c>
      <c r="C289" s="2" t="s">
        <v>16</v>
      </c>
      <c r="D289" s="2" t="s">
        <v>12</v>
      </c>
      <c r="E289" s="2" t="s">
        <v>35</v>
      </c>
      <c r="F289">
        <v>932</v>
      </c>
      <c r="G289">
        <v>239</v>
      </c>
      <c r="H289">
        <v>222748</v>
      </c>
      <c r="I289">
        <v>21029.282999999999</v>
      </c>
      <c r="J289" s="2" t="s">
        <v>39</v>
      </c>
    </row>
    <row r="290" spans="1:10" x14ac:dyDescent="0.35">
      <c r="A290" s="1">
        <v>45019</v>
      </c>
      <c r="B290" s="2" t="s">
        <v>15</v>
      </c>
      <c r="C290" s="2" t="s">
        <v>27</v>
      </c>
      <c r="D290" s="2" t="s">
        <v>12</v>
      </c>
      <c r="E290" s="2" t="s">
        <v>28</v>
      </c>
      <c r="F290">
        <v>946</v>
      </c>
      <c r="G290">
        <v>106</v>
      </c>
      <c r="H290">
        <v>100276</v>
      </c>
      <c r="I290">
        <v>23234.246299999999</v>
      </c>
      <c r="J290" s="2" t="s">
        <v>39</v>
      </c>
    </row>
    <row r="291" spans="1:10" x14ac:dyDescent="0.35">
      <c r="A291" s="1">
        <v>45019</v>
      </c>
      <c r="B291" s="2" t="s">
        <v>34</v>
      </c>
      <c r="C291" s="2" t="s">
        <v>20</v>
      </c>
      <c r="D291" s="2" t="s">
        <v>17</v>
      </c>
      <c r="E291" s="2" t="s">
        <v>18</v>
      </c>
      <c r="F291">
        <v>704</v>
      </c>
      <c r="G291">
        <v>130</v>
      </c>
      <c r="H291">
        <v>91520</v>
      </c>
      <c r="I291">
        <v>12067.2021</v>
      </c>
      <c r="J291" s="2" t="s">
        <v>39</v>
      </c>
    </row>
    <row r="292" spans="1:10" x14ac:dyDescent="0.35">
      <c r="A292" s="1">
        <v>45020</v>
      </c>
      <c r="B292" s="2" t="s">
        <v>19</v>
      </c>
      <c r="C292" s="2" t="s">
        <v>20</v>
      </c>
      <c r="D292" s="2" t="s">
        <v>12</v>
      </c>
      <c r="E292" s="2" t="s">
        <v>28</v>
      </c>
      <c r="F292">
        <v>632</v>
      </c>
      <c r="G292">
        <v>350</v>
      </c>
      <c r="H292">
        <v>221200</v>
      </c>
      <c r="I292">
        <v>41320.961000000003</v>
      </c>
      <c r="J292" s="2" t="s">
        <v>39</v>
      </c>
    </row>
    <row r="293" spans="1:10" x14ac:dyDescent="0.35">
      <c r="A293" s="1">
        <v>45021</v>
      </c>
      <c r="B293" s="2" t="s">
        <v>10</v>
      </c>
      <c r="C293" s="2" t="s">
        <v>16</v>
      </c>
      <c r="D293" s="2" t="s">
        <v>12</v>
      </c>
      <c r="E293" s="2" t="s">
        <v>13</v>
      </c>
      <c r="F293">
        <v>295</v>
      </c>
      <c r="G293">
        <v>481</v>
      </c>
      <c r="H293">
        <v>141895</v>
      </c>
      <c r="I293">
        <v>29157.813300000002</v>
      </c>
      <c r="J293" s="2" t="s">
        <v>39</v>
      </c>
    </row>
    <row r="294" spans="1:10" x14ac:dyDescent="0.35">
      <c r="A294" s="1">
        <v>45021</v>
      </c>
      <c r="B294" s="2" t="s">
        <v>31</v>
      </c>
      <c r="C294" s="2" t="s">
        <v>23</v>
      </c>
      <c r="D294" s="2" t="s">
        <v>30</v>
      </c>
      <c r="E294" s="2" t="s">
        <v>13</v>
      </c>
      <c r="F294">
        <v>714</v>
      </c>
      <c r="G294">
        <v>453</v>
      </c>
      <c r="H294">
        <v>323442</v>
      </c>
      <c r="I294">
        <v>73027.679300000003</v>
      </c>
      <c r="J294" s="2" t="s">
        <v>39</v>
      </c>
    </row>
    <row r="295" spans="1:10" x14ac:dyDescent="0.35">
      <c r="A295" s="1">
        <v>45021</v>
      </c>
      <c r="B295" s="2" t="s">
        <v>36</v>
      </c>
      <c r="C295" s="2" t="s">
        <v>20</v>
      </c>
      <c r="D295" s="2" t="s">
        <v>12</v>
      </c>
      <c r="E295" s="2" t="s">
        <v>22</v>
      </c>
      <c r="F295">
        <v>486</v>
      </c>
      <c r="G295">
        <v>114</v>
      </c>
      <c r="H295">
        <v>55404</v>
      </c>
      <c r="I295">
        <v>9049.6402999999991</v>
      </c>
      <c r="J295" s="2" t="s">
        <v>39</v>
      </c>
    </row>
    <row r="296" spans="1:10" x14ac:dyDescent="0.35">
      <c r="A296" s="1">
        <v>45021</v>
      </c>
      <c r="B296" s="2" t="s">
        <v>15</v>
      </c>
      <c r="C296" s="2" t="s">
        <v>27</v>
      </c>
      <c r="D296" s="2" t="s">
        <v>21</v>
      </c>
      <c r="E296" s="2" t="s">
        <v>22</v>
      </c>
      <c r="F296">
        <v>80</v>
      </c>
      <c r="G296">
        <v>311</v>
      </c>
      <c r="H296">
        <v>24880</v>
      </c>
      <c r="I296">
        <v>4472.8341</v>
      </c>
      <c r="J296" s="2" t="s">
        <v>39</v>
      </c>
    </row>
    <row r="297" spans="1:10" x14ac:dyDescent="0.35">
      <c r="A297" s="1">
        <v>45022</v>
      </c>
      <c r="B297" s="2" t="s">
        <v>10</v>
      </c>
      <c r="C297" s="2" t="s">
        <v>16</v>
      </c>
      <c r="D297" s="2" t="s">
        <v>30</v>
      </c>
      <c r="E297" s="2" t="s">
        <v>13</v>
      </c>
      <c r="F297">
        <v>832</v>
      </c>
      <c r="G297">
        <v>206</v>
      </c>
      <c r="H297">
        <v>171392</v>
      </c>
      <c r="I297">
        <v>29214.400000000001</v>
      </c>
      <c r="J297" s="2" t="s">
        <v>39</v>
      </c>
    </row>
    <row r="298" spans="1:10" x14ac:dyDescent="0.35">
      <c r="A298" s="1">
        <v>45022</v>
      </c>
      <c r="B298" s="2" t="s">
        <v>36</v>
      </c>
      <c r="C298" s="2" t="s">
        <v>27</v>
      </c>
      <c r="D298" s="2" t="s">
        <v>12</v>
      </c>
      <c r="E298" s="2" t="s">
        <v>32</v>
      </c>
      <c r="F298">
        <v>269</v>
      </c>
      <c r="G298">
        <v>370</v>
      </c>
      <c r="H298">
        <v>99530</v>
      </c>
      <c r="I298">
        <v>10945.9357</v>
      </c>
      <c r="J298" s="2" t="s">
        <v>39</v>
      </c>
    </row>
    <row r="299" spans="1:10" x14ac:dyDescent="0.35">
      <c r="A299" s="1">
        <v>45022</v>
      </c>
      <c r="B299" s="2" t="s">
        <v>19</v>
      </c>
      <c r="C299" s="2" t="s">
        <v>11</v>
      </c>
      <c r="D299" s="2" t="s">
        <v>17</v>
      </c>
      <c r="E299" s="2" t="s">
        <v>18</v>
      </c>
      <c r="F299">
        <v>265</v>
      </c>
      <c r="G299">
        <v>436</v>
      </c>
      <c r="H299">
        <v>115540</v>
      </c>
      <c r="I299">
        <v>11919.9316</v>
      </c>
      <c r="J299" s="2" t="s">
        <v>39</v>
      </c>
    </row>
    <row r="300" spans="1:10" x14ac:dyDescent="0.35">
      <c r="A300" s="1">
        <v>45023</v>
      </c>
      <c r="B300" s="2" t="s">
        <v>15</v>
      </c>
      <c r="C300" s="2" t="s">
        <v>20</v>
      </c>
      <c r="D300" s="2" t="s">
        <v>12</v>
      </c>
      <c r="E300" s="2" t="s">
        <v>22</v>
      </c>
      <c r="F300">
        <v>836</v>
      </c>
      <c r="G300">
        <v>416</v>
      </c>
      <c r="H300">
        <v>347776</v>
      </c>
      <c r="I300">
        <v>31304.873100000001</v>
      </c>
      <c r="J300" s="2" t="s">
        <v>39</v>
      </c>
    </row>
    <row r="301" spans="1:10" x14ac:dyDescent="0.35">
      <c r="A301" s="1">
        <v>45024</v>
      </c>
      <c r="B301" s="2" t="s">
        <v>26</v>
      </c>
      <c r="C301" s="2" t="s">
        <v>23</v>
      </c>
      <c r="D301" s="2" t="s">
        <v>12</v>
      </c>
      <c r="E301" s="2" t="s">
        <v>35</v>
      </c>
      <c r="F301">
        <v>843</v>
      </c>
      <c r="G301">
        <v>162</v>
      </c>
      <c r="H301">
        <v>136566</v>
      </c>
      <c r="I301">
        <v>11530.1914</v>
      </c>
      <c r="J301" s="2" t="s">
        <v>39</v>
      </c>
    </row>
    <row r="302" spans="1:10" x14ac:dyDescent="0.35">
      <c r="A302" s="1">
        <v>45024</v>
      </c>
      <c r="B302" s="2" t="s">
        <v>26</v>
      </c>
      <c r="C302" s="2" t="s">
        <v>20</v>
      </c>
      <c r="D302" s="2" t="s">
        <v>12</v>
      </c>
      <c r="E302" s="2" t="s">
        <v>24</v>
      </c>
      <c r="F302">
        <v>92</v>
      </c>
      <c r="G302">
        <v>149</v>
      </c>
      <c r="H302">
        <v>13708</v>
      </c>
      <c r="I302">
        <v>1947.4192</v>
      </c>
      <c r="J302" s="2" t="s">
        <v>39</v>
      </c>
    </row>
    <row r="303" spans="1:10" x14ac:dyDescent="0.35">
      <c r="A303" s="1">
        <v>45024</v>
      </c>
      <c r="B303" s="2" t="s">
        <v>25</v>
      </c>
      <c r="C303" s="2" t="s">
        <v>23</v>
      </c>
      <c r="D303" s="2" t="s">
        <v>17</v>
      </c>
      <c r="E303" s="2" t="s">
        <v>33</v>
      </c>
      <c r="F303">
        <v>645</v>
      </c>
      <c r="G303">
        <v>337</v>
      </c>
      <c r="H303">
        <v>217365</v>
      </c>
      <c r="I303">
        <v>49583.817900000002</v>
      </c>
      <c r="J303" s="2" t="s">
        <v>39</v>
      </c>
    </row>
    <row r="304" spans="1:10" x14ac:dyDescent="0.35">
      <c r="A304" s="1">
        <v>45024</v>
      </c>
      <c r="B304" s="2" t="s">
        <v>31</v>
      </c>
      <c r="C304" s="2" t="s">
        <v>20</v>
      </c>
      <c r="D304" s="2" t="s">
        <v>30</v>
      </c>
      <c r="E304" s="2" t="s">
        <v>28</v>
      </c>
      <c r="F304">
        <v>310</v>
      </c>
      <c r="G304">
        <v>240</v>
      </c>
      <c r="H304">
        <v>74400</v>
      </c>
      <c r="I304">
        <v>11332.650900000001</v>
      </c>
      <c r="J304" s="2" t="s">
        <v>39</v>
      </c>
    </row>
    <row r="305" spans="1:10" x14ac:dyDescent="0.35">
      <c r="A305" s="1">
        <v>45025</v>
      </c>
      <c r="B305" s="2" t="s">
        <v>31</v>
      </c>
      <c r="C305" s="2" t="s">
        <v>16</v>
      </c>
      <c r="D305" s="2" t="s">
        <v>17</v>
      </c>
      <c r="E305" s="2" t="s">
        <v>18</v>
      </c>
      <c r="F305">
        <v>999</v>
      </c>
      <c r="G305">
        <v>175</v>
      </c>
      <c r="H305">
        <v>174825</v>
      </c>
      <c r="I305">
        <v>23042.8361</v>
      </c>
      <c r="J305" s="2" t="s">
        <v>39</v>
      </c>
    </row>
    <row r="306" spans="1:10" x14ac:dyDescent="0.35">
      <c r="A306" s="1">
        <v>45025</v>
      </c>
      <c r="B306" s="2" t="s">
        <v>34</v>
      </c>
      <c r="C306" s="2" t="s">
        <v>23</v>
      </c>
      <c r="D306" s="2" t="s">
        <v>12</v>
      </c>
      <c r="E306" s="2" t="s">
        <v>33</v>
      </c>
      <c r="F306">
        <v>155</v>
      </c>
      <c r="G306">
        <v>151</v>
      </c>
      <c r="H306">
        <v>23405</v>
      </c>
      <c r="I306">
        <v>2264.9982</v>
      </c>
      <c r="J306" s="2" t="s">
        <v>39</v>
      </c>
    </row>
    <row r="307" spans="1:10" x14ac:dyDescent="0.35">
      <c r="A307" s="1">
        <v>45025</v>
      </c>
      <c r="B307" s="2" t="s">
        <v>36</v>
      </c>
      <c r="C307" s="2" t="s">
        <v>20</v>
      </c>
      <c r="D307" s="2" t="s">
        <v>12</v>
      </c>
      <c r="E307" s="2" t="s">
        <v>22</v>
      </c>
      <c r="F307">
        <v>848</v>
      </c>
      <c r="G307">
        <v>164</v>
      </c>
      <c r="H307">
        <v>139072</v>
      </c>
      <c r="I307">
        <v>15328.243899999999</v>
      </c>
      <c r="J307" s="2" t="s">
        <v>39</v>
      </c>
    </row>
    <row r="308" spans="1:10" x14ac:dyDescent="0.35">
      <c r="A308" s="1">
        <v>45025</v>
      </c>
      <c r="B308" s="2" t="s">
        <v>26</v>
      </c>
      <c r="C308" s="2" t="s">
        <v>27</v>
      </c>
      <c r="D308" s="2" t="s">
        <v>30</v>
      </c>
      <c r="E308" s="2" t="s">
        <v>24</v>
      </c>
      <c r="F308">
        <v>195</v>
      </c>
      <c r="G308">
        <v>402</v>
      </c>
      <c r="H308">
        <v>78390</v>
      </c>
      <c r="I308">
        <v>11101.4941</v>
      </c>
      <c r="J308" s="2" t="s">
        <v>39</v>
      </c>
    </row>
    <row r="309" spans="1:10" x14ac:dyDescent="0.35">
      <c r="A309" s="1">
        <v>45026</v>
      </c>
      <c r="B309" s="2" t="s">
        <v>15</v>
      </c>
      <c r="C309" s="2" t="s">
        <v>16</v>
      </c>
      <c r="D309" s="2" t="s">
        <v>17</v>
      </c>
      <c r="E309" s="2" t="s">
        <v>35</v>
      </c>
      <c r="F309">
        <v>611</v>
      </c>
      <c r="G309">
        <v>180</v>
      </c>
      <c r="H309">
        <v>109980</v>
      </c>
      <c r="I309">
        <v>11718.1538</v>
      </c>
      <c r="J309" s="2" t="s">
        <v>39</v>
      </c>
    </row>
    <row r="310" spans="1:10" x14ac:dyDescent="0.35">
      <c r="A310" s="1">
        <v>45026</v>
      </c>
      <c r="B310" s="2" t="s">
        <v>25</v>
      </c>
      <c r="C310" s="2" t="s">
        <v>27</v>
      </c>
      <c r="D310" s="2" t="s">
        <v>12</v>
      </c>
      <c r="E310" s="2" t="s">
        <v>22</v>
      </c>
      <c r="F310">
        <v>276</v>
      </c>
      <c r="G310">
        <v>453</v>
      </c>
      <c r="H310">
        <v>125028</v>
      </c>
      <c r="I310">
        <v>26916.331699999999</v>
      </c>
      <c r="J310" s="2" t="s">
        <v>39</v>
      </c>
    </row>
    <row r="311" spans="1:10" x14ac:dyDescent="0.35">
      <c r="A311" s="1">
        <v>45027</v>
      </c>
      <c r="B311" s="2" t="s">
        <v>19</v>
      </c>
      <c r="C311" s="2" t="s">
        <v>16</v>
      </c>
      <c r="D311" s="2" t="s">
        <v>21</v>
      </c>
      <c r="E311" s="2" t="s">
        <v>28</v>
      </c>
      <c r="F311">
        <v>201</v>
      </c>
      <c r="G311">
        <v>207</v>
      </c>
      <c r="H311">
        <v>41607</v>
      </c>
      <c r="I311">
        <v>3990.5337</v>
      </c>
      <c r="J311" s="2" t="s">
        <v>39</v>
      </c>
    </row>
    <row r="312" spans="1:10" x14ac:dyDescent="0.35">
      <c r="A312" s="1">
        <v>45027</v>
      </c>
      <c r="B312" s="2" t="s">
        <v>19</v>
      </c>
      <c r="C312" s="2" t="s">
        <v>29</v>
      </c>
      <c r="D312" s="2" t="s">
        <v>30</v>
      </c>
      <c r="E312" s="2" t="s">
        <v>32</v>
      </c>
      <c r="F312">
        <v>324</v>
      </c>
      <c r="G312">
        <v>470</v>
      </c>
      <c r="H312">
        <v>152280</v>
      </c>
      <c r="I312">
        <v>13451.701300000001</v>
      </c>
      <c r="J312" s="2" t="s">
        <v>39</v>
      </c>
    </row>
    <row r="313" spans="1:10" x14ac:dyDescent="0.35">
      <c r="A313" s="1">
        <v>45028</v>
      </c>
      <c r="B313" s="2" t="s">
        <v>10</v>
      </c>
      <c r="C313" s="2" t="s">
        <v>20</v>
      </c>
      <c r="D313" s="2" t="s">
        <v>12</v>
      </c>
      <c r="E313" s="2" t="s">
        <v>18</v>
      </c>
      <c r="F313">
        <v>998</v>
      </c>
      <c r="G313">
        <v>144</v>
      </c>
      <c r="H313">
        <v>143712</v>
      </c>
      <c r="I313">
        <v>33251.976799999997</v>
      </c>
      <c r="J313" s="2" t="s">
        <v>39</v>
      </c>
    </row>
    <row r="314" spans="1:10" x14ac:dyDescent="0.35">
      <c r="A314" s="1">
        <v>45028</v>
      </c>
      <c r="B314" s="2" t="s">
        <v>36</v>
      </c>
      <c r="C314" s="2" t="s">
        <v>27</v>
      </c>
      <c r="D314" s="2" t="s">
        <v>30</v>
      </c>
      <c r="E314" s="2" t="s">
        <v>33</v>
      </c>
      <c r="F314">
        <v>201</v>
      </c>
      <c r="G314">
        <v>240</v>
      </c>
      <c r="H314">
        <v>48240</v>
      </c>
      <c r="I314">
        <v>6818.7449999999999</v>
      </c>
      <c r="J314" s="2" t="s">
        <v>39</v>
      </c>
    </row>
    <row r="315" spans="1:10" x14ac:dyDescent="0.35">
      <c r="A315" s="1">
        <v>45028</v>
      </c>
      <c r="B315" s="2" t="s">
        <v>25</v>
      </c>
      <c r="C315" s="2" t="s">
        <v>20</v>
      </c>
      <c r="D315" s="2" t="s">
        <v>30</v>
      </c>
      <c r="E315" s="2" t="s">
        <v>18</v>
      </c>
      <c r="F315">
        <v>372</v>
      </c>
      <c r="G315">
        <v>484</v>
      </c>
      <c r="H315">
        <v>180048</v>
      </c>
      <c r="I315">
        <v>19452.553800000002</v>
      </c>
      <c r="J315" s="2" t="s">
        <v>39</v>
      </c>
    </row>
    <row r="316" spans="1:10" x14ac:dyDescent="0.35">
      <c r="A316" s="1">
        <v>45029</v>
      </c>
      <c r="B316" s="2" t="s">
        <v>19</v>
      </c>
      <c r="C316" s="2" t="s">
        <v>23</v>
      </c>
      <c r="D316" s="2" t="s">
        <v>21</v>
      </c>
      <c r="E316" s="2" t="s">
        <v>33</v>
      </c>
      <c r="F316">
        <v>96</v>
      </c>
      <c r="G316">
        <v>206</v>
      </c>
      <c r="H316">
        <v>19776</v>
      </c>
      <c r="I316">
        <v>1802.1659</v>
      </c>
      <c r="J316" s="2" t="s">
        <v>39</v>
      </c>
    </row>
    <row r="317" spans="1:10" x14ac:dyDescent="0.35">
      <c r="A317" s="1">
        <v>45029</v>
      </c>
      <c r="B317" s="2" t="s">
        <v>10</v>
      </c>
      <c r="C317" s="2" t="s">
        <v>11</v>
      </c>
      <c r="D317" s="2" t="s">
        <v>12</v>
      </c>
      <c r="E317" s="2" t="s">
        <v>32</v>
      </c>
      <c r="F317">
        <v>736</v>
      </c>
      <c r="G317">
        <v>117</v>
      </c>
      <c r="H317">
        <v>86112</v>
      </c>
      <c r="I317">
        <v>8186.5093999999999</v>
      </c>
      <c r="J317" s="2" t="s">
        <v>39</v>
      </c>
    </row>
    <row r="318" spans="1:10" x14ac:dyDescent="0.35">
      <c r="A318" s="1">
        <v>45030</v>
      </c>
      <c r="B318" s="2" t="s">
        <v>31</v>
      </c>
      <c r="C318" s="2" t="s">
        <v>27</v>
      </c>
      <c r="D318" s="2" t="s">
        <v>30</v>
      </c>
      <c r="E318" s="2" t="s">
        <v>22</v>
      </c>
      <c r="F318">
        <v>444</v>
      </c>
      <c r="G318">
        <v>498</v>
      </c>
      <c r="H318">
        <v>221112</v>
      </c>
      <c r="I318">
        <v>24951.167300000001</v>
      </c>
      <c r="J318" s="2" t="s">
        <v>39</v>
      </c>
    </row>
    <row r="319" spans="1:10" x14ac:dyDescent="0.35">
      <c r="A319" s="1">
        <v>45030</v>
      </c>
      <c r="B319" s="2" t="s">
        <v>15</v>
      </c>
      <c r="C319" s="2" t="s">
        <v>27</v>
      </c>
      <c r="D319" s="2" t="s">
        <v>17</v>
      </c>
      <c r="E319" s="2" t="s">
        <v>22</v>
      </c>
      <c r="F319">
        <v>671</v>
      </c>
      <c r="G319">
        <v>470</v>
      </c>
      <c r="H319">
        <v>315370</v>
      </c>
      <c r="I319">
        <v>37081.468999999997</v>
      </c>
      <c r="J319" s="2" t="s">
        <v>39</v>
      </c>
    </row>
    <row r="320" spans="1:10" x14ac:dyDescent="0.35">
      <c r="A320" s="1">
        <v>45030</v>
      </c>
      <c r="B320" s="2" t="s">
        <v>36</v>
      </c>
      <c r="C320" s="2" t="s">
        <v>29</v>
      </c>
      <c r="D320" s="2" t="s">
        <v>21</v>
      </c>
      <c r="E320" s="2" t="s">
        <v>32</v>
      </c>
      <c r="F320">
        <v>175</v>
      </c>
      <c r="G320">
        <v>238</v>
      </c>
      <c r="H320">
        <v>41650</v>
      </c>
      <c r="I320">
        <v>6649.3292000000001</v>
      </c>
      <c r="J320" s="2" t="s">
        <v>39</v>
      </c>
    </row>
    <row r="321" spans="1:10" x14ac:dyDescent="0.35">
      <c r="A321" s="1">
        <v>45030</v>
      </c>
      <c r="B321" s="2" t="s">
        <v>15</v>
      </c>
      <c r="C321" s="2" t="s">
        <v>16</v>
      </c>
      <c r="D321" s="2" t="s">
        <v>21</v>
      </c>
      <c r="E321" s="2" t="s">
        <v>35</v>
      </c>
      <c r="F321">
        <v>709</v>
      </c>
      <c r="G321">
        <v>299</v>
      </c>
      <c r="H321">
        <v>211991</v>
      </c>
      <c r="I321">
        <v>48325.6806</v>
      </c>
      <c r="J321" s="2" t="s">
        <v>39</v>
      </c>
    </row>
    <row r="322" spans="1:10" x14ac:dyDescent="0.35">
      <c r="A322" s="1">
        <v>45030</v>
      </c>
      <c r="B322" s="2" t="s">
        <v>31</v>
      </c>
      <c r="C322" s="2" t="s">
        <v>16</v>
      </c>
      <c r="D322" s="2" t="s">
        <v>21</v>
      </c>
      <c r="E322" s="2" t="s">
        <v>13</v>
      </c>
      <c r="F322">
        <v>345</v>
      </c>
      <c r="G322">
        <v>222</v>
      </c>
      <c r="H322">
        <v>76590</v>
      </c>
      <c r="I322">
        <v>8175.7840999999999</v>
      </c>
      <c r="J322" s="2" t="s">
        <v>39</v>
      </c>
    </row>
    <row r="323" spans="1:10" x14ac:dyDescent="0.35">
      <c r="A323" s="1">
        <v>45031</v>
      </c>
      <c r="B323" s="2" t="s">
        <v>10</v>
      </c>
      <c r="C323" s="2" t="s">
        <v>27</v>
      </c>
      <c r="D323" s="2" t="s">
        <v>17</v>
      </c>
      <c r="E323" s="2" t="s">
        <v>13</v>
      </c>
      <c r="F323">
        <v>602</v>
      </c>
      <c r="G323">
        <v>135</v>
      </c>
      <c r="H323">
        <v>81270</v>
      </c>
      <c r="I323">
        <v>7733.5703999999996</v>
      </c>
      <c r="J323" s="2" t="s">
        <v>39</v>
      </c>
    </row>
    <row r="324" spans="1:10" x14ac:dyDescent="0.35">
      <c r="A324" s="1">
        <v>45031</v>
      </c>
      <c r="B324" s="2" t="s">
        <v>25</v>
      </c>
      <c r="C324" s="2" t="s">
        <v>20</v>
      </c>
      <c r="D324" s="2" t="s">
        <v>21</v>
      </c>
      <c r="E324" s="2" t="s">
        <v>18</v>
      </c>
      <c r="F324">
        <v>626</v>
      </c>
      <c r="G324">
        <v>448</v>
      </c>
      <c r="H324">
        <v>280448</v>
      </c>
      <c r="I324">
        <v>67465.247300000003</v>
      </c>
      <c r="J324" s="2" t="s">
        <v>39</v>
      </c>
    </row>
    <row r="325" spans="1:10" x14ac:dyDescent="0.35">
      <c r="A325" s="1">
        <v>45031</v>
      </c>
      <c r="B325" s="2" t="s">
        <v>34</v>
      </c>
      <c r="C325" s="2" t="s">
        <v>16</v>
      </c>
      <c r="D325" s="2" t="s">
        <v>30</v>
      </c>
      <c r="E325" s="2" t="s">
        <v>33</v>
      </c>
      <c r="F325">
        <v>532</v>
      </c>
      <c r="G325">
        <v>140</v>
      </c>
      <c r="H325">
        <v>74480</v>
      </c>
      <c r="I325">
        <v>16997.2333</v>
      </c>
      <c r="J325" s="2" t="s">
        <v>39</v>
      </c>
    </row>
    <row r="326" spans="1:10" x14ac:dyDescent="0.35">
      <c r="A326" s="1">
        <v>45031</v>
      </c>
      <c r="B326" s="2" t="s">
        <v>25</v>
      </c>
      <c r="C326" s="2" t="s">
        <v>29</v>
      </c>
      <c r="D326" s="2" t="s">
        <v>21</v>
      </c>
      <c r="E326" s="2" t="s">
        <v>13</v>
      </c>
      <c r="F326">
        <v>447</v>
      </c>
      <c r="G326">
        <v>288</v>
      </c>
      <c r="H326">
        <v>128736</v>
      </c>
      <c r="I326">
        <v>24074.784199999998</v>
      </c>
      <c r="J326" s="2" t="s">
        <v>39</v>
      </c>
    </row>
    <row r="327" spans="1:10" x14ac:dyDescent="0.35">
      <c r="A327" s="1">
        <v>45032</v>
      </c>
      <c r="B327" s="2" t="s">
        <v>34</v>
      </c>
      <c r="C327" s="2" t="s">
        <v>16</v>
      </c>
      <c r="D327" s="2" t="s">
        <v>21</v>
      </c>
      <c r="E327" s="2" t="s">
        <v>24</v>
      </c>
      <c r="F327">
        <v>354</v>
      </c>
      <c r="G327">
        <v>484</v>
      </c>
      <c r="H327">
        <v>171336</v>
      </c>
      <c r="I327">
        <v>23895.8014</v>
      </c>
      <c r="J327" s="2" t="s">
        <v>39</v>
      </c>
    </row>
    <row r="328" spans="1:10" x14ac:dyDescent="0.35">
      <c r="A328" s="1">
        <v>45032</v>
      </c>
      <c r="B328" s="2" t="s">
        <v>34</v>
      </c>
      <c r="C328" s="2" t="s">
        <v>27</v>
      </c>
      <c r="D328" s="2" t="s">
        <v>12</v>
      </c>
      <c r="E328" s="2" t="s">
        <v>33</v>
      </c>
      <c r="F328">
        <v>266</v>
      </c>
      <c r="G328">
        <v>431</v>
      </c>
      <c r="H328">
        <v>114646</v>
      </c>
      <c r="I328">
        <v>27007.617999999999</v>
      </c>
      <c r="J328" s="2" t="s">
        <v>39</v>
      </c>
    </row>
    <row r="329" spans="1:10" x14ac:dyDescent="0.35">
      <c r="A329" s="1">
        <v>45033</v>
      </c>
      <c r="B329" s="2" t="s">
        <v>10</v>
      </c>
      <c r="C329" s="2" t="s">
        <v>20</v>
      </c>
      <c r="D329" s="2" t="s">
        <v>12</v>
      </c>
      <c r="E329" s="2" t="s">
        <v>35</v>
      </c>
      <c r="F329">
        <v>663</v>
      </c>
      <c r="G329">
        <v>374</v>
      </c>
      <c r="H329">
        <v>247962</v>
      </c>
      <c r="I329">
        <v>52242.788</v>
      </c>
      <c r="J329" s="2" t="s">
        <v>39</v>
      </c>
    </row>
    <row r="330" spans="1:10" x14ac:dyDescent="0.35">
      <c r="A330" s="1">
        <v>45034</v>
      </c>
      <c r="B330" s="2" t="s">
        <v>19</v>
      </c>
      <c r="C330" s="2" t="s">
        <v>20</v>
      </c>
      <c r="D330" s="2" t="s">
        <v>12</v>
      </c>
      <c r="E330" s="2" t="s">
        <v>24</v>
      </c>
      <c r="F330">
        <v>396</v>
      </c>
      <c r="G330">
        <v>414</v>
      </c>
      <c r="H330">
        <v>163944</v>
      </c>
      <c r="I330">
        <v>30659.388299999999</v>
      </c>
      <c r="J330" s="2" t="s">
        <v>39</v>
      </c>
    </row>
    <row r="331" spans="1:10" x14ac:dyDescent="0.35">
      <c r="A331" s="1">
        <v>45034</v>
      </c>
      <c r="B331" s="2" t="s">
        <v>34</v>
      </c>
      <c r="C331" s="2" t="s">
        <v>16</v>
      </c>
      <c r="D331" s="2" t="s">
        <v>21</v>
      </c>
      <c r="E331" s="2" t="s">
        <v>18</v>
      </c>
      <c r="F331">
        <v>879</v>
      </c>
      <c r="G331">
        <v>472</v>
      </c>
      <c r="H331">
        <v>414888</v>
      </c>
      <c r="I331">
        <v>45502.606699999997</v>
      </c>
      <c r="J331" s="2" t="s">
        <v>39</v>
      </c>
    </row>
    <row r="332" spans="1:10" x14ac:dyDescent="0.35">
      <c r="A332" s="1">
        <v>45035</v>
      </c>
      <c r="B332" s="2" t="s">
        <v>19</v>
      </c>
      <c r="C332" s="2" t="s">
        <v>20</v>
      </c>
      <c r="D332" s="2" t="s">
        <v>17</v>
      </c>
      <c r="E332" s="2" t="s">
        <v>22</v>
      </c>
      <c r="F332">
        <v>338</v>
      </c>
      <c r="G332">
        <v>129</v>
      </c>
      <c r="H332">
        <v>43602</v>
      </c>
      <c r="I332">
        <v>6974.4065000000001</v>
      </c>
      <c r="J332" s="2" t="s">
        <v>39</v>
      </c>
    </row>
    <row r="333" spans="1:10" x14ac:dyDescent="0.35">
      <c r="A333" s="1">
        <v>45035</v>
      </c>
      <c r="B333" s="2" t="s">
        <v>26</v>
      </c>
      <c r="C333" s="2" t="s">
        <v>11</v>
      </c>
      <c r="D333" s="2" t="s">
        <v>30</v>
      </c>
      <c r="E333" s="2" t="s">
        <v>24</v>
      </c>
      <c r="F333">
        <v>978</v>
      </c>
      <c r="G333">
        <v>338</v>
      </c>
      <c r="H333">
        <v>330564</v>
      </c>
      <c r="I333">
        <v>78780.660300000003</v>
      </c>
      <c r="J333" s="2" t="s">
        <v>39</v>
      </c>
    </row>
    <row r="334" spans="1:10" x14ac:dyDescent="0.35">
      <c r="A334" s="1">
        <v>45035</v>
      </c>
      <c r="B334" s="2" t="s">
        <v>36</v>
      </c>
      <c r="C334" s="2" t="s">
        <v>20</v>
      </c>
      <c r="D334" s="2" t="s">
        <v>17</v>
      </c>
      <c r="E334" s="2" t="s">
        <v>24</v>
      </c>
      <c r="F334">
        <v>805</v>
      </c>
      <c r="G334">
        <v>189</v>
      </c>
      <c r="H334">
        <v>152145</v>
      </c>
      <c r="I334">
        <v>34725.3776</v>
      </c>
      <c r="J334" s="2" t="s">
        <v>39</v>
      </c>
    </row>
    <row r="335" spans="1:10" x14ac:dyDescent="0.35">
      <c r="A335" s="1">
        <v>45035</v>
      </c>
      <c r="B335" s="2" t="s">
        <v>31</v>
      </c>
      <c r="C335" s="2" t="s">
        <v>29</v>
      </c>
      <c r="D335" s="2" t="s">
        <v>12</v>
      </c>
      <c r="E335" s="2" t="s">
        <v>32</v>
      </c>
      <c r="F335">
        <v>869</v>
      </c>
      <c r="G335">
        <v>240</v>
      </c>
      <c r="H335">
        <v>208560</v>
      </c>
      <c r="I335">
        <v>31099.734700000001</v>
      </c>
      <c r="J335" s="2" t="s">
        <v>39</v>
      </c>
    </row>
    <row r="336" spans="1:10" x14ac:dyDescent="0.35">
      <c r="A336" s="1">
        <v>45035</v>
      </c>
      <c r="B336" s="2" t="s">
        <v>25</v>
      </c>
      <c r="C336" s="2" t="s">
        <v>27</v>
      </c>
      <c r="D336" s="2" t="s">
        <v>17</v>
      </c>
      <c r="E336" s="2" t="s">
        <v>28</v>
      </c>
      <c r="F336">
        <v>282</v>
      </c>
      <c r="G336">
        <v>212</v>
      </c>
      <c r="H336">
        <v>59784</v>
      </c>
      <c r="I336">
        <v>7739.9854999999998</v>
      </c>
      <c r="J336" s="2" t="s">
        <v>39</v>
      </c>
    </row>
    <row r="337" spans="1:10" x14ac:dyDescent="0.35">
      <c r="A337" s="1">
        <v>45037</v>
      </c>
      <c r="B337" s="2" t="s">
        <v>31</v>
      </c>
      <c r="C337" s="2" t="s">
        <v>27</v>
      </c>
      <c r="D337" s="2" t="s">
        <v>21</v>
      </c>
      <c r="E337" s="2" t="s">
        <v>13</v>
      </c>
      <c r="F337">
        <v>809</v>
      </c>
      <c r="G337">
        <v>290</v>
      </c>
      <c r="H337">
        <v>234610</v>
      </c>
      <c r="I337">
        <v>23628.194599999999</v>
      </c>
      <c r="J337" s="2" t="s">
        <v>39</v>
      </c>
    </row>
    <row r="338" spans="1:10" x14ac:dyDescent="0.35">
      <c r="A338" s="1">
        <v>45037</v>
      </c>
      <c r="B338" s="2" t="s">
        <v>15</v>
      </c>
      <c r="C338" s="2" t="s">
        <v>27</v>
      </c>
      <c r="D338" s="2" t="s">
        <v>12</v>
      </c>
      <c r="E338" s="2" t="s">
        <v>22</v>
      </c>
      <c r="F338">
        <v>682</v>
      </c>
      <c r="G338">
        <v>355</v>
      </c>
      <c r="H338">
        <v>242110</v>
      </c>
      <c r="I338">
        <v>30116.466899999999</v>
      </c>
      <c r="J338" s="2" t="s">
        <v>39</v>
      </c>
    </row>
    <row r="339" spans="1:10" x14ac:dyDescent="0.35">
      <c r="A339" s="1">
        <v>45037</v>
      </c>
      <c r="B339" s="2" t="s">
        <v>25</v>
      </c>
      <c r="C339" s="2" t="s">
        <v>27</v>
      </c>
      <c r="D339" s="2" t="s">
        <v>12</v>
      </c>
      <c r="E339" s="2" t="s">
        <v>22</v>
      </c>
      <c r="F339">
        <v>837</v>
      </c>
      <c r="G339">
        <v>347</v>
      </c>
      <c r="H339">
        <v>290439</v>
      </c>
      <c r="I339">
        <v>49472.714800000002</v>
      </c>
      <c r="J339" s="2" t="s">
        <v>39</v>
      </c>
    </row>
    <row r="340" spans="1:10" x14ac:dyDescent="0.35">
      <c r="A340" s="1">
        <v>45037</v>
      </c>
      <c r="B340" s="2" t="s">
        <v>34</v>
      </c>
      <c r="C340" s="2" t="s">
        <v>16</v>
      </c>
      <c r="D340" s="2" t="s">
        <v>17</v>
      </c>
      <c r="E340" s="2" t="s">
        <v>18</v>
      </c>
      <c r="F340">
        <v>294</v>
      </c>
      <c r="G340">
        <v>343</v>
      </c>
      <c r="H340">
        <v>100842</v>
      </c>
      <c r="I340">
        <v>18126.1423</v>
      </c>
      <c r="J340" s="2" t="s">
        <v>39</v>
      </c>
    </row>
    <row r="341" spans="1:10" x14ac:dyDescent="0.35">
      <c r="A341" s="1">
        <v>45037</v>
      </c>
      <c r="B341" s="2" t="s">
        <v>15</v>
      </c>
      <c r="C341" s="2" t="s">
        <v>20</v>
      </c>
      <c r="D341" s="2" t="s">
        <v>17</v>
      </c>
      <c r="E341" s="2" t="s">
        <v>22</v>
      </c>
      <c r="F341">
        <v>804</v>
      </c>
      <c r="G341">
        <v>202</v>
      </c>
      <c r="H341">
        <v>162408</v>
      </c>
      <c r="I341">
        <v>18680.775600000001</v>
      </c>
      <c r="J341" s="2" t="s">
        <v>39</v>
      </c>
    </row>
    <row r="342" spans="1:10" x14ac:dyDescent="0.35">
      <c r="A342" s="1">
        <v>45037</v>
      </c>
      <c r="B342" s="2" t="s">
        <v>31</v>
      </c>
      <c r="C342" s="2" t="s">
        <v>20</v>
      </c>
      <c r="D342" s="2" t="s">
        <v>21</v>
      </c>
      <c r="E342" s="2" t="s">
        <v>18</v>
      </c>
      <c r="F342">
        <v>464</v>
      </c>
      <c r="G342">
        <v>115</v>
      </c>
      <c r="H342">
        <v>53360</v>
      </c>
      <c r="I342">
        <v>7478.1540999999997</v>
      </c>
      <c r="J342" s="2" t="s">
        <v>39</v>
      </c>
    </row>
    <row r="343" spans="1:10" x14ac:dyDescent="0.35">
      <c r="A343" s="1">
        <v>45038</v>
      </c>
      <c r="B343" s="2" t="s">
        <v>19</v>
      </c>
      <c r="C343" s="2" t="s">
        <v>20</v>
      </c>
      <c r="D343" s="2" t="s">
        <v>21</v>
      </c>
      <c r="E343" s="2" t="s">
        <v>28</v>
      </c>
      <c r="F343">
        <v>968</v>
      </c>
      <c r="G343">
        <v>366</v>
      </c>
      <c r="H343">
        <v>354288</v>
      </c>
      <c r="I343">
        <v>61608.902099999999</v>
      </c>
      <c r="J343" s="2" t="s">
        <v>39</v>
      </c>
    </row>
    <row r="344" spans="1:10" x14ac:dyDescent="0.35">
      <c r="A344" s="1">
        <v>45038</v>
      </c>
      <c r="B344" s="2" t="s">
        <v>34</v>
      </c>
      <c r="C344" s="2" t="s">
        <v>16</v>
      </c>
      <c r="D344" s="2" t="s">
        <v>12</v>
      </c>
      <c r="E344" s="2" t="s">
        <v>13</v>
      </c>
      <c r="F344">
        <v>289</v>
      </c>
      <c r="G344">
        <v>336</v>
      </c>
      <c r="H344">
        <v>97104</v>
      </c>
      <c r="I344">
        <v>10736.134</v>
      </c>
      <c r="J344" s="2" t="s">
        <v>39</v>
      </c>
    </row>
    <row r="345" spans="1:10" x14ac:dyDescent="0.35">
      <c r="A345" s="1">
        <v>45039</v>
      </c>
      <c r="B345" s="2" t="s">
        <v>25</v>
      </c>
      <c r="C345" s="2" t="s">
        <v>20</v>
      </c>
      <c r="D345" s="2" t="s">
        <v>30</v>
      </c>
      <c r="E345" s="2" t="s">
        <v>32</v>
      </c>
      <c r="F345">
        <v>679</v>
      </c>
      <c r="G345">
        <v>205</v>
      </c>
      <c r="H345">
        <v>139195</v>
      </c>
      <c r="I345">
        <v>23567.539400000001</v>
      </c>
      <c r="J345" s="2" t="s">
        <v>39</v>
      </c>
    </row>
    <row r="346" spans="1:10" x14ac:dyDescent="0.35">
      <c r="A346" s="1">
        <v>45039</v>
      </c>
      <c r="B346" s="2" t="s">
        <v>10</v>
      </c>
      <c r="C346" s="2" t="s">
        <v>16</v>
      </c>
      <c r="D346" s="2" t="s">
        <v>30</v>
      </c>
      <c r="E346" s="2" t="s">
        <v>22</v>
      </c>
      <c r="F346">
        <v>461</v>
      </c>
      <c r="G346">
        <v>370</v>
      </c>
      <c r="H346">
        <v>170570</v>
      </c>
      <c r="I346">
        <v>14665.865900000001</v>
      </c>
      <c r="J346" s="2" t="s">
        <v>39</v>
      </c>
    </row>
    <row r="347" spans="1:10" x14ac:dyDescent="0.35">
      <c r="A347" s="1">
        <v>45039</v>
      </c>
      <c r="B347" s="2" t="s">
        <v>25</v>
      </c>
      <c r="C347" s="2" t="s">
        <v>27</v>
      </c>
      <c r="D347" s="2" t="s">
        <v>30</v>
      </c>
      <c r="E347" s="2" t="s">
        <v>28</v>
      </c>
      <c r="F347">
        <v>424</v>
      </c>
      <c r="G347">
        <v>141</v>
      </c>
      <c r="H347">
        <v>59784</v>
      </c>
      <c r="I347">
        <v>10270.9071</v>
      </c>
      <c r="J347" s="2" t="s">
        <v>39</v>
      </c>
    </row>
    <row r="348" spans="1:10" x14ac:dyDescent="0.35">
      <c r="A348" s="1">
        <v>45039</v>
      </c>
      <c r="B348" s="2" t="s">
        <v>31</v>
      </c>
      <c r="C348" s="2" t="s">
        <v>29</v>
      </c>
      <c r="D348" s="2" t="s">
        <v>12</v>
      </c>
      <c r="E348" s="2" t="s">
        <v>18</v>
      </c>
      <c r="F348">
        <v>273</v>
      </c>
      <c r="G348">
        <v>451</v>
      </c>
      <c r="H348">
        <v>123123</v>
      </c>
      <c r="I348">
        <v>24479.3403</v>
      </c>
      <c r="J348" s="2" t="s">
        <v>39</v>
      </c>
    </row>
    <row r="349" spans="1:10" x14ac:dyDescent="0.35">
      <c r="A349" s="1">
        <v>45039</v>
      </c>
      <c r="B349" s="2" t="s">
        <v>36</v>
      </c>
      <c r="C349" s="2" t="s">
        <v>11</v>
      </c>
      <c r="D349" s="2" t="s">
        <v>17</v>
      </c>
      <c r="E349" s="2" t="s">
        <v>32</v>
      </c>
      <c r="F349">
        <v>843</v>
      </c>
      <c r="G349">
        <v>352</v>
      </c>
      <c r="H349">
        <v>296736</v>
      </c>
      <c r="I349">
        <v>25753.035500000002</v>
      </c>
      <c r="J349" s="2" t="s">
        <v>39</v>
      </c>
    </row>
    <row r="350" spans="1:10" x14ac:dyDescent="0.35">
      <c r="A350" s="1">
        <v>45039</v>
      </c>
      <c r="B350" s="2" t="s">
        <v>26</v>
      </c>
      <c r="C350" s="2" t="s">
        <v>16</v>
      </c>
      <c r="D350" s="2" t="s">
        <v>12</v>
      </c>
      <c r="E350" s="2" t="s">
        <v>28</v>
      </c>
      <c r="F350">
        <v>436</v>
      </c>
      <c r="G350">
        <v>364</v>
      </c>
      <c r="H350">
        <v>158704</v>
      </c>
      <c r="I350">
        <v>38775.488700000002</v>
      </c>
      <c r="J350" s="2" t="s">
        <v>39</v>
      </c>
    </row>
    <row r="351" spans="1:10" x14ac:dyDescent="0.35">
      <c r="A351" s="1">
        <v>45040</v>
      </c>
      <c r="B351" s="2" t="s">
        <v>26</v>
      </c>
      <c r="C351" s="2" t="s">
        <v>27</v>
      </c>
      <c r="D351" s="2" t="s">
        <v>17</v>
      </c>
      <c r="E351" s="2" t="s">
        <v>33</v>
      </c>
      <c r="F351">
        <v>711</v>
      </c>
      <c r="G351">
        <v>160</v>
      </c>
      <c r="H351">
        <v>113760</v>
      </c>
      <c r="I351">
        <v>16738.7922</v>
      </c>
      <c r="J351" s="2" t="s">
        <v>39</v>
      </c>
    </row>
    <row r="352" spans="1:10" x14ac:dyDescent="0.35">
      <c r="A352" s="1">
        <v>45040</v>
      </c>
      <c r="B352" s="2" t="s">
        <v>31</v>
      </c>
      <c r="C352" s="2" t="s">
        <v>29</v>
      </c>
      <c r="D352" s="2" t="s">
        <v>30</v>
      </c>
      <c r="E352" s="2" t="s">
        <v>35</v>
      </c>
      <c r="F352">
        <v>701</v>
      </c>
      <c r="G352">
        <v>329</v>
      </c>
      <c r="H352">
        <v>230629</v>
      </c>
      <c r="I352">
        <v>30058.058199999999</v>
      </c>
      <c r="J352" s="2" t="s">
        <v>39</v>
      </c>
    </row>
    <row r="353" spans="1:10" x14ac:dyDescent="0.35">
      <c r="A353" s="1">
        <v>45040</v>
      </c>
      <c r="B353" s="2" t="s">
        <v>10</v>
      </c>
      <c r="C353" s="2" t="s">
        <v>29</v>
      </c>
      <c r="D353" s="2" t="s">
        <v>30</v>
      </c>
      <c r="E353" s="2" t="s">
        <v>28</v>
      </c>
      <c r="F353">
        <v>149</v>
      </c>
      <c r="G353">
        <v>185</v>
      </c>
      <c r="H353">
        <v>27565</v>
      </c>
      <c r="I353">
        <v>5695.9615000000003</v>
      </c>
      <c r="J353" s="2" t="s">
        <v>39</v>
      </c>
    </row>
    <row r="354" spans="1:10" x14ac:dyDescent="0.35">
      <c r="A354" s="1">
        <v>45040</v>
      </c>
      <c r="B354" s="2" t="s">
        <v>19</v>
      </c>
      <c r="C354" s="2" t="s">
        <v>11</v>
      </c>
      <c r="D354" s="2" t="s">
        <v>21</v>
      </c>
      <c r="E354" s="2" t="s">
        <v>18</v>
      </c>
      <c r="F354">
        <v>867</v>
      </c>
      <c r="G354">
        <v>303</v>
      </c>
      <c r="H354">
        <v>262701</v>
      </c>
      <c r="I354">
        <v>64228.2569</v>
      </c>
      <c r="J354" s="2" t="s">
        <v>39</v>
      </c>
    </row>
    <row r="355" spans="1:10" x14ac:dyDescent="0.35">
      <c r="A355" s="1">
        <v>45041</v>
      </c>
      <c r="B355" s="2" t="s">
        <v>15</v>
      </c>
      <c r="C355" s="2" t="s">
        <v>29</v>
      </c>
      <c r="D355" s="2" t="s">
        <v>17</v>
      </c>
      <c r="E355" s="2" t="s">
        <v>13</v>
      </c>
      <c r="F355">
        <v>541</v>
      </c>
      <c r="G355">
        <v>180</v>
      </c>
      <c r="H355">
        <v>97380</v>
      </c>
      <c r="I355">
        <v>15142.552299999999</v>
      </c>
      <c r="J355" s="2" t="s">
        <v>39</v>
      </c>
    </row>
    <row r="356" spans="1:10" x14ac:dyDescent="0.35">
      <c r="A356" s="1">
        <v>45041</v>
      </c>
      <c r="B356" s="2" t="s">
        <v>15</v>
      </c>
      <c r="C356" s="2" t="s">
        <v>29</v>
      </c>
      <c r="D356" s="2" t="s">
        <v>21</v>
      </c>
      <c r="E356" s="2" t="s">
        <v>22</v>
      </c>
      <c r="F356">
        <v>308</v>
      </c>
      <c r="G356">
        <v>335</v>
      </c>
      <c r="H356">
        <v>103180</v>
      </c>
      <c r="I356">
        <v>13269.5658</v>
      </c>
      <c r="J356" s="2" t="s">
        <v>39</v>
      </c>
    </row>
    <row r="357" spans="1:10" x14ac:dyDescent="0.35">
      <c r="A357" s="1">
        <v>45041</v>
      </c>
      <c r="B357" s="2" t="s">
        <v>36</v>
      </c>
      <c r="C357" s="2" t="s">
        <v>29</v>
      </c>
      <c r="D357" s="2" t="s">
        <v>17</v>
      </c>
      <c r="E357" s="2" t="s">
        <v>33</v>
      </c>
      <c r="F357">
        <v>495</v>
      </c>
      <c r="G357">
        <v>150</v>
      </c>
      <c r="H357">
        <v>74250</v>
      </c>
      <c r="I357">
        <v>13427.563</v>
      </c>
      <c r="J357" s="2" t="s">
        <v>39</v>
      </c>
    </row>
    <row r="358" spans="1:10" x14ac:dyDescent="0.35">
      <c r="A358" s="1">
        <v>45042</v>
      </c>
      <c r="B358" s="2" t="s">
        <v>36</v>
      </c>
      <c r="C358" s="2" t="s">
        <v>11</v>
      </c>
      <c r="D358" s="2" t="s">
        <v>12</v>
      </c>
      <c r="E358" s="2" t="s">
        <v>18</v>
      </c>
      <c r="F358">
        <v>308</v>
      </c>
      <c r="G358">
        <v>426</v>
      </c>
      <c r="H358">
        <v>131208</v>
      </c>
      <c r="I358">
        <v>10573.5075</v>
      </c>
      <c r="J358" s="2" t="s">
        <v>39</v>
      </c>
    </row>
    <row r="359" spans="1:10" x14ac:dyDescent="0.35">
      <c r="A359" s="1">
        <v>45042</v>
      </c>
      <c r="B359" s="2" t="s">
        <v>26</v>
      </c>
      <c r="C359" s="2" t="s">
        <v>27</v>
      </c>
      <c r="D359" s="2" t="s">
        <v>30</v>
      </c>
      <c r="E359" s="2" t="s">
        <v>33</v>
      </c>
      <c r="F359">
        <v>787</v>
      </c>
      <c r="G359">
        <v>278</v>
      </c>
      <c r="H359">
        <v>218786</v>
      </c>
      <c r="I359">
        <v>36475.283600000002</v>
      </c>
      <c r="J359" s="2" t="s">
        <v>39</v>
      </c>
    </row>
    <row r="360" spans="1:10" x14ac:dyDescent="0.35">
      <c r="A360" s="1">
        <v>45042</v>
      </c>
      <c r="B360" s="2" t="s">
        <v>19</v>
      </c>
      <c r="C360" s="2" t="s">
        <v>23</v>
      </c>
      <c r="D360" s="2" t="s">
        <v>12</v>
      </c>
      <c r="E360" s="2" t="s">
        <v>28</v>
      </c>
      <c r="F360">
        <v>839</v>
      </c>
      <c r="G360">
        <v>426</v>
      </c>
      <c r="H360">
        <v>357414</v>
      </c>
      <c r="I360">
        <v>83731.404399999999</v>
      </c>
      <c r="J360" s="2" t="s">
        <v>39</v>
      </c>
    </row>
    <row r="361" spans="1:10" x14ac:dyDescent="0.35">
      <c r="A361" s="1">
        <v>45042</v>
      </c>
      <c r="B361" s="2" t="s">
        <v>25</v>
      </c>
      <c r="C361" s="2" t="s">
        <v>20</v>
      </c>
      <c r="D361" s="2" t="s">
        <v>12</v>
      </c>
      <c r="E361" s="2" t="s">
        <v>33</v>
      </c>
      <c r="F361">
        <v>781</v>
      </c>
      <c r="G361">
        <v>211</v>
      </c>
      <c r="H361">
        <v>164791</v>
      </c>
      <c r="I361">
        <v>24619.7565</v>
      </c>
      <c r="J361" s="2" t="s">
        <v>39</v>
      </c>
    </row>
    <row r="362" spans="1:10" x14ac:dyDescent="0.35">
      <c r="A362" s="1">
        <v>45042</v>
      </c>
      <c r="B362" s="2" t="s">
        <v>26</v>
      </c>
      <c r="C362" s="2" t="s">
        <v>27</v>
      </c>
      <c r="D362" s="2" t="s">
        <v>30</v>
      </c>
      <c r="E362" s="2" t="s">
        <v>28</v>
      </c>
      <c r="F362">
        <v>997</v>
      </c>
      <c r="G362">
        <v>265</v>
      </c>
      <c r="H362">
        <v>264205</v>
      </c>
      <c r="I362">
        <v>65944.210500000001</v>
      </c>
      <c r="J362" s="2" t="s">
        <v>39</v>
      </c>
    </row>
    <row r="363" spans="1:10" x14ac:dyDescent="0.35">
      <c r="A363" s="1">
        <v>45043</v>
      </c>
      <c r="B363" s="2" t="s">
        <v>34</v>
      </c>
      <c r="C363" s="2" t="s">
        <v>27</v>
      </c>
      <c r="D363" s="2" t="s">
        <v>12</v>
      </c>
      <c r="E363" s="2" t="s">
        <v>28</v>
      </c>
      <c r="F363">
        <v>320</v>
      </c>
      <c r="G363">
        <v>201</v>
      </c>
      <c r="H363">
        <v>64320</v>
      </c>
      <c r="I363">
        <v>9188.0774000000001</v>
      </c>
      <c r="J363" s="2" t="s">
        <v>39</v>
      </c>
    </row>
    <row r="364" spans="1:10" x14ac:dyDescent="0.35">
      <c r="A364" s="1">
        <v>45043</v>
      </c>
      <c r="B364" s="2" t="s">
        <v>26</v>
      </c>
      <c r="C364" s="2" t="s">
        <v>27</v>
      </c>
      <c r="D364" s="2" t="s">
        <v>21</v>
      </c>
      <c r="E364" s="2" t="s">
        <v>35</v>
      </c>
      <c r="F364">
        <v>332</v>
      </c>
      <c r="G364">
        <v>270</v>
      </c>
      <c r="H364">
        <v>89640</v>
      </c>
      <c r="I364">
        <v>14156.6523</v>
      </c>
      <c r="J364" s="2" t="s">
        <v>39</v>
      </c>
    </row>
    <row r="365" spans="1:10" x14ac:dyDescent="0.35">
      <c r="A365" s="1">
        <v>45043</v>
      </c>
      <c r="B365" s="2" t="s">
        <v>19</v>
      </c>
      <c r="C365" s="2" t="s">
        <v>16</v>
      </c>
      <c r="D365" s="2" t="s">
        <v>17</v>
      </c>
      <c r="E365" s="2" t="s">
        <v>28</v>
      </c>
      <c r="F365">
        <v>914</v>
      </c>
      <c r="G365">
        <v>276</v>
      </c>
      <c r="H365">
        <v>252264</v>
      </c>
      <c r="I365">
        <v>34834.985500000003</v>
      </c>
      <c r="J365" s="2" t="s">
        <v>39</v>
      </c>
    </row>
    <row r="366" spans="1:10" x14ac:dyDescent="0.35">
      <c r="A366" s="1">
        <v>45044</v>
      </c>
      <c r="B366" s="2" t="s">
        <v>10</v>
      </c>
      <c r="C366" s="2" t="s">
        <v>23</v>
      </c>
      <c r="D366" s="2" t="s">
        <v>21</v>
      </c>
      <c r="E366" s="2" t="s">
        <v>35</v>
      </c>
      <c r="F366">
        <v>558</v>
      </c>
      <c r="G366">
        <v>398</v>
      </c>
      <c r="H366">
        <v>222084</v>
      </c>
      <c r="I366">
        <v>48653.970200000003</v>
      </c>
      <c r="J366" s="2" t="s">
        <v>39</v>
      </c>
    </row>
    <row r="367" spans="1:10" x14ac:dyDescent="0.35">
      <c r="A367" s="1">
        <v>45044</v>
      </c>
      <c r="B367" s="2" t="s">
        <v>36</v>
      </c>
      <c r="C367" s="2" t="s">
        <v>29</v>
      </c>
      <c r="D367" s="2" t="s">
        <v>30</v>
      </c>
      <c r="E367" s="2" t="s">
        <v>13</v>
      </c>
      <c r="F367">
        <v>416</v>
      </c>
      <c r="G367">
        <v>251</v>
      </c>
      <c r="H367">
        <v>104416</v>
      </c>
      <c r="I367">
        <v>25388.454600000001</v>
      </c>
      <c r="J367" s="2" t="s">
        <v>39</v>
      </c>
    </row>
    <row r="368" spans="1:10" x14ac:dyDescent="0.35">
      <c r="A368" s="1">
        <v>45044</v>
      </c>
      <c r="B368" s="2" t="s">
        <v>31</v>
      </c>
      <c r="C368" s="2" t="s">
        <v>29</v>
      </c>
      <c r="D368" s="2" t="s">
        <v>30</v>
      </c>
      <c r="E368" s="2" t="s">
        <v>28</v>
      </c>
      <c r="F368">
        <v>651</v>
      </c>
      <c r="G368">
        <v>193</v>
      </c>
      <c r="H368">
        <v>125643</v>
      </c>
      <c r="I368">
        <v>23210.6571</v>
      </c>
      <c r="J368" s="2" t="s">
        <v>39</v>
      </c>
    </row>
    <row r="369" spans="1:10" x14ac:dyDescent="0.35">
      <c r="A369" s="1">
        <v>45044</v>
      </c>
      <c r="B369" s="2" t="s">
        <v>25</v>
      </c>
      <c r="C369" s="2" t="s">
        <v>23</v>
      </c>
      <c r="D369" s="2" t="s">
        <v>21</v>
      </c>
      <c r="E369" s="2" t="s">
        <v>18</v>
      </c>
      <c r="F369">
        <v>481</v>
      </c>
      <c r="G369">
        <v>371</v>
      </c>
      <c r="H369">
        <v>178451</v>
      </c>
      <c r="I369">
        <v>37194.272700000001</v>
      </c>
      <c r="J369" s="2" t="s">
        <v>39</v>
      </c>
    </row>
    <row r="370" spans="1:10" x14ac:dyDescent="0.35">
      <c r="A370" s="1">
        <v>45044</v>
      </c>
      <c r="B370" s="2" t="s">
        <v>34</v>
      </c>
      <c r="C370" s="2" t="s">
        <v>27</v>
      </c>
      <c r="D370" s="2" t="s">
        <v>17</v>
      </c>
      <c r="E370" s="2" t="s">
        <v>32</v>
      </c>
      <c r="F370">
        <v>258</v>
      </c>
      <c r="G370">
        <v>355</v>
      </c>
      <c r="H370">
        <v>91590</v>
      </c>
      <c r="I370">
        <v>13019.285400000001</v>
      </c>
      <c r="J370" s="2" t="s">
        <v>39</v>
      </c>
    </row>
    <row r="371" spans="1:10" x14ac:dyDescent="0.35">
      <c r="A371" s="1">
        <v>45045</v>
      </c>
      <c r="B371" s="2" t="s">
        <v>34</v>
      </c>
      <c r="C371" s="2" t="s">
        <v>20</v>
      </c>
      <c r="D371" s="2" t="s">
        <v>21</v>
      </c>
      <c r="E371" s="2" t="s">
        <v>18</v>
      </c>
      <c r="F371">
        <v>610</v>
      </c>
      <c r="G371">
        <v>341</v>
      </c>
      <c r="H371">
        <v>208010</v>
      </c>
      <c r="I371">
        <v>38810.175300000003</v>
      </c>
      <c r="J371" s="2" t="s">
        <v>39</v>
      </c>
    </row>
    <row r="372" spans="1:10" x14ac:dyDescent="0.35">
      <c r="A372" s="1">
        <v>45045</v>
      </c>
      <c r="B372" s="2" t="s">
        <v>15</v>
      </c>
      <c r="C372" s="2" t="s">
        <v>23</v>
      </c>
      <c r="D372" s="2" t="s">
        <v>21</v>
      </c>
      <c r="E372" s="2" t="s">
        <v>18</v>
      </c>
      <c r="F372">
        <v>992</v>
      </c>
      <c r="G372">
        <v>233</v>
      </c>
      <c r="H372">
        <v>231136</v>
      </c>
      <c r="I372">
        <v>52997.7382</v>
      </c>
      <c r="J372" s="2" t="s">
        <v>39</v>
      </c>
    </row>
    <row r="373" spans="1:10" x14ac:dyDescent="0.35">
      <c r="A373" s="1">
        <v>45045</v>
      </c>
      <c r="B373" s="2" t="s">
        <v>10</v>
      </c>
      <c r="C373" s="2" t="s">
        <v>27</v>
      </c>
      <c r="D373" s="2" t="s">
        <v>12</v>
      </c>
      <c r="E373" s="2" t="s">
        <v>28</v>
      </c>
      <c r="F373">
        <v>842</v>
      </c>
      <c r="G373">
        <v>337</v>
      </c>
      <c r="H373">
        <v>283754</v>
      </c>
      <c r="I373">
        <v>67296.245299999995</v>
      </c>
      <c r="J373" s="2" t="s">
        <v>39</v>
      </c>
    </row>
    <row r="374" spans="1:10" x14ac:dyDescent="0.35">
      <c r="A374" s="1">
        <v>45046</v>
      </c>
      <c r="B374" s="2" t="s">
        <v>19</v>
      </c>
      <c r="C374" s="2" t="s">
        <v>20</v>
      </c>
      <c r="D374" s="2" t="s">
        <v>17</v>
      </c>
      <c r="E374" s="2" t="s">
        <v>33</v>
      </c>
      <c r="F374">
        <v>935</v>
      </c>
      <c r="G374">
        <v>193</v>
      </c>
      <c r="H374">
        <v>180455</v>
      </c>
      <c r="I374">
        <v>41581.953800000003</v>
      </c>
      <c r="J374" s="2" t="s">
        <v>39</v>
      </c>
    </row>
    <row r="375" spans="1:10" x14ac:dyDescent="0.35">
      <c r="A375" s="1">
        <v>45047</v>
      </c>
      <c r="B375" s="2" t="s">
        <v>25</v>
      </c>
      <c r="C375" s="2" t="s">
        <v>29</v>
      </c>
      <c r="D375" s="2" t="s">
        <v>12</v>
      </c>
      <c r="E375" s="2" t="s">
        <v>28</v>
      </c>
      <c r="F375">
        <v>448</v>
      </c>
      <c r="G375">
        <v>379</v>
      </c>
      <c r="H375">
        <v>169792</v>
      </c>
      <c r="I375">
        <v>16785.364799999999</v>
      </c>
      <c r="J375" s="2" t="s">
        <v>40</v>
      </c>
    </row>
    <row r="376" spans="1:10" x14ac:dyDescent="0.35">
      <c r="A376" s="1">
        <v>45048</v>
      </c>
      <c r="B376" s="2" t="s">
        <v>19</v>
      </c>
      <c r="C376" s="2" t="s">
        <v>27</v>
      </c>
      <c r="D376" s="2" t="s">
        <v>12</v>
      </c>
      <c r="E376" s="2" t="s">
        <v>32</v>
      </c>
      <c r="F376">
        <v>337</v>
      </c>
      <c r="G376">
        <v>396</v>
      </c>
      <c r="H376">
        <v>133452</v>
      </c>
      <c r="I376">
        <v>21899.872800000001</v>
      </c>
      <c r="J376" s="2" t="s">
        <v>40</v>
      </c>
    </row>
    <row r="377" spans="1:10" x14ac:dyDescent="0.35">
      <c r="A377" s="1">
        <v>45048</v>
      </c>
      <c r="B377" s="2" t="s">
        <v>34</v>
      </c>
      <c r="C377" s="2" t="s">
        <v>11</v>
      </c>
      <c r="D377" s="2" t="s">
        <v>21</v>
      </c>
      <c r="E377" s="2" t="s">
        <v>22</v>
      </c>
      <c r="F377">
        <v>67</v>
      </c>
      <c r="G377">
        <v>118</v>
      </c>
      <c r="H377">
        <v>7906</v>
      </c>
      <c r="I377">
        <v>990.09590000000003</v>
      </c>
      <c r="J377" s="2" t="s">
        <v>40</v>
      </c>
    </row>
    <row r="378" spans="1:10" x14ac:dyDescent="0.35">
      <c r="A378" s="1">
        <v>45048</v>
      </c>
      <c r="B378" s="2" t="s">
        <v>31</v>
      </c>
      <c r="C378" s="2" t="s">
        <v>29</v>
      </c>
      <c r="D378" s="2" t="s">
        <v>21</v>
      </c>
      <c r="E378" s="2" t="s">
        <v>32</v>
      </c>
      <c r="F378">
        <v>370</v>
      </c>
      <c r="G378">
        <v>127</v>
      </c>
      <c r="H378">
        <v>46990</v>
      </c>
      <c r="I378">
        <v>7340.1723000000002</v>
      </c>
      <c r="J378" s="2" t="s">
        <v>40</v>
      </c>
    </row>
    <row r="379" spans="1:10" x14ac:dyDescent="0.35">
      <c r="A379" s="1">
        <v>45048</v>
      </c>
      <c r="B379" s="2" t="s">
        <v>15</v>
      </c>
      <c r="C379" s="2" t="s">
        <v>20</v>
      </c>
      <c r="D379" s="2" t="s">
        <v>17</v>
      </c>
      <c r="E379" s="2" t="s">
        <v>13</v>
      </c>
      <c r="F379">
        <v>902</v>
      </c>
      <c r="G379">
        <v>384</v>
      </c>
      <c r="H379">
        <v>346368</v>
      </c>
      <c r="I379">
        <v>59917.955999999998</v>
      </c>
      <c r="J379" s="2" t="s">
        <v>40</v>
      </c>
    </row>
    <row r="380" spans="1:10" x14ac:dyDescent="0.35">
      <c r="A380" s="1">
        <v>45048</v>
      </c>
      <c r="B380" s="2" t="s">
        <v>10</v>
      </c>
      <c r="C380" s="2" t="s">
        <v>23</v>
      </c>
      <c r="D380" s="2" t="s">
        <v>12</v>
      </c>
      <c r="E380" s="2" t="s">
        <v>22</v>
      </c>
      <c r="F380">
        <v>465</v>
      </c>
      <c r="G380">
        <v>379</v>
      </c>
      <c r="H380">
        <v>176235</v>
      </c>
      <c r="I380">
        <v>25550.412899999999</v>
      </c>
      <c r="J380" s="2" t="s">
        <v>40</v>
      </c>
    </row>
    <row r="381" spans="1:10" x14ac:dyDescent="0.35">
      <c r="A381" s="1">
        <v>45049</v>
      </c>
      <c r="B381" s="2" t="s">
        <v>19</v>
      </c>
      <c r="C381" s="2" t="s">
        <v>20</v>
      </c>
      <c r="D381" s="2" t="s">
        <v>21</v>
      </c>
      <c r="E381" s="2" t="s">
        <v>18</v>
      </c>
      <c r="F381">
        <v>603</v>
      </c>
      <c r="G381">
        <v>139</v>
      </c>
      <c r="H381">
        <v>83817</v>
      </c>
      <c r="I381">
        <v>12848.1489</v>
      </c>
      <c r="J381" s="2" t="s">
        <v>40</v>
      </c>
    </row>
    <row r="382" spans="1:10" x14ac:dyDescent="0.35">
      <c r="A382" s="1">
        <v>45049</v>
      </c>
      <c r="B382" s="2" t="s">
        <v>34</v>
      </c>
      <c r="C382" s="2" t="s">
        <v>20</v>
      </c>
      <c r="D382" s="2" t="s">
        <v>21</v>
      </c>
      <c r="E382" s="2" t="s">
        <v>22</v>
      </c>
      <c r="F382">
        <v>437</v>
      </c>
      <c r="G382">
        <v>259</v>
      </c>
      <c r="H382">
        <v>113183</v>
      </c>
      <c r="I382">
        <v>15575.947</v>
      </c>
      <c r="J382" s="2" t="s">
        <v>40</v>
      </c>
    </row>
    <row r="383" spans="1:10" x14ac:dyDescent="0.35">
      <c r="A383" s="1">
        <v>45050</v>
      </c>
      <c r="B383" s="2" t="s">
        <v>19</v>
      </c>
      <c r="C383" s="2" t="s">
        <v>11</v>
      </c>
      <c r="D383" s="2" t="s">
        <v>21</v>
      </c>
      <c r="E383" s="2" t="s">
        <v>24</v>
      </c>
      <c r="F383">
        <v>352</v>
      </c>
      <c r="G383">
        <v>162</v>
      </c>
      <c r="H383">
        <v>57024</v>
      </c>
      <c r="I383">
        <v>13954.908799999999</v>
      </c>
      <c r="J383" s="2" t="s">
        <v>40</v>
      </c>
    </row>
    <row r="384" spans="1:10" x14ac:dyDescent="0.35">
      <c r="A384" s="1">
        <v>45050</v>
      </c>
      <c r="B384" s="2" t="s">
        <v>19</v>
      </c>
      <c r="C384" s="2" t="s">
        <v>16</v>
      </c>
      <c r="D384" s="2" t="s">
        <v>12</v>
      </c>
      <c r="E384" s="2" t="s">
        <v>22</v>
      </c>
      <c r="F384">
        <v>328</v>
      </c>
      <c r="G384">
        <v>113</v>
      </c>
      <c r="H384">
        <v>37064</v>
      </c>
      <c r="I384">
        <v>3120.8422999999998</v>
      </c>
      <c r="J384" s="2" t="s">
        <v>40</v>
      </c>
    </row>
    <row r="385" spans="1:10" x14ac:dyDescent="0.35">
      <c r="A385" s="1">
        <v>45050</v>
      </c>
      <c r="B385" s="2" t="s">
        <v>15</v>
      </c>
      <c r="C385" s="2" t="s">
        <v>11</v>
      </c>
      <c r="D385" s="2" t="s">
        <v>30</v>
      </c>
      <c r="E385" s="2" t="s">
        <v>13</v>
      </c>
      <c r="F385">
        <v>630</v>
      </c>
      <c r="G385">
        <v>366</v>
      </c>
      <c r="H385">
        <v>230580</v>
      </c>
      <c r="I385">
        <v>29650.855100000001</v>
      </c>
      <c r="J385" s="2" t="s">
        <v>40</v>
      </c>
    </row>
    <row r="386" spans="1:10" x14ac:dyDescent="0.35">
      <c r="A386" s="1">
        <v>45050</v>
      </c>
      <c r="B386" s="2" t="s">
        <v>25</v>
      </c>
      <c r="C386" s="2" t="s">
        <v>27</v>
      </c>
      <c r="D386" s="2" t="s">
        <v>17</v>
      </c>
      <c r="E386" s="2" t="s">
        <v>18</v>
      </c>
      <c r="F386">
        <v>91</v>
      </c>
      <c r="G386">
        <v>303</v>
      </c>
      <c r="H386">
        <v>27573</v>
      </c>
      <c r="I386">
        <v>6754.5846000000001</v>
      </c>
      <c r="J386" s="2" t="s">
        <v>40</v>
      </c>
    </row>
    <row r="387" spans="1:10" x14ac:dyDescent="0.35">
      <c r="A387" s="1">
        <v>45050</v>
      </c>
      <c r="B387" s="2" t="s">
        <v>19</v>
      </c>
      <c r="C387" s="2" t="s">
        <v>16</v>
      </c>
      <c r="D387" s="2" t="s">
        <v>17</v>
      </c>
      <c r="E387" s="2" t="s">
        <v>24</v>
      </c>
      <c r="F387">
        <v>629</v>
      </c>
      <c r="G387">
        <v>413</v>
      </c>
      <c r="H387">
        <v>259777</v>
      </c>
      <c r="I387">
        <v>36169.232300000003</v>
      </c>
      <c r="J387" s="2" t="s">
        <v>40</v>
      </c>
    </row>
    <row r="388" spans="1:10" x14ac:dyDescent="0.35">
      <c r="A388" s="1">
        <v>45051</v>
      </c>
      <c r="B388" s="2" t="s">
        <v>26</v>
      </c>
      <c r="C388" s="2" t="s">
        <v>27</v>
      </c>
      <c r="D388" s="2" t="s">
        <v>30</v>
      </c>
      <c r="E388" s="2" t="s">
        <v>18</v>
      </c>
      <c r="F388">
        <v>59</v>
      </c>
      <c r="G388">
        <v>337</v>
      </c>
      <c r="H388">
        <v>19883</v>
      </c>
      <c r="I388">
        <v>1920.5304000000001</v>
      </c>
      <c r="J388" s="2" t="s">
        <v>40</v>
      </c>
    </row>
    <row r="389" spans="1:10" x14ac:dyDescent="0.35">
      <c r="A389" s="1">
        <v>45051</v>
      </c>
      <c r="B389" s="2" t="s">
        <v>25</v>
      </c>
      <c r="C389" s="2" t="s">
        <v>29</v>
      </c>
      <c r="D389" s="2" t="s">
        <v>12</v>
      </c>
      <c r="E389" s="2" t="s">
        <v>35</v>
      </c>
      <c r="F389">
        <v>381</v>
      </c>
      <c r="G389">
        <v>347</v>
      </c>
      <c r="H389">
        <v>132207</v>
      </c>
      <c r="I389">
        <v>23388.267599999999</v>
      </c>
      <c r="J389" s="2" t="s">
        <v>40</v>
      </c>
    </row>
    <row r="390" spans="1:10" x14ac:dyDescent="0.35">
      <c r="A390" s="1">
        <v>45051</v>
      </c>
      <c r="B390" s="2" t="s">
        <v>10</v>
      </c>
      <c r="C390" s="2" t="s">
        <v>27</v>
      </c>
      <c r="D390" s="2" t="s">
        <v>30</v>
      </c>
      <c r="E390" s="2" t="s">
        <v>13</v>
      </c>
      <c r="F390">
        <v>549</v>
      </c>
      <c r="G390">
        <v>270</v>
      </c>
      <c r="H390">
        <v>148230</v>
      </c>
      <c r="I390">
        <v>34473.663699999997</v>
      </c>
      <c r="J390" s="2" t="s">
        <v>40</v>
      </c>
    </row>
    <row r="391" spans="1:10" x14ac:dyDescent="0.35">
      <c r="A391" s="1">
        <v>45052</v>
      </c>
      <c r="B391" s="2" t="s">
        <v>36</v>
      </c>
      <c r="C391" s="2" t="s">
        <v>11</v>
      </c>
      <c r="D391" s="2" t="s">
        <v>21</v>
      </c>
      <c r="E391" s="2" t="s">
        <v>33</v>
      </c>
      <c r="F391">
        <v>850</v>
      </c>
      <c r="G391">
        <v>208</v>
      </c>
      <c r="H391">
        <v>176800</v>
      </c>
      <c r="I391">
        <v>27689.5255</v>
      </c>
      <c r="J391" s="2" t="s">
        <v>40</v>
      </c>
    </row>
    <row r="392" spans="1:10" x14ac:dyDescent="0.35">
      <c r="A392" s="1">
        <v>45052</v>
      </c>
      <c r="B392" s="2" t="s">
        <v>19</v>
      </c>
      <c r="C392" s="2" t="s">
        <v>27</v>
      </c>
      <c r="D392" s="2" t="s">
        <v>21</v>
      </c>
      <c r="E392" s="2" t="s">
        <v>13</v>
      </c>
      <c r="F392">
        <v>854</v>
      </c>
      <c r="G392">
        <v>245</v>
      </c>
      <c r="H392">
        <v>209230</v>
      </c>
      <c r="I392">
        <v>21102.9313</v>
      </c>
      <c r="J392" s="2" t="s">
        <v>40</v>
      </c>
    </row>
    <row r="393" spans="1:10" x14ac:dyDescent="0.35">
      <c r="A393" s="1">
        <v>45052</v>
      </c>
      <c r="B393" s="2" t="s">
        <v>31</v>
      </c>
      <c r="C393" s="2" t="s">
        <v>20</v>
      </c>
      <c r="D393" s="2" t="s">
        <v>17</v>
      </c>
      <c r="E393" s="2" t="s">
        <v>32</v>
      </c>
      <c r="F393">
        <v>454</v>
      </c>
      <c r="G393">
        <v>114</v>
      </c>
      <c r="H393">
        <v>51756</v>
      </c>
      <c r="I393">
        <v>5551.5290999999997</v>
      </c>
      <c r="J393" s="2" t="s">
        <v>40</v>
      </c>
    </row>
    <row r="394" spans="1:10" x14ac:dyDescent="0.35">
      <c r="A394" s="1">
        <v>45052</v>
      </c>
      <c r="B394" s="2" t="s">
        <v>36</v>
      </c>
      <c r="C394" s="2" t="s">
        <v>20</v>
      </c>
      <c r="D394" s="2" t="s">
        <v>12</v>
      </c>
      <c r="E394" s="2" t="s">
        <v>13</v>
      </c>
      <c r="F394">
        <v>131</v>
      </c>
      <c r="G394">
        <v>358</v>
      </c>
      <c r="H394">
        <v>46898</v>
      </c>
      <c r="I394">
        <v>7624.4907000000003</v>
      </c>
      <c r="J394" s="2" t="s">
        <v>40</v>
      </c>
    </row>
    <row r="395" spans="1:10" x14ac:dyDescent="0.35">
      <c r="A395" s="1">
        <v>45052</v>
      </c>
      <c r="B395" s="2" t="s">
        <v>36</v>
      </c>
      <c r="C395" s="2" t="s">
        <v>20</v>
      </c>
      <c r="D395" s="2" t="s">
        <v>30</v>
      </c>
      <c r="E395" s="2" t="s">
        <v>24</v>
      </c>
      <c r="F395">
        <v>998</v>
      </c>
      <c r="G395">
        <v>333</v>
      </c>
      <c r="H395">
        <v>332334</v>
      </c>
      <c r="I395">
        <v>52694.725100000003</v>
      </c>
      <c r="J395" s="2" t="s">
        <v>40</v>
      </c>
    </row>
    <row r="396" spans="1:10" x14ac:dyDescent="0.35">
      <c r="A396" s="1">
        <v>45053</v>
      </c>
      <c r="B396" s="2" t="s">
        <v>25</v>
      </c>
      <c r="C396" s="2" t="s">
        <v>29</v>
      </c>
      <c r="D396" s="2" t="s">
        <v>17</v>
      </c>
      <c r="E396" s="2" t="s">
        <v>18</v>
      </c>
      <c r="F396">
        <v>868</v>
      </c>
      <c r="G396">
        <v>109</v>
      </c>
      <c r="H396">
        <v>94612</v>
      </c>
      <c r="I396">
        <v>17481.450199999999</v>
      </c>
      <c r="J396" s="2" t="s">
        <v>40</v>
      </c>
    </row>
    <row r="397" spans="1:10" x14ac:dyDescent="0.35">
      <c r="A397" s="1">
        <v>45053</v>
      </c>
      <c r="B397" s="2" t="s">
        <v>10</v>
      </c>
      <c r="C397" s="2" t="s">
        <v>11</v>
      </c>
      <c r="D397" s="2" t="s">
        <v>12</v>
      </c>
      <c r="E397" s="2" t="s">
        <v>35</v>
      </c>
      <c r="F397">
        <v>907</v>
      </c>
      <c r="G397">
        <v>219</v>
      </c>
      <c r="H397">
        <v>198633</v>
      </c>
      <c r="I397">
        <v>24409.923999999999</v>
      </c>
      <c r="J397" s="2" t="s">
        <v>40</v>
      </c>
    </row>
    <row r="398" spans="1:10" x14ac:dyDescent="0.35">
      <c r="A398" s="1">
        <v>45054</v>
      </c>
      <c r="B398" s="2" t="s">
        <v>26</v>
      </c>
      <c r="C398" s="2" t="s">
        <v>11</v>
      </c>
      <c r="D398" s="2" t="s">
        <v>17</v>
      </c>
      <c r="E398" s="2" t="s">
        <v>35</v>
      </c>
      <c r="F398">
        <v>527</v>
      </c>
      <c r="G398">
        <v>331</v>
      </c>
      <c r="H398">
        <v>174437</v>
      </c>
      <c r="I398">
        <v>29876.585800000001</v>
      </c>
      <c r="J398" s="2" t="s">
        <v>40</v>
      </c>
    </row>
    <row r="399" spans="1:10" x14ac:dyDescent="0.35">
      <c r="A399" s="1">
        <v>45054</v>
      </c>
      <c r="B399" s="2" t="s">
        <v>36</v>
      </c>
      <c r="C399" s="2" t="s">
        <v>27</v>
      </c>
      <c r="D399" s="2" t="s">
        <v>17</v>
      </c>
      <c r="E399" s="2" t="s">
        <v>32</v>
      </c>
      <c r="F399">
        <v>553</v>
      </c>
      <c r="G399">
        <v>493</v>
      </c>
      <c r="H399">
        <v>272629</v>
      </c>
      <c r="I399">
        <v>27716.914400000001</v>
      </c>
      <c r="J399" s="2" t="s">
        <v>40</v>
      </c>
    </row>
    <row r="400" spans="1:10" x14ac:dyDescent="0.35">
      <c r="A400" s="1">
        <v>45054</v>
      </c>
      <c r="B400" s="2" t="s">
        <v>25</v>
      </c>
      <c r="C400" s="2" t="s">
        <v>20</v>
      </c>
      <c r="D400" s="2" t="s">
        <v>17</v>
      </c>
      <c r="E400" s="2" t="s">
        <v>22</v>
      </c>
      <c r="F400">
        <v>747</v>
      </c>
      <c r="G400">
        <v>297</v>
      </c>
      <c r="H400">
        <v>221859</v>
      </c>
      <c r="I400">
        <v>45849.901100000003</v>
      </c>
      <c r="J400" s="2" t="s">
        <v>40</v>
      </c>
    </row>
    <row r="401" spans="1:10" x14ac:dyDescent="0.35">
      <c r="A401" s="1">
        <v>45054</v>
      </c>
      <c r="B401" s="2" t="s">
        <v>31</v>
      </c>
      <c r="C401" s="2" t="s">
        <v>16</v>
      </c>
      <c r="D401" s="2" t="s">
        <v>30</v>
      </c>
      <c r="E401" s="2" t="s">
        <v>22</v>
      </c>
      <c r="F401">
        <v>450</v>
      </c>
      <c r="G401">
        <v>389</v>
      </c>
      <c r="H401">
        <v>175050</v>
      </c>
      <c r="I401">
        <v>42728.745300000002</v>
      </c>
      <c r="J401" s="2" t="s">
        <v>40</v>
      </c>
    </row>
    <row r="402" spans="1:10" x14ac:dyDescent="0.35">
      <c r="A402" s="1">
        <v>45054</v>
      </c>
      <c r="B402" s="2" t="s">
        <v>10</v>
      </c>
      <c r="C402" s="2" t="s">
        <v>16</v>
      </c>
      <c r="D402" s="2" t="s">
        <v>17</v>
      </c>
      <c r="E402" s="2" t="s">
        <v>18</v>
      </c>
      <c r="F402">
        <v>296</v>
      </c>
      <c r="G402">
        <v>446</v>
      </c>
      <c r="H402">
        <v>132016</v>
      </c>
      <c r="I402">
        <v>25230.6597</v>
      </c>
      <c r="J402" s="2" t="s">
        <v>40</v>
      </c>
    </row>
    <row r="403" spans="1:10" x14ac:dyDescent="0.35">
      <c r="A403" s="1">
        <v>45055</v>
      </c>
      <c r="B403" s="2" t="s">
        <v>25</v>
      </c>
      <c r="C403" s="2" t="s">
        <v>20</v>
      </c>
      <c r="D403" s="2" t="s">
        <v>12</v>
      </c>
      <c r="E403" s="2" t="s">
        <v>24</v>
      </c>
      <c r="F403">
        <v>788</v>
      </c>
      <c r="G403">
        <v>356</v>
      </c>
      <c r="H403">
        <v>280528</v>
      </c>
      <c r="I403">
        <v>41230.1587</v>
      </c>
      <c r="J403" s="2" t="s">
        <v>40</v>
      </c>
    </row>
    <row r="404" spans="1:10" x14ac:dyDescent="0.35">
      <c r="A404" s="1">
        <v>45055</v>
      </c>
      <c r="B404" s="2" t="s">
        <v>26</v>
      </c>
      <c r="C404" s="2" t="s">
        <v>27</v>
      </c>
      <c r="D404" s="2" t="s">
        <v>21</v>
      </c>
      <c r="E404" s="2" t="s">
        <v>18</v>
      </c>
      <c r="F404">
        <v>332</v>
      </c>
      <c r="G404">
        <v>264</v>
      </c>
      <c r="H404">
        <v>87648</v>
      </c>
      <c r="I404">
        <v>19052.644100000001</v>
      </c>
      <c r="J404" s="2" t="s">
        <v>40</v>
      </c>
    </row>
    <row r="405" spans="1:10" x14ac:dyDescent="0.35">
      <c r="A405" s="1">
        <v>45055</v>
      </c>
      <c r="B405" s="2" t="s">
        <v>31</v>
      </c>
      <c r="C405" s="2" t="s">
        <v>29</v>
      </c>
      <c r="D405" s="2" t="s">
        <v>17</v>
      </c>
      <c r="E405" s="2" t="s">
        <v>35</v>
      </c>
      <c r="F405">
        <v>716</v>
      </c>
      <c r="G405">
        <v>389</v>
      </c>
      <c r="H405">
        <v>278524</v>
      </c>
      <c r="I405">
        <v>57676.698199999999</v>
      </c>
      <c r="J405" s="2" t="s">
        <v>40</v>
      </c>
    </row>
    <row r="406" spans="1:10" x14ac:dyDescent="0.35">
      <c r="A406" s="1">
        <v>45055</v>
      </c>
      <c r="B406" s="2" t="s">
        <v>26</v>
      </c>
      <c r="C406" s="2" t="s">
        <v>27</v>
      </c>
      <c r="D406" s="2" t="s">
        <v>12</v>
      </c>
      <c r="E406" s="2" t="s">
        <v>35</v>
      </c>
      <c r="F406">
        <v>834</v>
      </c>
      <c r="G406">
        <v>141</v>
      </c>
      <c r="H406">
        <v>117594</v>
      </c>
      <c r="I406">
        <v>21865.363799999999</v>
      </c>
      <c r="J406" s="2" t="s">
        <v>40</v>
      </c>
    </row>
    <row r="407" spans="1:10" x14ac:dyDescent="0.35">
      <c r="A407" s="1">
        <v>45056</v>
      </c>
      <c r="B407" s="2" t="s">
        <v>34</v>
      </c>
      <c r="C407" s="2" t="s">
        <v>20</v>
      </c>
      <c r="D407" s="2" t="s">
        <v>12</v>
      </c>
      <c r="E407" s="2" t="s">
        <v>13</v>
      </c>
      <c r="F407">
        <v>888</v>
      </c>
      <c r="G407">
        <v>177</v>
      </c>
      <c r="H407">
        <v>157176</v>
      </c>
      <c r="I407">
        <v>31373.816500000001</v>
      </c>
      <c r="J407" s="2" t="s">
        <v>40</v>
      </c>
    </row>
    <row r="408" spans="1:10" x14ac:dyDescent="0.35">
      <c r="A408" s="1">
        <v>45056</v>
      </c>
      <c r="B408" s="2" t="s">
        <v>34</v>
      </c>
      <c r="C408" s="2" t="s">
        <v>27</v>
      </c>
      <c r="D408" s="2" t="s">
        <v>30</v>
      </c>
      <c r="E408" s="2" t="s">
        <v>32</v>
      </c>
      <c r="F408">
        <v>291</v>
      </c>
      <c r="G408">
        <v>445</v>
      </c>
      <c r="H408">
        <v>129495</v>
      </c>
      <c r="I408">
        <v>28253.216100000001</v>
      </c>
      <c r="J408" s="2" t="s">
        <v>40</v>
      </c>
    </row>
    <row r="409" spans="1:10" x14ac:dyDescent="0.35">
      <c r="A409" s="1">
        <v>45056</v>
      </c>
      <c r="B409" s="2" t="s">
        <v>36</v>
      </c>
      <c r="C409" s="2" t="s">
        <v>27</v>
      </c>
      <c r="D409" s="2" t="s">
        <v>12</v>
      </c>
      <c r="E409" s="2" t="s">
        <v>35</v>
      </c>
      <c r="F409">
        <v>680</v>
      </c>
      <c r="G409">
        <v>420</v>
      </c>
      <c r="H409">
        <v>285600</v>
      </c>
      <c r="I409">
        <v>42448.269200000002</v>
      </c>
      <c r="J409" s="2" t="s">
        <v>40</v>
      </c>
    </row>
    <row r="410" spans="1:10" x14ac:dyDescent="0.35">
      <c r="A410" s="1">
        <v>45056</v>
      </c>
      <c r="B410" s="2" t="s">
        <v>34</v>
      </c>
      <c r="C410" s="2" t="s">
        <v>20</v>
      </c>
      <c r="D410" s="2" t="s">
        <v>12</v>
      </c>
      <c r="E410" s="2" t="s">
        <v>18</v>
      </c>
      <c r="F410">
        <v>991</v>
      </c>
      <c r="G410">
        <v>356</v>
      </c>
      <c r="H410">
        <v>352796</v>
      </c>
      <c r="I410">
        <v>33185.9591</v>
      </c>
      <c r="J410" s="2" t="s">
        <v>40</v>
      </c>
    </row>
    <row r="411" spans="1:10" x14ac:dyDescent="0.35">
      <c r="A411" s="1">
        <v>45057</v>
      </c>
      <c r="B411" s="2" t="s">
        <v>15</v>
      </c>
      <c r="C411" s="2" t="s">
        <v>29</v>
      </c>
      <c r="D411" s="2" t="s">
        <v>21</v>
      </c>
      <c r="E411" s="2" t="s">
        <v>22</v>
      </c>
      <c r="F411">
        <v>571</v>
      </c>
      <c r="G411">
        <v>169</v>
      </c>
      <c r="H411">
        <v>96499</v>
      </c>
      <c r="I411">
        <v>9631.8760999999995</v>
      </c>
      <c r="J411" s="2" t="s">
        <v>40</v>
      </c>
    </row>
    <row r="412" spans="1:10" x14ac:dyDescent="0.35">
      <c r="A412" s="1">
        <v>45057</v>
      </c>
      <c r="B412" s="2" t="s">
        <v>15</v>
      </c>
      <c r="C412" s="2" t="s">
        <v>29</v>
      </c>
      <c r="D412" s="2" t="s">
        <v>12</v>
      </c>
      <c r="E412" s="2" t="s">
        <v>24</v>
      </c>
      <c r="F412">
        <v>341</v>
      </c>
      <c r="G412">
        <v>246</v>
      </c>
      <c r="H412">
        <v>83886</v>
      </c>
      <c r="I412">
        <v>13284.7376</v>
      </c>
      <c r="J412" s="2" t="s">
        <v>40</v>
      </c>
    </row>
    <row r="413" spans="1:10" x14ac:dyDescent="0.35">
      <c r="A413" s="1">
        <v>45057</v>
      </c>
      <c r="B413" s="2" t="s">
        <v>34</v>
      </c>
      <c r="C413" s="2" t="s">
        <v>11</v>
      </c>
      <c r="D413" s="2" t="s">
        <v>30</v>
      </c>
      <c r="E413" s="2" t="s">
        <v>28</v>
      </c>
      <c r="F413">
        <v>258</v>
      </c>
      <c r="G413">
        <v>318</v>
      </c>
      <c r="H413">
        <v>82044</v>
      </c>
      <c r="I413">
        <v>6888.8077999999996</v>
      </c>
      <c r="J413" s="2" t="s">
        <v>40</v>
      </c>
    </row>
    <row r="414" spans="1:10" x14ac:dyDescent="0.35">
      <c r="A414" s="1">
        <v>45057</v>
      </c>
      <c r="B414" s="2" t="s">
        <v>36</v>
      </c>
      <c r="C414" s="2" t="s">
        <v>27</v>
      </c>
      <c r="D414" s="2" t="s">
        <v>12</v>
      </c>
      <c r="E414" s="2" t="s">
        <v>22</v>
      </c>
      <c r="F414">
        <v>532</v>
      </c>
      <c r="G414">
        <v>345</v>
      </c>
      <c r="H414">
        <v>183540</v>
      </c>
      <c r="I414">
        <v>33529.648699999998</v>
      </c>
      <c r="J414" s="2" t="s">
        <v>40</v>
      </c>
    </row>
    <row r="415" spans="1:10" x14ac:dyDescent="0.35">
      <c r="A415" s="1">
        <v>45058</v>
      </c>
      <c r="B415" s="2" t="s">
        <v>25</v>
      </c>
      <c r="C415" s="2" t="s">
        <v>23</v>
      </c>
      <c r="D415" s="2" t="s">
        <v>12</v>
      </c>
      <c r="E415" s="2" t="s">
        <v>22</v>
      </c>
      <c r="F415">
        <v>719</v>
      </c>
      <c r="G415">
        <v>340</v>
      </c>
      <c r="H415">
        <v>244460</v>
      </c>
      <c r="I415">
        <v>47245.492100000003</v>
      </c>
      <c r="J415" s="2" t="s">
        <v>40</v>
      </c>
    </row>
    <row r="416" spans="1:10" x14ac:dyDescent="0.35">
      <c r="A416" s="1">
        <v>45058</v>
      </c>
      <c r="B416" s="2" t="s">
        <v>25</v>
      </c>
      <c r="C416" s="2" t="s">
        <v>29</v>
      </c>
      <c r="D416" s="2" t="s">
        <v>17</v>
      </c>
      <c r="E416" s="2" t="s">
        <v>24</v>
      </c>
      <c r="F416">
        <v>78</v>
      </c>
      <c r="G416">
        <v>172</v>
      </c>
      <c r="H416">
        <v>13416</v>
      </c>
      <c r="I416">
        <v>3040.5706</v>
      </c>
      <c r="J416" s="2" t="s">
        <v>40</v>
      </c>
    </row>
    <row r="417" spans="1:10" x14ac:dyDescent="0.35">
      <c r="A417" s="1">
        <v>45058</v>
      </c>
      <c r="B417" s="2" t="s">
        <v>15</v>
      </c>
      <c r="C417" s="2" t="s">
        <v>27</v>
      </c>
      <c r="D417" s="2" t="s">
        <v>12</v>
      </c>
      <c r="E417" s="2" t="s">
        <v>28</v>
      </c>
      <c r="F417">
        <v>816</v>
      </c>
      <c r="G417">
        <v>491</v>
      </c>
      <c r="H417">
        <v>400656</v>
      </c>
      <c r="I417">
        <v>96258.467900000003</v>
      </c>
      <c r="J417" s="2" t="s">
        <v>40</v>
      </c>
    </row>
    <row r="418" spans="1:10" x14ac:dyDescent="0.35">
      <c r="A418" s="1">
        <v>45058</v>
      </c>
      <c r="B418" s="2" t="s">
        <v>31</v>
      </c>
      <c r="C418" s="2" t="s">
        <v>11</v>
      </c>
      <c r="D418" s="2" t="s">
        <v>12</v>
      </c>
      <c r="E418" s="2" t="s">
        <v>24</v>
      </c>
      <c r="F418">
        <v>247</v>
      </c>
      <c r="G418">
        <v>376</v>
      </c>
      <c r="H418">
        <v>92872</v>
      </c>
      <c r="I418">
        <v>10290.772499999999</v>
      </c>
      <c r="J418" s="2" t="s">
        <v>40</v>
      </c>
    </row>
    <row r="419" spans="1:10" x14ac:dyDescent="0.35">
      <c r="A419" s="1">
        <v>45059</v>
      </c>
      <c r="B419" s="2" t="s">
        <v>15</v>
      </c>
      <c r="C419" s="2" t="s">
        <v>23</v>
      </c>
      <c r="D419" s="2" t="s">
        <v>21</v>
      </c>
      <c r="E419" s="2" t="s">
        <v>28</v>
      </c>
      <c r="F419">
        <v>479</v>
      </c>
      <c r="G419">
        <v>340</v>
      </c>
      <c r="H419">
        <v>162860</v>
      </c>
      <c r="I419">
        <v>16642.441599999998</v>
      </c>
      <c r="J419" s="2" t="s">
        <v>40</v>
      </c>
    </row>
    <row r="420" spans="1:10" x14ac:dyDescent="0.35">
      <c r="A420" s="1">
        <v>45059</v>
      </c>
      <c r="B420" s="2" t="s">
        <v>19</v>
      </c>
      <c r="C420" s="2" t="s">
        <v>16</v>
      </c>
      <c r="D420" s="2" t="s">
        <v>17</v>
      </c>
      <c r="E420" s="2" t="s">
        <v>33</v>
      </c>
      <c r="F420">
        <v>807</v>
      </c>
      <c r="G420">
        <v>141</v>
      </c>
      <c r="H420">
        <v>113787</v>
      </c>
      <c r="I420">
        <v>18223.8737</v>
      </c>
      <c r="J420" s="2" t="s">
        <v>40</v>
      </c>
    </row>
    <row r="421" spans="1:10" x14ac:dyDescent="0.35">
      <c r="A421" s="1">
        <v>45059</v>
      </c>
      <c r="B421" s="2" t="s">
        <v>26</v>
      </c>
      <c r="C421" s="2" t="s">
        <v>20</v>
      </c>
      <c r="D421" s="2" t="s">
        <v>21</v>
      </c>
      <c r="E421" s="2" t="s">
        <v>28</v>
      </c>
      <c r="F421">
        <v>306</v>
      </c>
      <c r="G421">
        <v>434</v>
      </c>
      <c r="H421">
        <v>132804</v>
      </c>
      <c r="I421">
        <v>22021.074000000001</v>
      </c>
      <c r="J421" s="2" t="s">
        <v>40</v>
      </c>
    </row>
    <row r="422" spans="1:10" x14ac:dyDescent="0.35">
      <c r="A422" s="1">
        <v>45060</v>
      </c>
      <c r="B422" s="2" t="s">
        <v>19</v>
      </c>
      <c r="C422" s="2" t="s">
        <v>20</v>
      </c>
      <c r="D422" s="2" t="s">
        <v>12</v>
      </c>
      <c r="E422" s="2" t="s">
        <v>24</v>
      </c>
      <c r="F422">
        <v>591</v>
      </c>
      <c r="G422">
        <v>107</v>
      </c>
      <c r="H422">
        <v>63237</v>
      </c>
      <c r="I422">
        <v>15492.5707</v>
      </c>
      <c r="J422" s="2" t="s">
        <v>40</v>
      </c>
    </row>
    <row r="423" spans="1:10" x14ac:dyDescent="0.35">
      <c r="A423" s="1">
        <v>45060</v>
      </c>
      <c r="B423" s="2" t="s">
        <v>10</v>
      </c>
      <c r="C423" s="2" t="s">
        <v>27</v>
      </c>
      <c r="D423" s="2" t="s">
        <v>12</v>
      </c>
      <c r="E423" s="2" t="s">
        <v>24</v>
      </c>
      <c r="F423">
        <v>528</v>
      </c>
      <c r="G423">
        <v>101</v>
      </c>
      <c r="H423">
        <v>53328</v>
      </c>
      <c r="I423">
        <v>5909.9808999999996</v>
      </c>
      <c r="J423" s="2" t="s">
        <v>40</v>
      </c>
    </row>
    <row r="424" spans="1:10" x14ac:dyDescent="0.35">
      <c r="A424" s="1">
        <v>45061</v>
      </c>
      <c r="B424" s="2" t="s">
        <v>36</v>
      </c>
      <c r="C424" s="2" t="s">
        <v>23</v>
      </c>
      <c r="D424" s="2" t="s">
        <v>17</v>
      </c>
      <c r="E424" s="2" t="s">
        <v>22</v>
      </c>
      <c r="F424">
        <v>131</v>
      </c>
      <c r="G424">
        <v>209</v>
      </c>
      <c r="H424">
        <v>27379</v>
      </c>
      <c r="I424">
        <v>3891.6482000000001</v>
      </c>
      <c r="J424" s="2" t="s">
        <v>40</v>
      </c>
    </row>
    <row r="425" spans="1:10" x14ac:dyDescent="0.35">
      <c r="A425" s="1">
        <v>45061</v>
      </c>
      <c r="B425" s="2" t="s">
        <v>19</v>
      </c>
      <c r="C425" s="2" t="s">
        <v>29</v>
      </c>
      <c r="D425" s="2" t="s">
        <v>21</v>
      </c>
      <c r="E425" s="2" t="s">
        <v>32</v>
      </c>
      <c r="F425">
        <v>454</v>
      </c>
      <c r="G425">
        <v>479</v>
      </c>
      <c r="H425">
        <v>217466</v>
      </c>
      <c r="I425">
        <v>41717.379300000001</v>
      </c>
      <c r="J425" s="2" t="s">
        <v>40</v>
      </c>
    </row>
    <row r="426" spans="1:10" x14ac:dyDescent="0.35">
      <c r="A426" s="1">
        <v>45062</v>
      </c>
      <c r="B426" s="2" t="s">
        <v>26</v>
      </c>
      <c r="C426" s="2" t="s">
        <v>16</v>
      </c>
      <c r="D426" s="2" t="s">
        <v>30</v>
      </c>
      <c r="E426" s="2" t="s">
        <v>33</v>
      </c>
      <c r="F426">
        <v>374</v>
      </c>
      <c r="G426">
        <v>401</v>
      </c>
      <c r="H426">
        <v>149974</v>
      </c>
      <c r="I426">
        <v>29100.283299999999</v>
      </c>
      <c r="J426" s="2" t="s">
        <v>40</v>
      </c>
    </row>
    <row r="427" spans="1:10" x14ac:dyDescent="0.35">
      <c r="A427" s="1">
        <v>45063</v>
      </c>
      <c r="B427" s="2" t="s">
        <v>10</v>
      </c>
      <c r="C427" s="2" t="s">
        <v>11</v>
      </c>
      <c r="D427" s="2" t="s">
        <v>21</v>
      </c>
      <c r="E427" s="2" t="s">
        <v>13</v>
      </c>
      <c r="F427">
        <v>124</v>
      </c>
      <c r="G427">
        <v>463</v>
      </c>
      <c r="H427">
        <v>57412</v>
      </c>
      <c r="I427">
        <v>5913.4898999999996</v>
      </c>
      <c r="J427" s="2" t="s">
        <v>40</v>
      </c>
    </row>
    <row r="428" spans="1:10" x14ac:dyDescent="0.35">
      <c r="A428" s="1">
        <v>45063</v>
      </c>
      <c r="B428" s="2" t="s">
        <v>15</v>
      </c>
      <c r="C428" s="2" t="s">
        <v>27</v>
      </c>
      <c r="D428" s="2" t="s">
        <v>21</v>
      </c>
      <c r="E428" s="2" t="s">
        <v>13</v>
      </c>
      <c r="F428">
        <v>763</v>
      </c>
      <c r="G428">
        <v>442</v>
      </c>
      <c r="H428">
        <v>337246</v>
      </c>
      <c r="I428">
        <v>78830.859200000006</v>
      </c>
      <c r="J428" s="2" t="s">
        <v>40</v>
      </c>
    </row>
    <row r="429" spans="1:10" x14ac:dyDescent="0.35">
      <c r="A429" s="1">
        <v>45063</v>
      </c>
      <c r="B429" s="2" t="s">
        <v>15</v>
      </c>
      <c r="C429" s="2" t="s">
        <v>27</v>
      </c>
      <c r="D429" s="2" t="s">
        <v>12</v>
      </c>
      <c r="E429" s="2" t="s">
        <v>13</v>
      </c>
      <c r="F429">
        <v>784</v>
      </c>
      <c r="G429">
        <v>458</v>
      </c>
      <c r="H429">
        <v>359072</v>
      </c>
      <c r="I429">
        <v>58161.077799999999</v>
      </c>
      <c r="J429" s="2" t="s">
        <v>40</v>
      </c>
    </row>
    <row r="430" spans="1:10" x14ac:dyDescent="0.35">
      <c r="A430" s="1">
        <v>45063</v>
      </c>
      <c r="B430" s="2" t="s">
        <v>31</v>
      </c>
      <c r="C430" s="2" t="s">
        <v>27</v>
      </c>
      <c r="D430" s="2" t="s">
        <v>12</v>
      </c>
      <c r="E430" s="2" t="s">
        <v>32</v>
      </c>
      <c r="F430">
        <v>542</v>
      </c>
      <c r="G430">
        <v>372</v>
      </c>
      <c r="H430">
        <v>201624</v>
      </c>
      <c r="I430">
        <v>47513.684699999998</v>
      </c>
      <c r="J430" s="2" t="s">
        <v>40</v>
      </c>
    </row>
    <row r="431" spans="1:10" x14ac:dyDescent="0.35">
      <c r="A431" s="1">
        <v>45063</v>
      </c>
      <c r="B431" s="2" t="s">
        <v>34</v>
      </c>
      <c r="C431" s="2" t="s">
        <v>20</v>
      </c>
      <c r="D431" s="2" t="s">
        <v>12</v>
      </c>
      <c r="E431" s="2" t="s">
        <v>18</v>
      </c>
      <c r="F431">
        <v>505</v>
      </c>
      <c r="G431">
        <v>333</v>
      </c>
      <c r="H431">
        <v>168165</v>
      </c>
      <c r="I431">
        <v>33447.599499999997</v>
      </c>
      <c r="J431" s="2" t="s">
        <v>40</v>
      </c>
    </row>
    <row r="432" spans="1:10" x14ac:dyDescent="0.35">
      <c r="A432" s="1">
        <v>45063</v>
      </c>
      <c r="B432" s="2" t="s">
        <v>10</v>
      </c>
      <c r="C432" s="2" t="s">
        <v>29</v>
      </c>
      <c r="D432" s="2" t="s">
        <v>30</v>
      </c>
      <c r="E432" s="2" t="s">
        <v>18</v>
      </c>
      <c r="F432">
        <v>638</v>
      </c>
      <c r="G432">
        <v>496</v>
      </c>
      <c r="H432">
        <v>316448</v>
      </c>
      <c r="I432">
        <v>58409.911500000002</v>
      </c>
      <c r="J432" s="2" t="s">
        <v>40</v>
      </c>
    </row>
    <row r="433" spans="1:10" x14ac:dyDescent="0.35">
      <c r="A433" s="1">
        <v>45064</v>
      </c>
      <c r="B433" s="2" t="s">
        <v>36</v>
      </c>
      <c r="C433" s="2" t="s">
        <v>27</v>
      </c>
      <c r="D433" s="2" t="s">
        <v>30</v>
      </c>
      <c r="E433" s="2" t="s">
        <v>35</v>
      </c>
      <c r="F433">
        <v>623</v>
      </c>
      <c r="G433">
        <v>485</v>
      </c>
      <c r="H433">
        <v>302155</v>
      </c>
      <c r="I433">
        <v>28825.575000000001</v>
      </c>
      <c r="J433" s="2" t="s">
        <v>40</v>
      </c>
    </row>
    <row r="434" spans="1:10" x14ac:dyDescent="0.35">
      <c r="A434" s="1">
        <v>45064</v>
      </c>
      <c r="B434" s="2" t="s">
        <v>26</v>
      </c>
      <c r="C434" s="2" t="s">
        <v>27</v>
      </c>
      <c r="D434" s="2" t="s">
        <v>17</v>
      </c>
      <c r="E434" s="2" t="s">
        <v>28</v>
      </c>
      <c r="F434">
        <v>759</v>
      </c>
      <c r="G434">
        <v>271</v>
      </c>
      <c r="H434">
        <v>205689</v>
      </c>
      <c r="I434">
        <v>50979.7235</v>
      </c>
      <c r="J434" s="2" t="s">
        <v>40</v>
      </c>
    </row>
    <row r="435" spans="1:10" x14ac:dyDescent="0.35">
      <c r="A435" s="1">
        <v>45064</v>
      </c>
      <c r="B435" s="2" t="s">
        <v>26</v>
      </c>
      <c r="C435" s="2" t="s">
        <v>29</v>
      </c>
      <c r="D435" s="2" t="s">
        <v>21</v>
      </c>
      <c r="E435" s="2" t="s">
        <v>33</v>
      </c>
      <c r="F435">
        <v>880</v>
      </c>
      <c r="G435">
        <v>491</v>
      </c>
      <c r="H435">
        <v>432080</v>
      </c>
      <c r="I435">
        <v>61650.505599999997</v>
      </c>
      <c r="J435" s="2" t="s">
        <v>40</v>
      </c>
    </row>
    <row r="436" spans="1:10" x14ac:dyDescent="0.35">
      <c r="A436" s="1">
        <v>45065</v>
      </c>
      <c r="B436" s="2" t="s">
        <v>15</v>
      </c>
      <c r="C436" s="2" t="s">
        <v>16</v>
      </c>
      <c r="D436" s="2" t="s">
        <v>17</v>
      </c>
      <c r="E436" s="2" t="s">
        <v>18</v>
      </c>
      <c r="F436">
        <v>163</v>
      </c>
      <c r="G436">
        <v>397</v>
      </c>
      <c r="H436">
        <v>64711</v>
      </c>
      <c r="I436">
        <v>7613.2271000000001</v>
      </c>
      <c r="J436" s="2" t="s">
        <v>40</v>
      </c>
    </row>
    <row r="437" spans="1:10" x14ac:dyDescent="0.35">
      <c r="A437" s="1">
        <v>45065</v>
      </c>
      <c r="B437" s="2" t="s">
        <v>19</v>
      </c>
      <c r="C437" s="2" t="s">
        <v>20</v>
      </c>
      <c r="D437" s="2" t="s">
        <v>12</v>
      </c>
      <c r="E437" s="2" t="s">
        <v>13</v>
      </c>
      <c r="F437">
        <v>549</v>
      </c>
      <c r="G437">
        <v>160</v>
      </c>
      <c r="H437">
        <v>87840</v>
      </c>
      <c r="I437">
        <v>13821.6482</v>
      </c>
      <c r="J437" s="2" t="s">
        <v>40</v>
      </c>
    </row>
    <row r="438" spans="1:10" x14ac:dyDescent="0.35">
      <c r="A438" s="1">
        <v>45065</v>
      </c>
      <c r="B438" s="2" t="s">
        <v>15</v>
      </c>
      <c r="C438" s="2" t="s">
        <v>23</v>
      </c>
      <c r="D438" s="2" t="s">
        <v>12</v>
      </c>
      <c r="E438" s="2" t="s">
        <v>35</v>
      </c>
      <c r="F438">
        <v>251</v>
      </c>
      <c r="G438">
        <v>331</v>
      </c>
      <c r="H438">
        <v>83081</v>
      </c>
      <c r="I438">
        <v>13636.130999999999</v>
      </c>
      <c r="J438" s="2" t="s">
        <v>40</v>
      </c>
    </row>
    <row r="439" spans="1:10" x14ac:dyDescent="0.35">
      <c r="A439" s="1">
        <v>45065</v>
      </c>
      <c r="B439" s="2" t="s">
        <v>15</v>
      </c>
      <c r="C439" s="2" t="s">
        <v>16</v>
      </c>
      <c r="D439" s="2" t="s">
        <v>17</v>
      </c>
      <c r="E439" s="2" t="s">
        <v>33</v>
      </c>
      <c r="F439">
        <v>703</v>
      </c>
      <c r="G439">
        <v>175</v>
      </c>
      <c r="H439">
        <v>123025</v>
      </c>
      <c r="I439">
        <v>13043.654200000001</v>
      </c>
      <c r="J439" s="2" t="s">
        <v>40</v>
      </c>
    </row>
    <row r="440" spans="1:10" x14ac:dyDescent="0.35">
      <c r="A440" s="1">
        <v>45066</v>
      </c>
      <c r="B440" s="2" t="s">
        <v>31</v>
      </c>
      <c r="C440" s="2" t="s">
        <v>20</v>
      </c>
      <c r="D440" s="2" t="s">
        <v>12</v>
      </c>
      <c r="E440" s="2" t="s">
        <v>13</v>
      </c>
      <c r="F440">
        <v>340</v>
      </c>
      <c r="G440">
        <v>495</v>
      </c>
      <c r="H440">
        <v>168300</v>
      </c>
      <c r="I440">
        <v>33632.263800000001</v>
      </c>
      <c r="J440" s="2" t="s">
        <v>40</v>
      </c>
    </row>
    <row r="441" spans="1:10" x14ac:dyDescent="0.35">
      <c r="A441" s="1">
        <v>45066</v>
      </c>
      <c r="B441" s="2" t="s">
        <v>10</v>
      </c>
      <c r="C441" s="2" t="s">
        <v>20</v>
      </c>
      <c r="D441" s="2" t="s">
        <v>21</v>
      </c>
      <c r="E441" s="2" t="s">
        <v>13</v>
      </c>
      <c r="F441">
        <v>220</v>
      </c>
      <c r="G441">
        <v>162</v>
      </c>
      <c r="H441">
        <v>35640</v>
      </c>
      <c r="I441">
        <v>3707.6561000000002</v>
      </c>
      <c r="J441" s="2" t="s">
        <v>40</v>
      </c>
    </row>
    <row r="442" spans="1:10" x14ac:dyDescent="0.35">
      <c r="A442" s="1">
        <v>45066</v>
      </c>
      <c r="B442" s="2" t="s">
        <v>26</v>
      </c>
      <c r="C442" s="2" t="s">
        <v>29</v>
      </c>
      <c r="D442" s="2" t="s">
        <v>12</v>
      </c>
      <c r="E442" s="2" t="s">
        <v>13</v>
      </c>
      <c r="F442">
        <v>791</v>
      </c>
      <c r="G442">
        <v>344</v>
      </c>
      <c r="H442">
        <v>272104</v>
      </c>
      <c r="I442">
        <v>51649.483999999997</v>
      </c>
      <c r="J442" s="2" t="s">
        <v>40</v>
      </c>
    </row>
    <row r="443" spans="1:10" x14ac:dyDescent="0.35">
      <c r="A443" s="1">
        <v>45067</v>
      </c>
      <c r="B443" s="2" t="s">
        <v>25</v>
      </c>
      <c r="C443" s="2" t="s">
        <v>27</v>
      </c>
      <c r="D443" s="2" t="s">
        <v>21</v>
      </c>
      <c r="E443" s="2" t="s">
        <v>18</v>
      </c>
      <c r="F443">
        <v>942</v>
      </c>
      <c r="G443">
        <v>430</v>
      </c>
      <c r="H443">
        <v>405060</v>
      </c>
      <c r="I443">
        <v>48310.808900000004</v>
      </c>
      <c r="J443" s="2" t="s">
        <v>40</v>
      </c>
    </row>
    <row r="444" spans="1:10" x14ac:dyDescent="0.35">
      <c r="A444" s="1">
        <v>45067</v>
      </c>
      <c r="B444" s="2" t="s">
        <v>19</v>
      </c>
      <c r="C444" s="2" t="s">
        <v>23</v>
      </c>
      <c r="D444" s="2" t="s">
        <v>30</v>
      </c>
      <c r="E444" s="2" t="s">
        <v>24</v>
      </c>
      <c r="F444">
        <v>852</v>
      </c>
      <c r="G444">
        <v>358</v>
      </c>
      <c r="H444">
        <v>305016</v>
      </c>
      <c r="I444">
        <v>55732.817499999997</v>
      </c>
      <c r="J444" s="2" t="s">
        <v>40</v>
      </c>
    </row>
    <row r="445" spans="1:10" x14ac:dyDescent="0.35">
      <c r="A445" s="1">
        <v>45067</v>
      </c>
      <c r="B445" s="2" t="s">
        <v>15</v>
      </c>
      <c r="C445" s="2" t="s">
        <v>16</v>
      </c>
      <c r="D445" s="2" t="s">
        <v>17</v>
      </c>
      <c r="E445" s="2" t="s">
        <v>35</v>
      </c>
      <c r="F445">
        <v>643</v>
      </c>
      <c r="G445">
        <v>206</v>
      </c>
      <c r="H445">
        <v>132458</v>
      </c>
      <c r="I445">
        <v>23382.7624</v>
      </c>
      <c r="J445" s="2" t="s">
        <v>40</v>
      </c>
    </row>
    <row r="446" spans="1:10" x14ac:dyDescent="0.35">
      <c r="A446" s="1">
        <v>45067</v>
      </c>
      <c r="B446" s="2" t="s">
        <v>15</v>
      </c>
      <c r="C446" s="2" t="s">
        <v>20</v>
      </c>
      <c r="D446" s="2" t="s">
        <v>30</v>
      </c>
      <c r="E446" s="2" t="s">
        <v>18</v>
      </c>
      <c r="F446">
        <v>836</v>
      </c>
      <c r="G446">
        <v>457</v>
      </c>
      <c r="H446">
        <v>382052</v>
      </c>
      <c r="I446">
        <v>63562.9594</v>
      </c>
      <c r="J446" s="2" t="s">
        <v>40</v>
      </c>
    </row>
    <row r="447" spans="1:10" x14ac:dyDescent="0.35">
      <c r="A447" s="1">
        <v>45067</v>
      </c>
      <c r="B447" s="2" t="s">
        <v>36</v>
      </c>
      <c r="C447" s="2" t="s">
        <v>20</v>
      </c>
      <c r="D447" s="2" t="s">
        <v>21</v>
      </c>
      <c r="E447" s="2" t="s">
        <v>33</v>
      </c>
      <c r="F447">
        <v>442</v>
      </c>
      <c r="G447">
        <v>213</v>
      </c>
      <c r="H447">
        <v>94146</v>
      </c>
      <c r="I447">
        <v>10207.64</v>
      </c>
      <c r="J447" s="2" t="s">
        <v>40</v>
      </c>
    </row>
    <row r="448" spans="1:10" x14ac:dyDescent="0.35">
      <c r="A448" s="1">
        <v>45067</v>
      </c>
      <c r="B448" s="2" t="s">
        <v>31</v>
      </c>
      <c r="C448" s="2" t="s">
        <v>20</v>
      </c>
      <c r="D448" s="2" t="s">
        <v>17</v>
      </c>
      <c r="E448" s="2" t="s">
        <v>18</v>
      </c>
      <c r="F448">
        <v>217</v>
      </c>
      <c r="G448">
        <v>389</v>
      </c>
      <c r="H448">
        <v>84413</v>
      </c>
      <c r="I448">
        <v>11824.9288</v>
      </c>
      <c r="J448" s="2" t="s">
        <v>40</v>
      </c>
    </row>
    <row r="449" spans="1:10" x14ac:dyDescent="0.35">
      <c r="A449" s="1">
        <v>45068</v>
      </c>
      <c r="B449" s="2" t="s">
        <v>26</v>
      </c>
      <c r="C449" s="2" t="s">
        <v>11</v>
      </c>
      <c r="D449" s="2" t="s">
        <v>12</v>
      </c>
      <c r="E449" s="2" t="s">
        <v>18</v>
      </c>
      <c r="F449">
        <v>454</v>
      </c>
      <c r="G449">
        <v>339</v>
      </c>
      <c r="H449">
        <v>153906</v>
      </c>
      <c r="I449">
        <v>24593.401399999999</v>
      </c>
      <c r="J449" s="2" t="s">
        <v>40</v>
      </c>
    </row>
    <row r="450" spans="1:10" x14ac:dyDescent="0.35">
      <c r="A450" s="1">
        <v>45068</v>
      </c>
      <c r="B450" s="2" t="s">
        <v>36</v>
      </c>
      <c r="C450" s="2" t="s">
        <v>23</v>
      </c>
      <c r="D450" s="2" t="s">
        <v>30</v>
      </c>
      <c r="E450" s="2" t="s">
        <v>24</v>
      </c>
      <c r="F450">
        <v>243</v>
      </c>
      <c r="G450">
        <v>427</v>
      </c>
      <c r="H450">
        <v>103761</v>
      </c>
      <c r="I450">
        <v>15832.0874</v>
      </c>
      <c r="J450" s="2" t="s">
        <v>40</v>
      </c>
    </row>
    <row r="451" spans="1:10" x14ac:dyDescent="0.35">
      <c r="A451" s="1">
        <v>45068</v>
      </c>
      <c r="B451" s="2" t="s">
        <v>25</v>
      </c>
      <c r="C451" s="2" t="s">
        <v>27</v>
      </c>
      <c r="D451" s="2" t="s">
        <v>17</v>
      </c>
      <c r="E451" s="2" t="s">
        <v>18</v>
      </c>
      <c r="F451">
        <v>982</v>
      </c>
      <c r="G451">
        <v>225</v>
      </c>
      <c r="H451">
        <v>220950</v>
      </c>
      <c r="I451">
        <v>47576.334799999997</v>
      </c>
      <c r="J451" s="2" t="s">
        <v>40</v>
      </c>
    </row>
    <row r="452" spans="1:10" x14ac:dyDescent="0.35">
      <c r="A452" s="1">
        <v>45069</v>
      </c>
      <c r="B452" s="2" t="s">
        <v>15</v>
      </c>
      <c r="C452" s="2" t="s">
        <v>16</v>
      </c>
      <c r="D452" s="2" t="s">
        <v>21</v>
      </c>
      <c r="E452" s="2" t="s">
        <v>28</v>
      </c>
      <c r="F452">
        <v>917</v>
      </c>
      <c r="G452">
        <v>319</v>
      </c>
      <c r="H452">
        <v>292523</v>
      </c>
      <c r="I452">
        <v>67122.573000000004</v>
      </c>
      <c r="J452" s="2" t="s">
        <v>40</v>
      </c>
    </row>
    <row r="453" spans="1:10" x14ac:dyDescent="0.35">
      <c r="A453" s="1">
        <v>45069</v>
      </c>
      <c r="B453" s="2" t="s">
        <v>36</v>
      </c>
      <c r="C453" s="2" t="s">
        <v>11</v>
      </c>
      <c r="D453" s="2" t="s">
        <v>17</v>
      </c>
      <c r="E453" s="2" t="s">
        <v>22</v>
      </c>
      <c r="F453">
        <v>214</v>
      </c>
      <c r="G453">
        <v>110</v>
      </c>
      <c r="H453">
        <v>23540</v>
      </c>
      <c r="I453">
        <v>4901.9948999999997</v>
      </c>
      <c r="J453" s="2" t="s">
        <v>40</v>
      </c>
    </row>
    <row r="454" spans="1:10" x14ac:dyDescent="0.35">
      <c r="A454" s="1">
        <v>45069</v>
      </c>
      <c r="B454" s="2" t="s">
        <v>31</v>
      </c>
      <c r="C454" s="2" t="s">
        <v>23</v>
      </c>
      <c r="D454" s="2" t="s">
        <v>12</v>
      </c>
      <c r="E454" s="2" t="s">
        <v>13</v>
      </c>
      <c r="F454">
        <v>654</v>
      </c>
      <c r="G454">
        <v>356</v>
      </c>
      <c r="H454">
        <v>232824</v>
      </c>
      <c r="I454">
        <v>47625.135199999997</v>
      </c>
      <c r="J454" s="2" t="s">
        <v>40</v>
      </c>
    </row>
    <row r="455" spans="1:10" x14ac:dyDescent="0.35">
      <c r="A455" s="1">
        <v>45069</v>
      </c>
      <c r="B455" s="2" t="s">
        <v>25</v>
      </c>
      <c r="C455" s="2" t="s">
        <v>29</v>
      </c>
      <c r="D455" s="2" t="s">
        <v>21</v>
      </c>
      <c r="E455" s="2" t="s">
        <v>22</v>
      </c>
      <c r="F455">
        <v>172</v>
      </c>
      <c r="G455">
        <v>326</v>
      </c>
      <c r="H455">
        <v>56072</v>
      </c>
      <c r="I455">
        <v>11349.4647</v>
      </c>
      <c r="J455" s="2" t="s">
        <v>40</v>
      </c>
    </row>
    <row r="456" spans="1:10" x14ac:dyDescent="0.35">
      <c r="A456" s="1">
        <v>45069</v>
      </c>
      <c r="B456" s="2" t="s">
        <v>19</v>
      </c>
      <c r="C456" s="2" t="s">
        <v>11</v>
      </c>
      <c r="D456" s="2" t="s">
        <v>30</v>
      </c>
      <c r="E456" s="2" t="s">
        <v>32</v>
      </c>
      <c r="F456">
        <v>475</v>
      </c>
      <c r="G456">
        <v>139</v>
      </c>
      <c r="H456">
        <v>66025</v>
      </c>
      <c r="I456">
        <v>5564.3361999999997</v>
      </c>
      <c r="J456" s="2" t="s">
        <v>40</v>
      </c>
    </row>
    <row r="457" spans="1:10" x14ac:dyDescent="0.35">
      <c r="A457" s="1">
        <v>45070</v>
      </c>
      <c r="B457" s="2" t="s">
        <v>34</v>
      </c>
      <c r="C457" s="2" t="s">
        <v>11</v>
      </c>
      <c r="D457" s="2" t="s">
        <v>21</v>
      </c>
      <c r="E457" s="2" t="s">
        <v>28</v>
      </c>
      <c r="F457">
        <v>436</v>
      </c>
      <c r="G457">
        <v>211</v>
      </c>
      <c r="H457">
        <v>91996</v>
      </c>
      <c r="I457">
        <v>8000.8281999999999</v>
      </c>
      <c r="J457" s="2" t="s">
        <v>40</v>
      </c>
    </row>
    <row r="458" spans="1:10" x14ac:dyDescent="0.35">
      <c r="A458" s="1">
        <v>45070</v>
      </c>
      <c r="B458" s="2" t="s">
        <v>31</v>
      </c>
      <c r="C458" s="2" t="s">
        <v>11</v>
      </c>
      <c r="D458" s="2" t="s">
        <v>17</v>
      </c>
      <c r="E458" s="2" t="s">
        <v>22</v>
      </c>
      <c r="F458">
        <v>516</v>
      </c>
      <c r="G458">
        <v>316</v>
      </c>
      <c r="H458">
        <v>163056</v>
      </c>
      <c r="I458">
        <v>15477.0357</v>
      </c>
      <c r="J458" s="2" t="s">
        <v>40</v>
      </c>
    </row>
    <row r="459" spans="1:10" x14ac:dyDescent="0.35">
      <c r="A459" s="1">
        <v>45070</v>
      </c>
      <c r="B459" s="2" t="s">
        <v>31</v>
      </c>
      <c r="C459" s="2" t="s">
        <v>27</v>
      </c>
      <c r="D459" s="2" t="s">
        <v>30</v>
      </c>
      <c r="E459" s="2" t="s">
        <v>28</v>
      </c>
      <c r="F459">
        <v>325</v>
      </c>
      <c r="G459">
        <v>346</v>
      </c>
      <c r="H459">
        <v>112450</v>
      </c>
      <c r="I459">
        <v>16215.5357</v>
      </c>
      <c r="J459" s="2" t="s">
        <v>40</v>
      </c>
    </row>
    <row r="460" spans="1:10" x14ac:dyDescent="0.35">
      <c r="A460" s="1">
        <v>45071</v>
      </c>
      <c r="B460" s="2" t="s">
        <v>36</v>
      </c>
      <c r="C460" s="2" t="s">
        <v>11</v>
      </c>
      <c r="D460" s="2" t="s">
        <v>17</v>
      </c>
      <c r="E460" s="2" t="s">
        <v>32</v>
      </c>
      <c r="F460">
        <v>547</v>
      </c>
      <c r="G460">
        <v>364</v>
      </c>
      <c r="H460">
        <v>199108</v>
      </c>
      <c r="I460">
        <v>47579.797700000003</v>
      </c>
      <c r="J460" s="2" t="s">
        <v>40</v>
      </c>
    </row>
    <row r="461" spans="1:10" x14ac:dyDescent="0.35">
      <c r="A461" s="1">
        <v>45071</v>
      </c>
      <c r="B461" s="2" t="s">
        <v>26</v>
      </c>
      <c r="C461" s="2" t="s">
        <v>23</v>
      </c>
      <c r="D461" s="2" t="s">
        <v>21</v>
      </c>
      <c r="E461" s="2" t="s">
        <v>28</v>
      </c>
      <c r="F461">
        <v>503</v>
      </c>
      <c r="G461">
        <v>294</v>
      </c>
      <c r="H461">
        <v>147882</v>
      </c>
      <c r="I461">
        <v>25646.2988</v>
      </c>
      <c r="J461" s="2" t="s">
        <v>40</v>
      </c>
    </row>
    <row r="462" spans="1:10" x14ac:dyDescent="0.35">
      <c r="A462" s="1">
        <v>45072</v>
      </c>
      <c r="B462" s="2" t="s">
        <v>10</v>
      </c>
      <c r="C462" s="2" t="s">
        <v>20</v>
      </c>
      <c r="D462" s="2" t="s">
        <v>17</v>
      </c>
      <c r="E462" s="2" t="s">
        <v>13</v>
      </c>
      <c r="F462">
        <v>703</v>
      </c>
      <c r="G462">
        <v>134</v>
      </c>
      <c r="H462">
        <v>94202</v>
      </c>
      <c r="I462">
        <v>22268.816699999999</v>
      </c>
      <c r="J462" s="2" t="s">
        <v>40</v>
      </c>
    </row>
    <row r="463" spans="1:10" x14ac:dyDescent="0.35">
      <c r="A463" s="1">
        <v>45072</v>
      </c>
      <c r="B463" s="2" t="s">
        <v>36</v>
      </c>
      <c r="C463" s="2" t="s">
        <v>11</v>
      </c>
      <c r="D463" s="2" t="s">
        <v>17</v>
      </c>
      <c r="E463" s="2" t="s">
        <v>35</v>
      </c>
      <c r="F463">
        <v>870</v>
      </c>
      <c r="G463">
        <v>337</v>
      </c>
      <c r="H463">
        <v>293190</v>
      </c>
      <c r="I463">
        <v>45610.548999999999</v>
      </c>
      <c r="J463" s="2" t="s">
        <v>40</v>
      </c>
    </row>
    <row r="464" spans="1:10" x14ac:dyDescent="0.35">
      <c r="A464" s="1">
        <v>45072</v>
      </c>
      <c r="B464" s="2" t="s">
        <v>31</v>
      </c>
      <c r="C464" s="2" t="s">
        <v>23</v>
      </c>
      <c r="D464" s="2" t="s">
        <v>21</v>
      </c>
      <c r="E464" s="2" t="s">
        <v>18</v>
      </c>
      <c r="F464">
        <v>412</v>
      </c>
      <c r="G464">
        <v>275</v>
      </c>
      <c r="H464">
        <v>113300</v>
      </c>
      <c r="I464">
        <v>23790.1253</v>
      </c>
      <c r="J464" s="2" t="s">
        <v>40</v>
      </c>
    </row>
    <row r="465" spans="1:10" x14ac:dyDescent="0.35">
      <c r="A465" s="1">
        <v>45073</v>
      </c>
      <c r="B465" s="2" t="s">
        <v>34</v>
      </c>
      <c r="C465" s="2" t="s">
        <v>16</v>
      </c>
      <c r="D465" s="2" t="s">
        <v>30</v>
      </c>
      <c r="E465" s="2" t="s">
        <v>24</v>
      </c>
      <c r="F465">
        <v>747</v>
      </c>
      <c r="G465">
        <v>386</v>
      </c>
      <c r="H465">
        <v>288342</v>
      </c>
      <c r="I465">
        <v>68476.261899999998</v>
      </c>
      <c r="J465" s="2" t="s">
        <v>40</v>
      </c>
    </row>
    <row r="466" spans="1:10" x14ac:dyDescent="0.35">
      <c r="A466" s="1">
        <v>45073</v>
      </c>
      <c r="B466" s="2" t="s">
        <v>19</v>
      </c>
      <c r="C466" s="2" t="s">
        <v>11</v>
      </c>
      <c r="D466" s="2" t="s">
        <v>30</v>
      </c>
      <c r="E466" s="2" t="s">
        <v>28</v>
      </c>
      <c r="F466">
        <v>814</v>
      </c>
      <c r="G466">
        <v>101</v>
      </c>
      <c r="H466">
        <v>82214</v>
      </c>
      <c r="I466">
        <v>16593.035400000001</v>
      </c>
      <c r="J466" s="2" t="s">
        <v>40</v>
      </c>
    </row>
    <row r="467" spans="1:10" x14ac:dyDescent="0.35">
      <c r="A467" s="1">
        <v>45073</v>
      </c>
      <c r="B467" s="2" t="s">
        <v>15</v>
      </c>
      <c r="C467" s="2" t="s">
        <v>23</v>
      </c>
      <c r="D467" s="2" t="s">
        <v>17</v>
      </c>
      <c r="E467" s="2" t="s">
        <v>35</v>
      </c>
      <c r="F467">
        <v>175</v>
      </c>
      <c r="G467">
        <v>232</v>
      </c>
      <c r="H467">
        <v>40600</v>
      </c>
      <c r="I467">
        <v>9309.3824999999997</v>
      </c>
      <c r="J467" s="2" t="s">
        <v>40</v>
      </c>
    </row>
    <row r="468" spans="1:10" x14ac:dyDescent="0.35">
      <c r="A468" s="1">
        <v>45073</v>
      </c>
      <c r="B468" s="2" t="s">
        <v>15</v>
      </c>
      <c r="C468" s="2" t="s">
        <v>16</v>
      </c>
      <c r="D468" s="2" t="s">
        <v>21</v>
      </c>
      <c r="E468" s="2" t="s">
        <v>35</v>
      </c>
      <c r="F468">
        <v>381</v>
      </c>
      <c r="G468">
        <v>283</v>
      </c>
      <c r="H468">
        <v>107823</v>
      </c>
      <c r="I468">
        <v>9525.6324000000004</v>
      </c>
      <c r="J468" s="2" t="s">
        <v>40</v>
      </c>
    </row>
    <row r="469" spans="1:10" x14ac:dyDescent="0.35">
      <c r="A469" s="1">
        <v>45073</v>
      </c>
      <c r="B469" s="2" t="s">
        <v>31</v>
      </c>
      <c r="C469" s="2" t="s">
        <v>11</v>
      </c>
      <c r="D469" s="2" t="s">
        <v>21</v>
      </c>
      <c r="E469" s="2" t="s">
        <v>22</v>
      </c>
      <c r="F469">
        <v>756</v>
      </c>
      <c r="G469">
        <v>263</v>
      </c>
      <c r="H469">
        <v>198828</v>
      </c>
      <c r="I469">
        <v>39793.039799999999</v>
      </c>
      <c r="J469" s="2" t="s">
        <v>40</v>
      </c>
    </row>
    <row r="470" spans="1:10" x14ac:dyDescent="0.35">
      <c r="A470" s="1">
        <v>45074</v>
      </c>
      <c r="B470" s="2" t="s">
        <v>34</v>
      </c>
      <c r="C470" s="2" t="s">
        <v>23</v>
      </c>
      <c r="D470" s="2" t="s">
        <v>17</v>
      </c>
      <c r="E470" s="2" t="s">
        <v>18</v>
      </c>
      <c r="F470">
        <v>253</v>
      </c>
      <c r="G470">
        <v>429</v>
      </c>
      <c r="H470">
        <v>108537</v>
      </c>
      <c r="I470">
        <v>17323.8269</v>
      </c>
      <c r="J470" s="2" t="s">
        <v>40</v>
      </c>
    </row>
    <row r="471" spans="1:10" x14ac:dyDescent="0.35">
      <c r="A471" s="1">
        <v>45074</v>
      </c>
      <c r="B471" s="2" t="s">
        <v>19</v>
      </c>
      <c r="C471" s="2" t="s">
        <v>27</v>
      </c>
      <c r="D471" s="2" t="s">
        <v>30</v>
      </c>
      <c r="E471" s="2" t="s">
        <v>35</v>
      </c>
      <c r="F471">
        <v>643</v>
      </c>
      <c r="G471">
        <v>166</v>
      </c>
      <c r="H471">
        <v>106738</v>
      </c>
      <c r="I471">
        <v>26354.564900000001</v>
      </c>
      <c r="J471" s="2" t="s">
        <v>40</v>
      </c>
    </row>
    <row r="472" spans="1:10" x14ac:dyDescent="0.35">
      <c r="A472" s="1">
        <v>45074</v>
      </c>
      <c r="B472" s="2" t="s">
        <v>26</v>
      </c>
      <c r="C472" s="2" t="s">
        <v>11</v>
      </c>
      <c r="D472" s="2" t="s">
        <v>12</v>
      </c>
      <c r="E472" s="2" t="s">
        <v>24</v>
      </c>
      <c r="F472">
        <v>295</v>
      </c>
      <c r="G472">
        <v>439</v>
      </c>
      <c r="H472">
        <v>129505</v>
      </c>
      <c r="I472">
        <v>23127.2945</v>
      </c>
      <c r="J472" s="2" t="s">
        <v>40</v>
      </c>
    </row>
    <row r="473" spans="1:10" x14ac:dyDescent="0.35">
      <c r="A473" s="1">
        <v>45075</v>
      </c>
      <c r="B473" s="2" t="s">
        <v>25</v>
      </c>
      <c r="C473" s="2" t="s">
        <v>20</v>
      </c>
      <c r="D473" s="2" t="s">
        <v>21</v>
      </c>
      <c r="E473" s="2" t="s">
        <v>24</v>
      </c>
      <c r="F473">
        <v>953</v>
      </c>
      <c r="G473">
        <v>363</v>
      </c>
      <c r="H473">
        <v>345939</v>
      </c>
      <c r="I473">
        <v>58505.283799999997</v>
      </c>
      <c r="J473" s="2" t="s">
        <v>40</v>
      </c>
    </row>
    <row r="474" spans="1:10" x14ac:dyDescent="0.35">
      <c r="A474" s="1">
        <v>45075</v>
      </c>
      <c r="B474" s="2" t="s">
        <v>10</v>
      </c>
      <c r="C474" s="2" t="s">
        <v>23</v>
      </c>
      <c r="D474" s="2" t="s">
        <v>30</v>
      </c>
      <c r="E474" s="2" t="s">
        <v>28</v>
      </c>
      <c r="F474">
        <v>373</v>
      </c>
      <c r="G474">
        <v>137</v>
      </c>
      <c r="H474">
        <v>51101</v>
      </c>
      <c r="I474">
        <v>5508.1538</v>
      </c>
      <c r="J474" s="2" t="s">
        <v>40</v>
      </c>
    </row>
    <row r="475" spans="1:10" x14ac:dyDescent="0.35">
      <c r="A475" s="1">
        <v>45075</v>
      </c>
      <c r="B475" s="2" t="s">
        <v>15</v>
      </c>
      <c r="C475" s="2" t="s">
        <v>27</v>
      </c>
      <c r="D475" s="2" t="s">
        <v>12</v>
      </c>
      <c r="E475" s="2" t="s">
        <v>22</v>
      </c>
      <c r="F475">
        <v>266</v>
      </c>
      <c r="G475">
        <v>238</v>
      </c>
      <c r="H475">
        <v>63308</v>
      </c>
      <c r="I475">
        <v>5793.8683000000001</v>
      </c>
      <c r="J475" s="2" t="s">
        <v>40</v>
      </c>
    </row>
    <row r="476" spans="1:10" x14ac:dyDescent="0.35">
      <c r="A476" s="1">
        <v>45075</v>
      </c>
      <c r="B476" s="2" t="s">
        <v>36</v>
      </c>
      <c r="C476" s="2" t="s">
        <v>23</v>
      </c>
      <c r="D476" s="2" t="s">
        <v>21</v>
      </c>
      <c r="E476" s="2" t="s">
        <v>18</v>
      </c>
      <c r="F476">
        <v>993</v>
      </c>
      <c r="G476">
        <v>222</v>
      </c>
      <c r="H476">
        <v>220446</v>
      </c>
      <c r="I476">
        <v>25031.211500000001</v>
      </c>
      <c r="J476" s="2" t="s">
        <v>40</v>
      </c>
    </row>
    <row r="477" spans="1:10" x14ac:dyDescent="0.35">
      <c r="A477" s="1">
        <v>45075</v>
      </c>
      <c r="B477" s="2" t="s">
        <v>15</v>
      </c>
      <c r="C477" s="2" t="s">
        <v>16</v>
      </c>
      <c r="D477" s="2" t="s">
        <v>12</v>
      </c>
      <c r="E477" s="2" t="s">
        <v>18</v>
      </c>
      <c r="F477">
        <v>687</v>
      </c>
      <c r="G477">
        <v>170</v>
      </c>
      <c r="H477">
        <v>116790</v>
      </c>
      <c r="I477">
        <v>12528.181200000001</v>
      </c>
      <c r="J477" s="2" t="s">
        <v>40</v>
      </c>
    </row>
    <row r="478" spans="1:10" x14ac:dyDescent="0.35">
      <c r="A478" s="1">
        <v>45075</v>
      </c>
      <c r="B478" s="2" t="s">
        <v>34</v>
      </c>
      <c r="C478" s="2" t="s">
        <v>20</v>
      </c>
      <c r="D478" s="2" t="s">
        <v>30</v>
      </c>
      <c r="E478" s="2" t="s">
        <v>24</v>
      </c>
      <c r="F478">
        <v>244</v>
      </c>
      <c r="G478">
        <v>326</v>
      </c>
      <c r="H478">
        <v>79544</v>
      </c>
      <c r="I478">
        <v>11418.765100000001</v>
      </c>
      <c r="J478" s="2" t="s">
        <v>40</v>
      </c>
    </row>
    <row r="479" spans="1:10" x14ac:dyDescent="0.35">
      <c r="A479" s="1">
        <v>45076</v>
      </c>
      <c r="B479" s="2" t="s">
        <v>15</v>
      </c>
      <c r="C479" s="2" t="s">
        <v>11</v>
      </c>
      <c r="D479" s="2" t="s">
        <v>12</v>
      </c>
      <c r="E479" s="2" t="s">
        <v>35</v>
      </c>
      <c r="F479">
        <v>733</v>
      </c>
      <c r="G479">
        <v>327</v>
      </c>
      <c r="H479">
        <v>239691</v>
      </c>
      <c r="I479">
        <v>47362.167699999998</v>
      </c>
      <c r="J479" s="2" t="s">
        <v>40</v>
      </c>
    </row>
    <row r="480" spans="1:10" x14ac:dyDescent="0.35">
      <c r="A480" s="1">
        <v>45077</v>
      </c>
      <c r="B480" s="2" t="s">
        <v>25</v>
      </c>
      <c r="C480" s="2" t="s">
        <v>16</v>
      </c>
      <c r="D480" s="2" t="s">
        <v>30</v>
      </c>
      <c r="E480" s="2" t="s">
        <v>33</v>
      </c>
      <c r="F480">
        <v>542</v>
      </c>
      <c r="G480">
        <v>405</v>
      </c>
      <c r="H480">
        <v>219510</v>
      </c>
      <c r="I480">
        <v>51832.9614</v>
      </c>
      <c r="J480" s="2" t="s">
        <v>40</v>
      </c>
    </row>
    <row r="481" spans="1:10" x14ac:dyDescent="0.35">
      <c r="A481" s="1">
        <v>45077</v>
      </c>
      <c r="B481" s="2" t="s">
        <v>36</v>
      </c>
      <c r="C481" s="2" t="s">
        <v>23</v>
      </c>
      <c r="D481" s="2" t="s">
        <v>21</v>
      </c>
      <c r="E481" s="2" t="s">
        <v>22</v>
      </c>
      <c r="F481">
        <v>920</v>
      </c>
      <c r="G481">
        <v>344</v>
      </c>
      <c r="H481">
        <v>316480</v>
      </c>
      <c r="I481">
        <v>53415.171600000001</v>
      </c>
      <c r="J481" s="2" t="s">
        <v>40</v>
      </c>
    </row>
    <row r="482" spans="1:10" x14ac:dyDescent="0.35">
      <c r="A482" s="1">
        <v>45077</v>
      </c>
      <c r="B482" s="2" t="s">
        <v>36</v>
      </c>
      <c r="C482" s="2" t="s">
        <v>23</v>
      </c>
      <c r="D482" s="2" t="s">
        <v>12</v>
      </c>
      <c r="E482" s="2" t="s">
        <v>22</v>
      </c>
      <c r="F482">
        <v>583</v>
      </c>
      <c r="G482">
        <v>197</v>
      </c>
      <c r="H482">
        <v>114851</v>
      </c>
      <c r="I482">
        <v>14599.9547</v>
      </c>
      <c r="J482" s="2" t="s">
        <v>40</v>
      </c>
    </row>
    <row r="483" spans="1:10" x14ac:dyDescent="0.35">
      <c r="A483" s="1">
        <v>45077</v>
      </c>
      <c r="B483" s="2" t="s">
        <v>15</v>
      </c>
      <c r="C483" s="2" t="s">
        <v>29</v>
      </c>
      <c r="D483" s="2" t="s">
        <v>17</v>
      </c>
      <c r="E483" s="2" t="s">
        <v>32</v>
      </c>
      <c r="F483">
        <v>362</v>
      </c>
      <c r="G483">
        <v>275</v>
      </c>
      <c r="H483">
        <v>99550</v>
      </c>
      <c r="I483">
        <v>24052.220099999999</v>
      </c>
      <c r="J483" s="2" t="s">
        <v>40</v>
      </c>
    </row>
    <row r="484" spans="1:10" x14ac:dyDescent="0.35">
      <c r="A484" s="1">
        <v>45078</v>
      </c>
      <c r="B484" s="2" t="s">
        <v>15</v>
      </c>
      <c r="C484" s="2" t="s">
        <v>23</v>
      </c>
      <c r="D484" s="2" t="s">
        <v>12</v>
      </c>
      <c r="E484" s="2" t="s">
        <v>32</v>
      </c>
      <c r="F484">
        <v>893</v>
      </c>
      <c r="G484">
        <v>410</v>
      </c>
      <c r="H484">
        <v>366130</v>
      </c>
      <c r="I484">
        <v>29887.053899999999</v>
      </c>
      <c r="J484" s="2" t="s">
        <v>41</v>
      </c>
    </row>
    <row r="485" spans="1:10" x14ac:dyDescent="0.35">
      <c r="A485" s="1">
        <v>45078</v>
      </c>
      <c r="B485" s="2" t="s">
        <v>26</v>
      </c>
      <c r="C485" s="2" t="s">
        <v>16</v>
      </c>
      <c r="D485" s="2" t="s">
        <v>12</v>
      </c>
      <c r="E485" s="2" t="s">
        <v>35</v>
      </c>
      <c r="F485">
        <v>714</v>
      </c>
      <c r="G485">
        <v>349</v>
      </c>
      <c r="H485">
        <v>249186</v>
      </c>
      <c r="I485">
        <v>44065.334000000003</v>
      </c>
      <c r="J485" s="2" t="s">
        <v>41</v>
      </c>
    </row>
    <row r="486" spans="1:10" x14ac:dyDescent="0.35">
      <c r="A486" s="1">
        <v>45078</v>
      </c>
      <c r="B486" s="2" t="s">
        <v>15</v>
      </c>
      <c r="C486" s="2" t="s">
        <v>23</v>
      </c>
      <c r="D486" s="2" t="s">
        <v>17</v>
      </c>
      <c r="E486" s="2" t="s">
        <v>18</v>
      </c>
      <c r="F486">
        <v>920</v>
      </c>
      <c r="G486">
        <v>298</v>
      </c>
      <c r="H486">
        <v>274160</v>
      </c>
      <c r="I486">
        <v>65060.4375</v>
      </c>
      <c r="J486" s="2" t="s">
        <v>41</v>
      </c>
    </row>
    <row r="487" spans="1:10" x14ac:dyDescent="0.35">
      <c r="A487" s="1">
        <v>45079</v>
      </c>
      <c r="B487" s="2" t="s">
        <v>25</v>
      </c>
      <c r="C487" s="2" t="s">
        <v>27</v>
      </c>
      <c r="D487" s="2" t="s">
        <v>21</v>
      </c>
      <c r="E487" s="2" t="s">
        <v>35</v>
      </c>
      <c r="F487">
        <v>448</v>
      </c>
      <c r="G487">
        <v>213</v>
      </c>
      <c r="H487">
        <v>95424</v>
      </c>
      <c r="I487">
        <v>22440.757099999999</v>
      </c>
      <c r="J487" s="2" t="s">
        <v>41</v>
      </c>
    </row>
    <row r="488" spans="1:10" x14ac:dyDescent="0.35">
      <c r="A488" s="1">
        <v>45079</v>
      </c>
      <c r="B488" s="2" t="s">
        <v>31</v>
      </c>
      <c r="C488" s="2" t="s">
        <v>27</v>
      </c>
      <c r="D488" s="2" t="s">
        <v>21</v>
      </c>
      <c r="E488" s="2" t="s">
        <v>24</v>
      </c>
      <c r="F488">
        <v>716</v>
      </c>
      <c r="G488">
        <v>479</v>
      </c>
      <c r="H488">
        <v>342964</v>
      </c>
      <c r="I488">
        <v>59295.609100000001</v>
      </c>
      <c r="J488" s="2" t="s">
        <v>41</v>
      </c>
    </row>
    <row r="489" spans="1:10" x14ac:dyDescent="0.35">
      <c r="A489" s="1">
        <v>45079</v>
      </c>
      <c r="B489" s="2" t="s">
        <v>34</v>
      </c>
      <c r="C489" s="2" t="s">
        <v>29</v>
      </c>
      <c r="D489" s="2" t="s">
        <v>17</v>
      </c>
      <c r="E489" s="2" t="s">
        <v>32</v>
      </c>
      <c r="F489">
        <v>454</v>
      </c>
      <c r="G489">
        <v>331</v>
      </c>
      <c r="H489">
        <v>150274</v>
      </c>
      <c r="I489">
        <v>30188.688200000001</v>
      </c>
      <c r="J489" s="2" t="s">
        <v>41</v>
      </c>
    </row>
    <row r="490" spans="1:10" x14ac:dyDescent="0.35">
      <c r="A490" s="1">
        <v>45080</v>
      </c>
      <c r="B490" s="2" t="s">
        <v>15</v>
      </c>
      <c r="C490" s="2" t="s">
        <v>27</v>
      </c>
      <c r="D490" s="2" t="s">
        <v>12</v>
      </c>
      <c r="E490" s="2" t="s">
        <v>32</v>
      </c>
      <c r="F490">
        <v>647</v>
      </c>
      <c r="G490">
        <v>220</v>
      </c>
      <c r="H490">
        <v>142340</v>
      </c>
      <c r="I490">
        <v>16893.700499999999</v>
      </c>
      <c r="J490" s="2" t="s">
        <v>41</v>
      </c>
    </row>
    <row r="491" spans="1:10" x14ac:dyDescent="0.35">
      <c r="A491" s="1">
        <v>45080</v>
      </c>
      <c r="B491" s="2" t="s">
        <v>34</v>
      </c>
      <c r="C491" s="2" t="s">
        <v>27</v>
      </c>
      <c r="D491" s="2" t="s">
        <v>21</v>
      </c>
      <c r="E491" s="2" t="s">
        <v>13</v>
      </c>
      <c r="F491">
        <v>50</v>
      </c>
      <c r="G491">
        <v>371</v>
      </c>
      <c r="H491">
        <v>18550</v>
      </c>
      <c r="I491">
        <v>4527.6085999999996</v>
      </c>
      <c r="J491" s="2" t="s">
        <v>41</v>
      </c>
    </row>
    <row r="492" spans="1:10" x14ac:dyDescent="0.35">
      <c r="A492" s="1">
        <v>45080</v>
      </c>
      <c r="B492" s="2" t="s">
        <v>15</v>
      </c>
      <c r="C492" s="2" t="s">
        <v>16</v>
      </c>
      <c r="D492" s="2" t="s">
        <v>17</v>
      </c>
      <c r="E492" s="2" t="s">
        <v>28</v>
      </c>
      <c r="F492">
        <v>57</v>
      </c>
      <c r="G492">
        <v>407</v>
      </c>
      <c r="H492">
        <v>23199</v>
      </c>
      <c r="I492">
        <v>2141.8420999999998</v>
      </c>
      <c r="J492" s="2" t="s">
        <v>41</v>
      </c>
    </row>
    <row r="493" spans="1:10" x14ac:dyDescent="0.35">
      <c r="A493" s="1">
        <v>45080</v>
      </c>
      <c r="B493" s="2" t="s">
        <v>15</v>
      </c>
      <c r="C493" s="2" t="s">
        <v>27</v>
      </c>
      <c r="D493" s="2" t="s">
        <v>21</v>
      </c>
      <c r="E493" s="2" t="s">
        <v>28</v>
      </c>
      <c r="F493">
        <v>985</v>
      </c>
      <c r="G493">
        <v>385</v>
      </c>
      <c r="H493">
        <v>379225</v>
      </c>
      <c r="I493">
        <v>40144.6783</v>
      </c>
      <c r="J493" s="2" t="s">
        <v>41</v>
      </c>
    </row>
    <row r="494" spans="1:10" x14ac:dyDescent="0.35">
      <c r="A494" s="1">
        <v>45080</v>
      </c>
      <c r="B494" s="2" t="s">
        <v>26</v>
      </c>
      <c r="C494" s="2" t="s">
        <v>29</v>
      </c>
      <c r="D494" s="2" t="s">
        <v>30</v>
      </c>
      <c r="E494" s="2" t="s">
        <v>35</v>
      </c>
      <c r="F494">
        <v>453</v>
      </c>
      <c r="G494">
        <v>424</v>
      </c>
      <c r="H494">
        <v>192072</v>
      </c>
      <c r="I494">
        <v>23838.625199999999</v>
      </c>
      <c r="J494" s="2" t="s">
        <v>41</v>
      </c>
    </row>
    <row r="495" spans="1:10" x14ac:dyDescent="0.35">
      <c r="A495" s="1">
        <v>45080</v>
      </c>
      <c r="B495" s="2" t="s">
        <v>31</v>
      </c>
      <c r="C495" s="2" t="s">
        <v>11</v>
      </c>
      <c r="D495" s="2" t="s">
        <v>30</v>
      </c>
      <c r="E495" s="2" t="s">
        <v>32</v>
      </c>
      <c r="F495">
        <v>389</v>
      </c>
      <c r="G495">
        <v>232</v>
      </c>
      <c r="H495">
        <v>90248</v>
      </c>
      <c r="I495">
        <v>9365.5102000000006</v>
      </c>
      <c r="J495" s="2" t="s">
        <v>41</v>
      </c>
    </row>
    <row r="496" spans="1:10" x14ac:dyDescent="0.35">
      <c r="A496" s="1">
        <v>45080</v>
      </c>
      <c r="B496" s="2" t="s">
        <v>19</v>
      </c>
      <c r="C496" s="2" t="s">
        <v>29</v>
      </c>
      <c r="D496" s="2" t="s">
        <v>21</v>
      </c>
      <c r="E496" s="2" t="s">
        <v>24</v>
      </c>
      <c r="F496">
        <v>484</v>
      </c>
      <c r="G496">
        <v>164</v>
      </c>
      <c r="H496">
        <v>79376</v>
      </c>
      <c r="I496">
        <v>17617.436000000002</v>
      </c>
      <c r="J496" s="2" t="s">
        <v>41</v>
      </c>
    </row>
    <row r="497" spans="1:10" x14ac:dyDescent="0.35">
      <c r="A497" s="1">
        <v>45080</v>
      </c>
      <c r="B497" s="2" t="s">
        <v>19</v>
      </c>
      <c r="C497" s="2" t="s">
        <v>11</v>
      </c>
      <c r="D497" s="2" t="s">
        <v>21</v>
      </c>
      <c r="E497" s="2" t="s">
        <v>35</v>
      </c>
      <c r="F497">
        <v>890</v>
      </c>
      <c r="G497">
        <v>176</v>
      </c>
      <c r="H497">
        <v>156640</v>
      </c>
      <c r="I497">
        <v>14533.9198</v>
      </c>
      <c r="J497" s="2" t="s">
        <v>41</v>
      </c>
    </row>
    <row r="498" spans="1:10" x14ac:dyDescent="0.35">
      <c r="A498" s="1">
        <v>45081</v>
      </c>
      <c r="B498" s="2" t="s">
        <v>19</v>
      </c>
      <c r="C498" s="2" t="s">
        <v>29</v>
      </c>
      <c r="D498" s="2" t="s">
        <v>30</v>
      </c>
      <c r="E498" s="2" t="s">
        <v>13</v>
      </c>
      <c r="F498">
        <v>608</v>
      </c>
      <c r="G498">
        <v>322</v>
      </c>
      <c r="H498">
        <v>195776</v>
      </c>
      <c r="I498">
        <v>29286.8037</v>
      </c>
      <c r="J498" s="2" t="s">
        <v>41</v>
      </c>
    </row>
    <row r="499" spans="1:10" x14ac:dyDescent="0.35">
      <c r="A499" s="1">
        <v>45081</v>
      </c>
      <c r="B499" s="2" t="s">
        <v>19</v>
      </c>
      <c r="C499" s="2" t="s">
        <v>11</v>
      </c>
      <c r="D499" s="2" t="s">
        <v>12</v>
      </c>
      <c r="E499" s="2" t="s">
        <v>22</v>
      </c>
      <c r="F499">
        <v>197</v>
      </c>
      <c r="G499">
        <v>393</v>
      </c>
      <c r="H499">
        <v>77421</v>
      </c>
      <c r="I499">
        <v>8053.6068999999998</v>
      </c>
      <c r="J499" s="2" t="s">
        <v>41</v>
      </c>
    </row>
    <row r="500" spans="1:10" x14ac:dyDescent="0.35">
      <c r="A500" s="1">
        <v>45082</v>
      </c>
      <c r="B500" s="2" t="s">
        <v>19</v>
      </c>
      <c r="C500" s="2" t="s">
        <v>11</v>
      </c>
      <c r="D500" s="2" t="s">
        <v>12</v>
      </c>
      <c r="E500" s="2" t="s">
        <v>33</v>
      </c>
      <c r="F500">
        <v>105</v>
      </c>
      <c r="G500">
        <v>428</v>
      </c>
      <c r="H500">
        <v>44940</v>
      </c>
      <c r="I500">
        <v>7277.6974</v>
      </c>
      <c r="J500" s="2" t="s">
        <v>41</v>
      </c>
    </row>
    <row r="501" spans="1:10" x14ac:dyDescent="0.35">
      <c r="A501" s="1">
        <v>45082</v>
      </c>
      <c r="B501" s="2" t="s">
        <v>15</v>
      </c>
      <c r="C501" s="2" t="s">
        <v>29</v>
      </c>
      <c r="D501" s="2" t="s">
        <v>30</v>
      </c>
      <c r="E501" s="2" t="s">
        <v>32</v>
      </c>
      <c r="F501">
        <v>169</v>
      </c>
      <c r="G501">
        <v>294</v>
      </c>
      <c r="H501">
        <v>49686</v>
      </c>
      <c r="I501">
        <v>9015.6250999999993</v>
      </c>
      <c r="J501" s="2" t="s">
        <v>41</v>
      </c>
    </row>
    <row r="502" spans="1:10" x14ac:dyDescent="0.35">
      <c r="A502" s="1">
        <v>45082</v>
      </c>
      <c r="B502" s="2" t="s">
        <v>10</v>
      </c>
      <c r="C502" s="2" t="s">
        <v>23</v>
      </c>
      <c r="D502" s="2" t="s">
        <v>21</v>
      </c>
      <c r="E502" s="2" t="s">
        <v>24</v>
      </c>
      <c r="F502">
        <v>915</v>
      </c>
      <c r="G502">
        <v>162</v>
      </c>
      <c r="H502">
        <v>148230</v>
      </c>
      <c r="I502">
        <v>28820.249400000001</v>
      </c>
      <c r="J502" s="2" t="s">
        <v>41</v>
      </c>
    </row>
    <row r="503" spans="1:10" x14ac:dyDescent="0.35">
      <c r="A503" s="1">
        <v>45082</v>
      </c>
      <c r="B503" s="2" t="s">
        <v>10</v>
      </c>
      <c r="C503" s="2" t="s">
        <v>11</v>
      </c>
      <c r="D503" s="2" t="s">
        <v>30</v>
      </c>
      <c r="E503" s="2" t="s">
        <v>18</v>
      </c>
      <c r="F503">
        <v>672</v>
      </c>
      <c r="G503">
        <v>188</v>
      </c>
      <c r="H503">
        <v>126336</v>
      </c>
      <c r="I503">
        <v>19291.086500000001</v>
      </c>
      <c r="J503" s="2" t="s">
        <v>41</v>
      </c>
    </row>
    <row r="504" spans="1:10" x14ac:dyDescent="0.35">
      <c r="A504" s="1">
        <v>45083</v>
      </c>
      <c r="B504" s="2" t="s">
        <v>15</v>
      </c>
      <c r="C504" s="2" t="s">
        <v>11</v>
      </c>
      <c r="D504" s="2" t="s">
        <v>21</v>
      </c>
      <c r="E504" s="2" t="s">
        <v>35</v>
      </c>
      <c r="F504">
        <v>107</v>
      </c>
      <c r="G504">
        <v>431</v>
      </c>
      <c r="H504">
        <v>46117</v>
      </c>
      <c r="I504">
        <v>5677.6505999999999</v>
      </c>
      <c r="J504" s="2" t="s">
        <v>41</v>
      </c>
    </row>
    <row r="505" spans="1:10" x14ac:dyDescent="0.35">
      <c r="A505" s="1">
        <v>45083</v>
      </c>
      <c r="B505" s="2" t="s">
        <v>19</v>
      </c>
      <c r="C505" s="2" t="s">
        <v>16</v>
      </c>
      <c r="D505" s="2" t="s">
        <v>21</v>
      </c>
      <c r="E505" s="2" t="s">
        <v>18</v>
      </c>
      <c r="F505">
        <v>504</v>
      </c>
      <c r="G505">
        <v>467</v>
      </c>
      <c r="H505">
        <v>235368</v>
      </c>
      <c r="I505">
        <v>50428.570699999997</v>
      </c>
      <c r="J505" s="2" t="s">
        <v>41</v>
      </c>
    </row>
    <row r="506" spans="1:10" x14ac:dyDescent="0.35">
      <c r="A506" s="1">
        <v>45083</v>
      </c>
      <c r="B506" s="2" t="s">
        <v>31</v>
      </c>
      <c r="C506" s="2" t="s">
        <v>23</v>
      </c>
      <c r="D506" s="2" t="s">
        <v>30</v>
      </c>
      <c r="E506" s="2" t="s">
        <v>24</v>
      </c>
      <c r="F506">
        <v>784</v>
      </c>
      <c r="G506">
        <v>365</v>
      </c>
      <c r="H506">
        <v>286160</v>
      </c>
      <c r="I506">
        <v>69615.385599999994</v>
      </c>
      <c r="J506" s="2" t="s">
        <v>41</v>
      </c>
    </row>
    <row r="507" spans="1:10" x14ac:dyDescent="0.35">
      <c r="A507" s="1">
        <v>45084</v>
      </c>
      <c r="B507" s="2" t="s">
        <v>10</v>
      </c>
      <c r="C507" s="2" t="s">
        <v>29</v>
      </c>
      <c r="D507" s="2" t="s">
        <v>21</v>
      </c>
      <c r="E507" s="2" t="s">
        <v>28</v>
      </c>
      <c r="F507">
        <v>136</v>
      </c>
      <c r="G507">
        <v>137</v>
      </c>
      <c r="H507">
        <v>18632</v>
      </c>
      <c r="I507">
        <v>2829.6977000000002</v>
      </c>
      <c r="J507" s="2" t="s">
        <v>41</v>
      </c>
    </row>
    <row r="508" spans="1:10" x14ac:dyDescent="0.35">
      <c r="A508" s="1">
        <v>45085</v>
      </c>
      <c r="B508" s="2" t="s">
        <v>19</v>
      </c>
      <c r="C508" s="2" t="s">
        <v>27</v>
      </c>
      <c r="D508" s="2" t="s">
        <v>17</v>
      </c>
      <c r="E508" s="2" t="s">
        <v>32</v>
      </c>
      <c r="F508">
        <v>857</v>
      </c>
      <c r="G508">
        <v>423</v>
      </c>
      <c r="H508">
        <v>362511</v>
      </c>
      <c r="I508">
        <v>81131.027499999997</v>
      </c>
      <c r="J508" s="2" t="s">
        <v>41</v>
      </c>
    </row>
    <row r="509" spans="1:10" x14ac:dyDescent="0.35">
      <c r="A509" s="1">
        <v>45085</v>
      </c>
      <c r="B509" s="2" t="s">
        <v>15</v>
      </c>
      <c r="C509" s="2" t="s">
        <v>11</v>
      </c>
      <c r="D509" s="2" t="s">
        <v>12</v>
      </c>
      <c r="E509" s="2" t="s">
        <v>24</v>
      </c>
      <c r="F509">
        <v>818</v>
      </c>
      <c r="G509">
        <v>306</v>
      </c>
      <c r="H509">
        <v>250308</v>
      </c>
      <c r="I509">
        <v>25092.9529</v>
      </c>
      <c r="J509" s="2" t="s">
        <v>41</v>
      </c>
    </row>
    <row r="510" spans="1:10" x14ac:dyDescent="0.35">
      <c r="A510" s="1">
        <v>45085</v>
      </c>
      <c r="B510" s="2" t="s">
        <v>34</v>
      </c>
      <c r="C510" s="2" t="s">
        <v>27</v>
      </c>
      <c r="D510" s="2" t="s">
        <v>21</v>
      </c>
      <c r="E510" s="2" t="s">
        <v>18</v>
      </c>
      <c r="F510">
        <v>762</v>
      </c>
      <c r="G510">
        <v>421</v>
      </c>
      <c r="H510">
        <v>320802</v>
      </c>
      <c r="I510">
        <v>26862.354500000001</v>
      </c>
      <c r="J510" s="2" t="s">
        <v>41</v>
      </c>
    </row>
    <row r="511" spans="1:10" x14ac:dyDescent="0.35">
      <c r="A511" s="1">
        <v>45085</v>
      </c>
      <c r="B511" s="2" t="s">
        <v>19</v>
      </c>
      <c r="C511" s="2" t="s">
        <v>27</v>
      </c>
      <c r="D511" s="2" t="s">
        <v>12</v>
      </c>
      <c r="E511" s="2" t="s">
        <v>32</v>
      </c>
      <c r="F511">
        <v>64</v>
      </c>
      <c r="G511">
        <v>405</v>
      </c>
      <c r="H511">
        <v>25920</v>
      </c>
      <c r="I511">
        <v>5760.6004000000003</v>
      </c>
      <c r="J511" s="2" t="s">
        <v>41</v>
      </c>
    </row>
    <row r="512" spans="1:10" x14ac:dyDescent="0.35">
      <c r="A512" s="1">
        <v>45086</v>
      </c>
      <c r="B512" s="2" t="s">
        <v>15</v>
      </c>
      <c r="C512" s="2" t="s">
        <v>16</v>
      </c>
      <c r="D512" s="2" t="s">
        <v>21</v>
      </c>
      <c r="E512" s="2" t="s">
        <v>18</v>
      </c>
      <c r="F512">
        <v>876</v>
      </c>
      <c r="G512">
        <v>415</v>
      </c>
      <c r="H512">
        <v>363540</v>
      </c>
      <c r="I512">
        <v>73765.8989</v>
      </c>
      <c r="J512" s="2" t="s">
        <v>41</v>
      </c>
    </row>
    <row r="513" spans="1:10" x14ac:dyDescent="0.35">
      <c r="A513" s="1">
        <v>45086</v>
      </c>
      <c r="B513" s="2" t="s">
        <v>25</v>
      </c>
      <c r="C513" s="2" t="s">
        <v>11</v>
      </c>
      <c r="D513" s="2" t="s">
        <v>21</v>
      </c>
      <c r="E513" s="2" t="s">
        <v>32</v>
      </c>
      <c r="F513">
        <v>106</v>
      </c>
      <c r="G513">
        <v>279</v>
      </c>
      <c r="H513">
        <v>29574</v>
      </c>
      <c r="I513">
        <v>5530.0906000000004</v>
      </c>
      <c r="J513" s="2" t="s">
        <v>41</v>
      </c>
    </row>
    <row r="514" spans="1:10" x14ac:dyDescent="0.35">
      <c r="A514" s="1">
        <v>45086</v>
      </c>
      <c r="B514" s="2" t="s">
        <v>19</v>
      </c>
      <c r="C514" s="2" t="s">
        <v>23</v>
      </c>
      <c r="D514" s="2" t="s">
        <v>30</v>
      </c>
      <c r="E514" s="2" t="s">
        <v>35</v>
      </c>
      <c r="F514">
        <v>770</v>
      </c>
      <c r="G514">
        <v>158</v>
      </c>
      <c r="H514">
        <v>121660</v>
      </c>
      <c r="I514">
        <v>11371.3791</v>
      </c>
      <c r="J514" s="2" t="s">
        <v>41</v>
      </c>
    </row>
    <row r="515" spans="1:10" x14ac:dyDescent="0.35">
      <c r="A515" s="1">
        <v>45086</v>
      </c>
      <c r="B515" s="2" t="s">
        <v>19</v>
      </c>
      <c r="C515" s="2" t="s">
        <v>20</v>
      </c>
      <c r="D515" s="2" t="s">
        <v>21</v>
      </c>
      <c r="E515" s="2" t="s">
        <v>13</v>
      </c>
      <c r="F515">
        <v>270</v>
      </c>
      <c r="G515">
        <v>172</v>
      </c>
      <c r="H515">
        <v>46440</v>
      </c>
      <c r="I515">
        <v>9042.3017999999993</v>
      </c>
      <c r="J515" s="2" t="s">
        <v>41</v>
      </c>
    </row>
    <row r="516" spans="1:10" x14ac:dyDescent="0.35">
      <c r="A516" s="1">
        <v>45086</v>
      </c>
      <c r="B516" s="2" t="s">
        <v>26</v>
      </c>
      <c r="C516" s="2" t="s">
        <v>16</v>
      </c>
      <c r="D516" s="2" t="s">
        <v>12</v>
      </c>
      <c r="E516" s="2" t="s">
        <v>13</v>
      </c>
      <c r="F516">
        <v>328</v>
      </c>
      <c r="G516">
        <v>459</v>
      </c>
      <c r="H516">
        <v>150552</v>
      </c>
      <c r="I516">
        <v>23868.471699999998</v>
      </c>
      <c r="J516" s="2" t="s">
        <v>41</v>
      </c>
    </row>
    <row r="517" spans="1:10" x14ac:dyDescent="0.35">
      <c r="A517" s="1">
        <v>45086</v>
      </c>
      <c r="B517" s="2" t="s">
        <v>36</v>
      </c>
      <c r="C517" s="2" t="s">
        <v>27</v>
      </c>
      <c r="D517" s="2" t="s">
        <v>12</v>
      </c>
      <c r="E517" s="2" t="s">
        <v>18</v>
      </c>
      <c r="F517">
        <v>787</v>
      </c>
      <c r="G517">
        <v>458</v>
      </c>
      <c r="H517">
        <v>360446</v>
      </c>
      <c r="I517">
        <v>80130.840800000005</v>
      </c>
      <c r="J517" s="2" t="s">
        <v>41</v>
      </c>
    </row>
    <row r="518" spans="1:10" x14ac:dyDescent="0.35">
      <c r="A518" s="1">
        <v>45087</v>
      </c>
      <c r="B518" s="2" t="s">
        <v>10</v>
      </c>
      <c r="C518" s="2" t="s">
        <v>16</v>
      </c>
      <c r="D518" s="2" t="s">
        <v>30</v>
      </c>
      <c r="E518" s="2" t="s">
        <v>32</v>
      </c>
      <c r="F518">
        <v>676</v>
      </c>
      <c r="G518">
        <v>114</v>
      </c>
      <c r="H518">
        <v>77064</v>
      </c>
      <c r="I518">
        <v>16725.1168</v>
      </c>
      <c r="J518" s="2" t="s">
        <v>41</v>
      </c>
    </row>
    <row r="519" spans="1:10" x14ac:dyDescent="0.35">
      <c r="A519" s="1">
        <v>45087</v>
      </c>
      <c r="B519" s="2" t="s">
        <v>25</v>
      </c>
      <c r="C519" s="2" t="s">
        <v>27</v>
      </c>
      <c r="D519" s="2" t="s">
        <v>12</v>
      </c>
      <c r="E519" s="2" t="s">
        <v>18</v>
      </c>
      <c r="F519">
        <v>991</v>
      </c>
      <c r="G519">
        <v>295</v>
      </c>
      <c r="H519">
        <v>292345</v>
      </c>
      <c r="I519">
        <v>71246.418300000005</v>
      </c>
      <c r="J519" s="2" t="s">
        <v>41</v>
      </c>
    </row>
    <row r="520" spans="1:10" x14ac:dyDescent="0.35">
      <c r="A520" s="1">
        <v>45087</v>
      </c>
      <c r="B520" s="2" t="s">
        <v>34</v>
      </c>
      <c r="C520" s="2" t="s">
        <v>11</v>
      </c>
      <c r="D520" s="2" t="s">
        <v>12</v>
      </c>
      <c r="E520" s="2" t="s">
        <v>32</v>
      </c>
      <c r="F520">
        <v>217</v>
      </c>
      <c r="G520">
        <v>191</v>
      </c>
      <c r="H520">
        <v>41447</v>
      </c>
      <c r="I520">
        <v>6660.8793999999998</v>
      </c>
      <c r="J520" s="2" t="s">
        <v>41</v>
      </c>
    </row>
    <row r="521" spans="1:10" x14ac:dyDescent="0.35">
      <c r="A521" s="1">
        <v>45088</v>
      </c>
      <c r="B521" s="2" t="s">
        <v>36</v>
      </c>
      <c r="C521" s="2" t="s">
        <v>23</v>
      </c>
      <c r="D521" s="2" t="s">
        <v>17</v>
      </c>
      <c r="E521" s="2" t="s">
        <v>35</v>
      </c>
      <c r="F521">
        <v>535</v>
      </c>
      <c r="G521">
        <v>283</v>
      </c>
      <c r="H521">
        <v>151405</v>
      </c>
      <c r="I521">
        <v>34392.915999999997</v>
      </c>
      <c r="J521" s="2" t="s">
        <v>41</v>
      </c>
    </row>
    <row r="522" spans="1:10" x14ac:dyDescent="0.35">
      <c r="A522" s="1">
        <v>45088</v>
      </c>
      <c r="B522" s="2" t="s">
        <v>36</v>
      </c>
      <c r="C522" s="2" t="s">
        <v>20</v>
      </c>
      <c r="D522" s="2" t="s">
        <v>21</v>
      </c>
      <c r="E522" s="2" t="s">
        <v>13</v>
      </c>
      <c r="F522">
        <v>509</v>
      </c>
      <c r="G522">
        <v>210</v>
      </c>
      <c r="H522">
        <v>106890</v>
      </c>
      <c r="I522">
        <v>15969.665999999999</v>
      </c>
      <c r="J522" s="2" t="s">
        <v>41</v>
      </c>
    </row>
    <row r="523" spans="1:10" x14ac:dyDescent="0.35">
      <c r="A523" s="1">
        <v>45088</v>
      </c>
      <c r="B523" s="2" t="s">
        <v>26</v>
      </c>
      <c r="C523" s="2" t="s">
        <v>29</v>
      </c>
      <c r="D523" s="2" t="s">
        <v>21</v>
      </c>
      <c r="E523" s="2" t="s">
        <v>33</v>
      </c>
      <c r="F523">
        <v>275</v>
      </c>
      <c r="G523">
        <v>360</v>
      </c>
      <c r="H523">
        <v>99000</v>
      </c>
      <c r="I523">
        <v>15835.55</v>
      </c>
      <c r="J523" s="2" t="s">
        <v>41</v>
      </c>
    </row>
    <row r="524" spans="1:10" x14ac:dyDescent="0.35">
      <c r="A524" s="1">
        <v>45088</v>
      </c>
      <c r="B524" s="2" t="s">
        <v>31</v>
      </c>
      <c r="C524" s="2" t="s">
        <v>20</v>
      </c>
      <c r="D524" s="2" t="s">
        <v>12</v>
      </c>
      <c r="E524" s="2" t="s">
        <v>13</v>
      </c>
      <c r="F524">
        <v>318</v>
      </c>
      <c r="G524">
        <v>231</v>
      </c>
      <c r="H524">
        <v>73458</v>
      </c>
      <c r="I524">
        <v>10719.707</v>
      </c>
      <c r="J524" s="2" t="s">
        <v>41</v>
      </c>
    </row>
    <row r="525" spans="1:10" x14ac:dyDescent="0.35">
      <c r="A525" s="1">
        <v>45088</v>
      </c>
      <c r="B525" s="2" t="s">
        <v>15</v>
      </c>
      <c r="C525" s="2" t="s">
        <v>11</v>
      </c>
      <c r="D525" s="2" t="s">
        <v>21</v>
      </c>
      <c r="E525" s="2" t="s">
        <v>22</v>
      </c>
      <c r="F525">
        <v>956</v>
      </c>
      <c r="G525">
        <v>229</v>
      </c>
      <c r="H525">
        <v>218924</v>
      </c>
      <c r="I525">
        <v>19184.535599999999</v>
      </c>
      <c r="J525" s="2" t="s">
        <v>41</v>
      </c>
    </row>
    <row r="526" spans="1:10" x14ac:dyDescent="0.35">
      <c r="A526" s="1">
        <v>45088</v>
      </c>
      <c r="B526" s="2" t="s">
        <v>34</v>
      </c>
      <c r="C526" s="2" t="s">
        <v>20</v>
      </c>
      <c r="D526" s="2" t="s">
        <v>12</v>
      </c>
      <c r="E526" s="2" t="s">
        <v>24</v>
      </c>
      <c r="F526">
        <v>829</v>
      </c>
      <c r="G526">
        <v>294</v>
      </c>
      <c r="H526">
        <v>243726</v>
      </c>
      <c r="I526">
        <v>39953.380499999999</v>
      </c>
      <c r="J526" s="2" t="s">
        <v>41</v>
      </c>
    </row>
    <row r="527" spans="1:10" x14ac:dyDescent="0.35">
      <c r="A527" s="1">
        <v>45089</v>
      </c>
      <c r="B527" s="2" t="s">
        <v>15</v>
      </c>
      <c r="C527" s="2" t="s">
        <v>20</v>
      </c>
      <c r="D527" s="2" t="s">
        <v>17</v>
      </c>
      <c r="E527" s="2" t="s">
        <v>24</v>
      </c>
      <c r="F527">
        <v>358</v>
      </c>
      <c r="G527">
        <v>427</v>
      </c>
      <c r="H527">
        <v>152866</v>
      </c>
      <c r="I527">
        <v>22638.5805</v>
      </c>
      <c r="J527" s="2" t="s">
        <v>41</v>
      </c>
    </row>
    <row r="528" spans="1:10" x14ac:dyDescent="0.35">
      <c r="A528" s="1">
        <v>45089</v>
      </c>
      <c r="B528" s="2" t="s">
        <v>34</v>
      </c>
      <c r="C528" s="2" t="s">
        <v>27</v>
      </c>
      <c r="D528" s="2" t="s">
        <v>12</v>
      </c>
      <c r="E528" s="2" t="s">
        <v>35</v>
      </c>
      <c r="F528">
        <v>391</v>
      </c>
      <c r="G528">
        <v>393</v>
      </c>
      <c r="H528">
        <v>153663</v>
      </c>
      <c r="I528">
        <v>15226.087600000001</v>
      </c>
      <c r="J528" s="2" t="s">
        <v>41</v>
      </c>
    </row>
    <row r="529" spans="1:10" x14ac:dyDescent="0.35">
      <c r="A529" s="1">
        <v>45090</v>
      </c>
      <c r="B529" s="2" t="s">
        <v>36</v>
      </c>
      <c r="C529" s="2" t="s">
        <v>23</v>
      </c>
      <c r="D529" s="2" t="s">
        <v>30</v>
      </c>
      <c r="E529" s="2" t="s">
        <v>13</v>
      </c>
      <c r="F529">
        <v>585</v>
      </c>
      <c r="G529">
        <v>195</v>
      </c>
      <c r="H529">
        <v>114075</v>
      </c>
      <c r="I529">
        <v>23479.412199999999</v>
      </c>
      <c r="J529" s="2" t="s">
        <v>41</v>
      </c>
    </row>
    <row r="530" spans="1:10" x14ac:dyDescent="0.35">
      <c r="A530" s="1">
        <v>45090</v>
      </c>
      <c r="B530" s="2" t="s">
        <v>26</v>
      </c>
      <c r="C530" s="2" t="s">
        <v>20</v>
      </c>
      <c r="D530" s="2" t="s">
        <v>12</v>
      </c>
      <c r="E530" s="2" t="s">
        <v>13</v>
      </c>
      <c r="F530">
        <v>795</v>
      </c>
      <c r="G530">
        <v>334</v>
      </c>
      <c r="H530">
        <v>265530</v>
      </c>
      <c r="I530">
        <v>64203.727700000003</v>
      </c>
      <c r="J530" s="2" t="s">
        <v>41</v>
      </c>
    </row>
    <row r="531" spans="1:10" x14ac:dyDescent="0.35">
      <c r="A531" s="1">
        <v>45090</v>
      </c>
      <c r="B531" s="2" t="s">
        <v>31</v>
      </c>
      <c r="C531" s="2" t="s">
        <v>20</v>
      </c>
      <c r="D531" s="2" t="s">
        <v>21</v>
      </c>
      <c r="E531" s="2" t="s">
        <v>33</v>
      </c>
      <c r="F531">
        <v>446</v>
      </c>
      <c r="G531">
        <v>124</v>
      </c>
      <c r="H531">
        <v>55304</v>
      </c>
      <c r="I531">
        <v>9583.0336000000007</v>
      </c>
      <c r="J531" s="2" t="s">
        <v>41</v>
      </c>
    </row>
    <row r="532" spans="1:10" x14ac:dyDescent="0.35">
      <c r="A532" s="1">
        <v>45090</v>
      </c>
      <c r="B532" s="2" t="s">
        <v>36</v>
      </c>
      <c r="C532" s="2" t="s">
        <v>11</v>
      </c>
      <c r="D532" s="2" t="s">
        <v>21</v>
      </c>
      <c r="E532" s="2" t="s">
        <v>35</v>
      </c>
      <c r="F532">
        <v>733</v>
      </c>
      <c r="G532">
        <v>296</v>
      </c>
      <c r="H532">
        <v>216968</v>
      </c>
      <c r="I532">
        <v>19030.944899999999</v>
      </c>
      <c r="J532" s="2" t="s">
        <v>41</v>
      </c>
    </row>
    <row r="533" spans="1:10" x14ac:dyDescent="0.35">
      <c r="A533" s="1">
        <v>45091</v>
      </c>
      <c r="B533" s="2" t="s">
        <v>36</v>
      </c>
      <c r="C533" s="2" t="s">
        <v>11</v>
      </c>
      <c r="D533" s="2" t="s">
        <v>17</v>
      </c>
      <c r="E533" s="2" t="s">
        <v>33</v>
      </c>
      <c r="F533">
        <v>386</v>
      </c>
      <c r="G533">
        <v>250</v>
      </c>
      <c r="H533">
        <v>96500</v>
      </c>
      <c r="I533">
        <v>23363.8632</v>
      </c>
      <c r="J533" s="2" t="s">
        <v>41</v>
      </c>
    </row>
    <row r="534" spans="1:10" x14ac:dyDescent="0.35">
      <c r="A534" s="1">
        <v>45091</v>
      </c>
      <c r="B534" s="2" t="s">
        <v>19</v>
      </c>
      <c r="C534" s="2" t="s">
        <v>29</v>
      </c>
      <c r="D534" s="2" t="s">
        <v>21</v>
      </c>
      <c r="E534" s="2" t="s">
        <v>28</v>
      </c>
      <c r="F534">
        <v>533</v>
      </c>
      <c r="G534">
        <v>353</v>
      </c>
      <c r="H534">
        <v>188149</v>
      </c>
      <c r="I534">
        <v>16664.524600000001</v>
      </c>
      <c r="J534" s="2" t="s">
        <v>41</v>
      </c>
    </row>
    <row r="535" spans="1:10" x14ac:dyDescent="0.35">
      <c r="A535" s="1">
        <v>45091</v>
      </c>
      <c r="B535" s="2" t="s">
        <v>10</v>
      </c>
      <c r="C535" s="2" t="s">
        <v>29</v>
      </c>
      <c r="D535" s="2" t="s">
        <v>30</v>
      </c>
      <c r="E535" s="2" t="s">
        <v>22</v>
      </c>
      <c r="F535">
        <v>696</v>
      </c>
      <c r="G535">
        <v>197</v>
      </c>
      <c r="H535">
        <v>137112</v>
      </c>
      <c r="I535">
        <v>11891.321099999999</v>
      </c>
      <c r="J535" s="2" t="s">
        <v>41</v>
      </c>
    </row>
    <row r="536" spans="1:10" x14ac:dyDescent="0.35">
      <c r="A536" s="1">
        <v>45091</v>
      </c>
      <c r="B536" s="2" t="s">
        <v>36</v>
      </c>
      <c r="C536" s="2" t="s">
        <v>20</v>
      </c>
      <c r="D536" s="2" t="s">
        <v>30</v>
      </c>
      <c r="E536" s="2" t="s">
        <v>32</v>
      </c>
      <c r="F536">
        <v>540</v>
      </c>
      <c r="G536">
        <v>204</v>
      </c>
      <c r="H536">
        <v>110160</v>
      </c>
      <c r="I536">
        <v>13487.49</v>
      </c>
      <c r="J536" s="2" t="s">
        <v>41</v>
      </c>
    </row>
    <row r="537" spans="1:10" x14ac:dyDescent="0.35">
      <c r="A537" s="1">
        <v>45092</v>
      </c>
      <c r="B537" s="2" t="s">
        <v>10</v>
      </c>
      <c r="C537" s="2" t="s">
        <v>29</v>
      </c>
      <c r="D537" s="2" t="s">
        <v>30</v>
      </c>
      <c r="E537" s="2" t="s">
        <v>32</v>
      </c>
      <c r="F537">
        <v>79</v>
      </c>
      <c r="G537">
        <v>390</v>
      </c>
      <c r="H537">
        <v>30810</v>
      </c>
      <c r="I537">
        <v>2535.2746000000002</v>
      </c>
      <c r="J537" s="2" t="s">
        <v>41</v>
      </c>
    </row>
    <row r="538" spans="1:10" x14ac:dyDescent="0.35">
      <c r="A538" s="1">
        <v>45092</v>
      </c>
      <c r="B538" s="2" t="s">
        <v>36</v>
      </c>
      <c r="C538" s="2" t="s">
        <v>23</v>
      </c>
      <c r="D538" s="2" t="s">
        <v>21</v>
      </c>
      <c r="E538" s="2" t="s">
        <v>18</v>
      </c>
      <c r="F538">
        <v>461</v>
      </c>
      <c r="G538">
        <v>178</v>
      </c>
      <c r="H538">
        <v>82058</v>
      </c>
      <c r="I538">
        <v>17779.757099999999</v>
      </c>
      <c r="J538" s="2" t="s">
        <v>41</v>
      </c>
    </row>
    <row r="539" spans="1:10" x14ac:dyDescent="0.35">
      <c r="A539" s="1">
        <v>45092</v>
      </c>
      <c r="B539" s="2" t="s">
        <v>36</v>
      </c>
      <c r="C539" s="2" t="s">
        <v>27</v>
      </c>
      <c r="D539" s="2" t="s">
        <v>17</v>
      </c>
      <c r="E539" s="2" t="s">
        <v>32</v>
      </c>
      <c r="F539">
        <v>655</v>
      </c>
      <c r="G539">
        <v>423</v>
      </c>
      <c r="H539">
        <v>277065</v>
      </c>
      <c r="I539">
        <v>53642.3318</v>
      </c>
      <c r="J539" s="2" t="s">
        <v>41</v>
      </c>
    </row>
    <row r="540" spans="1:10" x14ac:dyDescent="0.35">
      <c r="A540" s="1">
        <v>45093</v>
      </c>
      <c r="B540" s="2" t="s">
        <v>25</v>
      </c>
      <c r="C540" s="2" t="s">
        <v>23</v>
      </c>
      <c r="D540" s="2" t="s">
        <v>30</v>
      </c>
      <c r="E540" s="2" t="s">
        <v>18</v>
      </c>
      <c r="F540">
        <v>588</v>
      </c>
      <c r="G540">
        <v>416</v>
      </c>
      <c r="H540">
        <v>244608</v>
      </c>
      <c r="I540">
        <v>56553.3557</v>
      </c>
      <c r="J540" s="2" t="s">
        <v>41</v>
      </c>
    </row>
    <row r="541" spans="1:10" x14ac:dyDescent="0.35">
      <c r="A541" s="1">
        <v>45093</v>
      </c>
      <c r="B541" s="2" t="s">
        <v>34</v>
      </c>
      <c r="C541" s="2" t="s">
        <v>20</v>
      </c>
      <c r="D541" s="2" t="s">
        <v>17</v>
      </c>
      <c r="E541" s="2" t="s">
        <v>28</v>
      </c>
      <c r="F541">
        <v>498</v>
      </c>
      <c r="G541">
        <v>381</v>
      </c>
      <c r="H541">
        <v>189738</v>
      </c>
      <c r="I541">
        <v>46497.165500000003</v>
      </c>
      <c r="J541" s="2" t="s">
        <v>41</v>
      </c>
    </row>
    <row r="542" spans="1:10" x14ac:dyDescent="0.35">
      <c r="A542" s="1">
        <v>45093</v>
      </c>
      <c r="B542" s="2" t="s">
        <v>36</v>
      </c>
      <c r="C542" s="2" t="s">
        <v>23</v>
      </c>
      <c r="D542" s="2" t="s">
        <v>12</v>
      </c>
      <c r="E542" s="2" t="s">
        <v>24</v>
      </c>
      <c r="F542">
        <v>295</v>
      </c>
      <c r="G542">
        <v>148</v>
      </c>
      <c r="H542">
        <v>43660</v>
      </c>
      <c r="I542">
        <v>4131.5140000000001</v>
      </c>
      <c r="J542" s="2" t="s">
        <v>41</v>
      </c>
    </row>
    <row r="543" spans="1:10" x14ac:dyDescent="0.35">
      <c r="A543" s="1">
        <v>45094</v>
      </c>
      <c r="B543" s="2" t="s">
        <v>10</v>
      </c>
      <c r="C543" s="2" t="s">
        <v>16</v>
      </c>
      <c r="D543" s="2" t="s">
        <v>21</v>
      </c>
      <c r="E543" s="2" t="s">
        <v>32</v>
      </c>
      <c r="F543">
        <v>384</v>
      </c>
      <c r="G543">
        <v>331</v>
      </c>
      <c r="H543">
        <v>127104</v>
      </c>
      <c r="I543">
        <v>24723.973999999998</v>
      </c>
      <c r="J543" s="2" t="s">
        <v>41</v>
      </c>
    </row>
    <row r="544" spans="1:10" x14ac:dyDescent="0.35">
      <c r="A544" s="1">
        <v>45095</v>
      </c>
      <c r="B544" s="2" t="s">
        <v>36</v>
      </c>
      <c r="C544" s="2" t="s">
        <v>20</v>
      </c>
      <c r="D544" s="2" t="s">
        <v>30</v>
      </c>
      <c r="E544" s="2" t="s">
        <v>32</v>
      </c>
      <c r="F544">
        <v>446</v>
      </c>
      <c r="G544">
        <v>291</v>
      </c>
      <c r="H544">
        <v>129786</v>
      </c>
      <c r="I544">
        <v>28476.463100000001</v>
      </c>
      <c r="J544" s="2" t="s">
        <v>41</v>
      </c>
    </row>
    <row r="545" spans="1:10" x14ac:dyDescent="0.35">
      <c r="A545" s="1">
        <v>45096</v>
      </c>
      <c r="B545" s="2" t="s">
        <v>10</v>
      </c>
      <c r="C545" s="2" t="s">
        <v>23</v>
      </c>
      <c r="D545" s="2" t="s">
        <v>30</v>
      </c>
      <c r="E545" s="2" t="s">
        <v>18</v>
      </c>
      <c r="F545">
        <v>963</v>
      </c>
      <c r="G545">
        <v>435</v>
      </c>
      <c r="H545">
        <v>418905</v>
      </c>
      <c r="I545">
        <v>85349.131099999999</v>
      </c>
      <c r="J545" s="2" t="s">
        <v>41</v>
      </c>
    </row>
    <row r="546" spans="1:10" x14ac:dyDescent="0.35">
      <c r="A546" s="1">
        <v>45096</v>
      </c>
      <c r="B546" s="2" t="s">
        <v>26</v>
      </c>
      <c r="C546" s="2" t="s">
        <v>11</v>
      </c>
      <c r="D546" s="2" t="s">
        <v>30</v>
      </c>
      <c r="E546" s="2" t="s">
        <v>28</v>
      </c>
      <c r="F546">
        <v>280</v>
      </c>
      <c r="G546">
        <v>352</v>
      </c>
      <c r="H546">
        <v>98560</v>
      </c>
      <c r="I546">
        <v>19314.195</v>
      </c>
      <c r="J546" s="2" t="s">
        <v>41</v>
      </c>
    </row>
    <row r="547" spans="1:10" x14ac:dyDescent="0.35">
      <c r="A547" s="1">
        <v>45096</v>
      </c>
      <c r="B547" s="2" t="s">
        <v>36</v>
      </c>
      <c r="C547" s="2" t="s">
        <v>11</v>
      </c>
      <c r="D547" s="2" t="s">
        <v>21</v>
      </c>
      <c r="E547" s="2" t="s">
        <v>13</v>
      </c>
      <c r="F547">
        <v>928</v>
      </c>
      <c r="G547">
        <v>166</v>
      </c>
      <c r="H547">
        <v>154048</v>
      </c>
      <c r="I547">
        <v>16682.078399999999</v>
      </c>
      <c r="J547" s="2" t="s">
        <v>41</v>
      </c>
    </row>
    <row r="548" spans="1:10" x14ac:dyDescent="0.35">
      <c r="A548" s="1">
        <v>45096</v>
      </c>
      <c r="B548" s="2" t="s">
        <v>10</v>
      </c>
      <c r="C548" s="2" t="s">
        <v>23</v>
      </c>
      <c r="D548" s="2" t="s">
        <v>21</v>
      </c>
      <c r="E548" s="2" t="s">
        <v>24</v>
      </c>
      <c r="F548">
        <v>429</v>
      </c>
      <c r="G548">
        <v>143</v>
      </c>
      <c r="H548">
        <v>61347</v>
      </c>
      <c r="I548">
        <v>5265.0006000000003</v>
      </c>
      <c r="J548" s="2" t="s">
        <v>41</v>
      </c>
    </row>
    <row r="549" spans="1:10" x14ac:dyDescent="0.35">
      <c r="A549" s="1">
        <v>45096</v>
      </c>
      <c r="B549" s="2" t="s">
        <v>19</v>
      </c>
      <c r="C549" s="2" t="s">
        <v>27</v>
      </c>
      <c r="D549" s="2" t="s">
        <v>30</v>
      </c>
      <c r="E549" s="2" t="s">
        <v>32</v>
      </c>
      <c r="F549">
        <v>497</v>
      </c>
      <c r="G549">
        <v>308</v>
      </c>
      <c r="H549">
        <v>153076</v>
      </c>
      <c r="I549">
        <v>13832.742200000001</v>
      </c>
      <c r="J549" s="2" t="s">
        <v>41</v>
      </c>
    </row>
    <row r="550" spans="1:10" x14ac:dyDescent="0.35">
      <c r="A550" s="1">
        <v>45097</v>
      </c>
      <c r="B550" s="2" t="s">
        <v>25</v>
      </c>
      <c r="C550" s="2" t="s">
        <v>16</v>
      </c>
      <c r="D550" s="2" t="s">
        <v>21</v>
      </c>
      <c r="E550" s="2" t="s">
        <v>18</v>
      </c>
      <c r="F550">
        <v>995</v>
      </c>
      <c r="G550">
        <v>423</v>
      </c>
      <c r="H550">
        <v>420885</v>
      </c>
      <c r="I550">
        <v>44902.674800000001</v>
      </c>
      <c r="J550" s="2" t="s">
        <v>41</v>
      </c>
    </row>
    <row r="551" spans="1:10" x14ac:dyDescent="0.35">
      <c r="A551" s="1">
        <v>45097</v>
      </c>
      <c r="B551" s="2" t="s">
        <v>25</v>
      </c>
      <c r="C551" s="2" t="s">
        <v>27</v>
      </c>
      <c r="D551" s="2" t="s">
        <v>12</v>
      </c>
      <c r="E551" s="2" t="s">
        <v>13</v>
      </c>
      <c r="F551">
        <v>603</v>
      </c>
      <c r="G551">
        <v>320</v>
      </c>
      <c r="H551">
        <v>192960</v>
      </c>
      <c r="I551">
        <v>18043.653999999999</v>
      </c>
      <c r="J551" s="2" t="s">
        <v>41</v>
      </c>
    </row>
    <row r="552" spans="1:10" x14ac:dyDescent="0.35">
      <c r="A552" s="1">
        <v>45097</v>
      </c>
      <c r="B552" s="2" t="s">
        <v>31</v>
      </c>
      <c r="C552" s="2" t="s">
        <v>27</v>
      </c>
      <c r="D552" s="2" t="s">
        <v>12</v>
      </c>
      <c r="E552" s="2" t="s">
        <v>32</v>
      </c>
      <c r="F552">
        <v>88</v>
      </c>
      <c r="G552">
        <v>278</v>
      </c>
      <c r="H552">
        <v>24464</v>
      </c>
      <c r="I552">
        <v>5529.6733999999997</v>
      </c>
      <c r="J552" s="2" t="s">
        <v>41</v>
      </c>
    </row>
    <row r="553" spans="1:10" x14ac:dyDescent="0.35">
      <c r="A553" s="1">
        <v>45098</v>
      </c>
      <c r="B553" s="2" t="s">
        <v>10</v>
      </c>
      <c r="C553" s="2" t="s">
        <v>16</v>
      </c>
      <c r="D553" s="2" t="s">
        <v>17</v>
      </c>
      <c r="E553" s="2" t="s">
        <v>32</v>
      </c>
      <c r="F553">
        <v>905</v>
      </c>
      <c r="G553">
        <v>365</v>
      </c>
      <c r="H553">
        <v>330325</v>
      </c>
      <c r="I553">
        <v>81884.124200000006</v>
      </c>
      <c r="J553" s="2" t="s">
        <v>41</v>
      </c>
    </row>
    <row r="554" spans="1:10" x14ac:dyDescent="0.35">
      <c r="A554" s="1">
        <v>45098</v>
      </c>
      <c r="B554" s="2" t="s">
        <v>34</v>
      </c>
      <c r="C554" s="2" t="s">
        <v>20</v>
      </c>
      <c r="D554" s="2" t="s">
        <v>12</v>
      </c>
      <c r="E554" s="2" t="s">
        <v>33</v>
      </c>
      <c r="F554">
        <v>409</v>
      </c>
      <c r="G554">
        <v>244</v>
      </c>
      <c r="H554">
        <v>99796</v>
      </c>
      <c r="I554">
        <v>24707.645700000001</v>
      </c>
      <c r="J554" s="2" t="s">
        <v>41</v>
      </c>
    </row>
    <row r="555" spans="1:10" x14ac:dyDescent="0.35">
      <c r="A555" s="1">
        <v>45099</v>
      </c>
      <c r="B555" s="2" t="s">
        <v>10</v>
      </c>
      <c r="C555" s="2" t="s">
        <v>20</v>
      </c>
      <c r="D555" s="2" t="s">
        <v>30</v>
      </c>
      <c r="E555" s="2" t="s">
        <v>18</v>
      </c>
      <c r="F555">
        <v>160</v>
      </c>
      <c r="G555">
        <v>480</v>
      </c>
      <c r="H555">
        <v>76800</v>
      </c>
      <c r="I555">
        <v>7640.9683000000005</v>
      </c>
      <c r="J555" s="2" t="s">
        <v>41</v>
      </c>
    </row>
    <row r="556" spans="1:10" x14ac:dyDescent="0.35">
      <c r="A556" s="1">
        <v>45099</v>
      </c>
      <c r="B556" s="2" t="s">
        <v>10</v>
      </c>
      <c r="C556" s="2" t="s">
        <v>23</v>
      </c>
      <c r="D556" s="2" t="s">
        <v>30</v>
      </c>
      <c r="E556" s="2" t="s">
        <v>22</v>
      </c>
      <c r="F556">
        <v>439</v>
      </c>
      <c r="G556">
        <v>483</v>
      </c>
      <c r="H556">
        <v>212037</v>
      </c>
      <c r="I556">
        <v>45471.572200000002</v>
      </c>
      <c r="J556" s="2" t="s">
        <v>41</v>
      </c>
    </row>
    <row r="557" spans="1:10" x14ac:dyDescent="0.35">
      <c r="A557" s="1">
        <v>45099</v>
      </c>
      <c r="B557" s="2" t="s">
        <v>26</v>
      </c>
      <c r="C557" s="2" t="s">
        <v>27</v>
      </c>
      <c r="D557" s="2" t="s">
        <v>12</v>
      </c>
      <c r="E557" s="2" t="s">
        <v>24</v>
      </c>
      <c r="F557">
        <v>417</v>
      </c>
      <c r="G557">
        <v>255</v>
      </c>
      <c r="H557">
        <v>106335</v>
      </c>
      <c r="I557">
        <v>18828.334500000001</v>
      </c>
      <c r="J557" s="2" t="s">
        <v>41</v>
      </c>
    </row>
    <row r="558" spans="1:10" x14ac:dyDescent="0.35">
      <c r="A558" s="1">
        <v>45099</v>
      </c>
      <c r="B558" s="2" t="s">
        <v>34</v>
      </c>
      <c r="C558" s="2" t="s">
        <v>11</v>
      </c>
      <c r="D558" s="2" t="s">
        <v>17</v>
      </c>
      <c r="E558" s="2" t="s">
        <v>24</v>
      </c>
      <c r="F558">
        <v>235</v>
      </c>
      <c r="G558">
        <v>368</v>
      </c>
      <c r="H558">
        <v>86480</v>
      </c>
      <c r="I558">
        <v>14411.135399999999</v>
      </c>
      <c r="J558" s="2" t="s">
        <v>41</v>
      </c>
    </row>
    <row r="559" spans="1:10" x14ac:dyDescent="0.35">
      <c r="A559" s="1">
        <v>45099</v>
      </c>
      <c r="B559" s="2" t="s">
        <v>10</v>
      </c>
      <c r="C559" s="2" t="s">
        <v>16</v>
      </c>
      <c r="D559" s="2" t="s">
        <v>12</v>
      </c>
      <c r="E559" s="2" t="s">
        <v>35</v>
      </c>
      <c r="F559">
        <v>59</v>
      </c>
      <c r="G559">
        <v>427</v>
      </c>
      <c r="H559">
        <v>25193</v>
      </c>
      <c r="I559">
        <v>4329.5573000000004</v>
      </c>
      <c r="J559" s="2" t="s">
        <v>41</v>
      </c>
    </row>
    <row r="560" spans="1:10" x14ac:dyDescent="0.35">
      <c r="A560" s="1">
        <v>45100</v>
      </c>
      <c r="B560" s="2" t="s">
        <v>25</v>
      </c>
      <c r="C560" s="2" t="s">
        <v>16</v>
      </c>
      <c r="D560" s="2" t="s">
        <v>17</v>
      </c>
      <c r="E560" s="2" t="s">
        <v>33</v>
      </c>
      <c r="F560">
        <v>437</v>
      </c>
      <c r="G560">
        <v>117</v>
      </c>
      <c r="H560">
        <v>51129</v>
      </c>
      <c r="I560">
        <v>5284.7259000000004</v>
      </c>
      <c r="J560" s="2" t="s">
        <v>41</v>
      </c>
    </row>
    <row r="561" spans="1:10" x14ac:dyDescent="0.35">
      <c r="A561" s="1">
        <v>45100</v>
      </c>
      <c r="B561" s="2" t="s">
        <v>36</v>
      </c>
      <c r="C561" s="2" t="s">
        <v>16</v>
      </c>
      <c r="D561" s="2" t="s">
        <v>30</v>
      </c>
      <c r="E561" s="2" t="s">
        <v>13</v>
      </c>
      <c r="F561">
        <v>751</v>
      </c>
      <c r="G561">
        <v>387</v>
      </c>
      <c r="H561">
        <v>290637</v>
      </c>
      <c r="I561">
        <v>23480.255300000001</v>
      </c>
      <c r="J561" s="2" t="s">
        <v>41</v>
      </c>
    </row>
    <row r="562" spans="1:10" x14ac:dyDescent="0.35">
      <c r="A562" s="1">
        <v>45101</v>
      </c>
      <c r="B562" s="2" t="s">
        <v>31</v>
      </c>
      <c r="C562" s="2" t="s">
        <v>23</v>
      </c>
      <c r="D562" s="2" t="s">
        <v>21</v>
      </c>
      <c r="E562" s="2" t="s">
        <v>18</v>
      </c>
      <c r="F562">
        <v>404</v>
      </c>
      <c r="G562">
        <v>123</v>
      </c>
      <c r="H562">
        <v>49692</v>
      </c>
      <c r="I562">
        <v>6821.6121000000003</v>
      </c>
      <c r="J562" s="2" t="s">
        <v>41</v>
      </c>
    </row>
    <row r="563" spans="1:10" x14ac:dyDescent="0.35">
      <c r="A563" s="1">
        <v>45101</v>
      </c>
      <c r="B563" s="2" t="s">
        <v>25</v>
      </c>
      <c r="C563" s="2" t="s">
        <v>11</v>
      </c>
      <c r="D563" s="2" t="s">
        <v>21</v>
      </c>
      <c r="E563" s="2" t="s">
        <v>32</v>
      </c>
      <c r="F563">
        <v>447</v>
      </c>
      <c r="G563">
        <v>182</v>
      </c>
      <c r="H563">
        <v>81354</v>
      </c>
      <c r="I563">
        <v>20060.7667</v>
      </c>
      <c r="J563" s="2" t="s">
        <v>41</v>
      </c>
    </row>
    <row r="564" spans="1:10" x14ac:dyDescent="0.35">
      <c r="A564" s="1">
        <v>45101</v>
      </c>
      <c r="B564" s="2" t="s">
        <v>34</v>
      </c>
      <c r="C564" s="2" t="s">
        <v>23</v>
      </c>
      <c r="D564" s="2" t="s">
        <v>30</v>
      </c>
      <c r="E564" s="2" t="s">
        <v>32</v>
      </c>
      <c r="F564">
        <v>914</v>
      </c>
      <c r="G564">
        <v>354</v>
      </c>
      <c r="H564">
        <v>323556</v>
      </c>
      <c r="I564">
        <v>65770.194900000002</v>
      </c>
      <c r="J564" s="2" t="s">
        <v>41</v>
      </c>
    </row>
    <row r="565" spans="1:10" x14ac:dyDescent="0.35">
      <c r="A565" s="1">
        <v>45101</v>
      </c>
      <c r="B565" s="2" t="s">
        <v>34</v>
      </c>
      <c r="C565" s="2" t="s">
        <v>23</v>
      </c>
      <c r="D565" s="2" t="s">
        <v>21</v>
      </c>
      <c r="E565" s="2" t="s">
        <v>22</v>
      </c>
      <c r="F565">
        <v>893</v>
      </c>
      <c r="G565">
        <v>331</v>
      </c>
      <c r="H565">
        <v>295583</v>
      </c>
      <c r="I565">
        <v>70017.773199999996</v>
      </c>
      <c r="J565" s="2" t="s">
        <v>41</v>
      </c>
    </row>
    <row r="566" spans="1:10" x14ac:dyDescent="0.35">
      <c r="A566" s="1">
        <v>45102</v>
      </c>
      <c r="B566" s="2" t="s">
        <v>26</v>
      </c>
      <c r="C566" s="2" t="s">
        <v>16</v>
      </c>
      <c r="D566" s="2" t="s">
        <v>12</v>
      </c>
      <c r="E566" s="2" t="s">
        <v>35</v>
      </c>
      <c r="F566">
        <v>475</v>
      </c>
      <c r="G566">
        <v>334</v>
      </c>
      <c r="H566">
        <v>158650</v>
      </c>
      <c r="I566">
        <v>27793.098099999999</v>
      </c>
      <c r="J566" s="2" t="s">
        <v>41</v>
      </c>
    </row>
    <row r="567" spans="1:10" x14ac:dyDescent="0.35">
      <c r="A567" s="1">
        <v>45103</v>
      </c>
      <c r="B567" s="2" t="s">
        <v>31</v>
      </c>
      <c r="C567" s="2" t="s">
        <v>11</v>
      </c>
      <c r="D567" s="2" t="s">
        <v>21</v>
      </c>
      <c r="E567" s="2" t="s">
        <v>35</v>
      </c>
      <c r="F567">
        <v>493</v>
      </c>
      <c r="G567">
        <v>144</v>
      </c>
      <c r="H567">
        <v>70992</v>
      </c>
      <c r="I567">
        <v>9818.0540000000001</v>
      </c>
      <c r="J567" s="2" t="s">
        <v>41</v>
      </c>
    </row>
    <row r="568" spans="1:10" x14ac:dyDescent="0.35">
      <c r="A568" s="1">
        <v>45103</v>
      </c>
      <c r="B568" s="2" t="s">
        <v>36</v>
      </c>
      <c r="C568" s="2" t="s">
        <v>27</v>
      </c>
      <c r="D568" s="2" t="s">
        <v>21</v>
      </c>
      <c r="E568" s="2" t="s">
        <v>18</v>
      </c>
      <c r="F568">
        <v>920</v>
      </c>
      <c r="G568">
        <v>172</v>
      </c>
      <c r="H568">
        <v>158240</v>
      </c>
      <c r="I568">
        <v>17948.7592</v>
      </c>
      <c r="J568" s="2" t="s">
        <v>41</v>
      </c>
    </row>
    <row r="569" spans="1:10" x14ac:dyDescent="0.35">
      <c r="A569" s="1">
        <v>45103</v>
      </c>
      <c r="B569" s="2" t="s">
        <v>10</v>
      </c>
      <c r="C569" s="2" t="s">
        <v>27</v>
      </c>
      <c r="D569" s="2" t="s">
        <v>17</v>
      </c>
      <c r="E569" s="2" t="s">
        <v>22</v>
      </c>
      <c r="F569">
        <v>567</v>
      </c>
      <c r="G569">
        <v>154</v>
      </c>
      <c r="H569">
        <v>87318</v>
      </c>
      <c r="I569">
        <v>16283.2299</v>
      </c>
      <c r="J569" s="2" t="s">
        <v>41</v>
      </c>
    </row>
    <row r="570" spans="1:10" x14ac:dyDescent="0.35">
      <c r="A570" s="1">
        <v>45103</v>
      </c>
      <c r="B570" s="2" t="s">
        <v>10</v>
      </c>
      <c r="C570" s="2" t="s">
        <v>16</v>
      </c>
      <c r="D570" s="2" t="s">
        <v>17</v>
      </c>
      <c r="E570" s="2" t="s">
        <v>18</v>
      </c>
      <c r="F570">
        <v>774</v>
      </c>
      <c r="G570">
        <v>298</v>
      </c>
      <c r="H570">
        <v>230652</v>
      </c>
      <c r="I570">
        <v>29717.426500000001</v>
      </c>
      <c r="J570" s="2" t="s">
        <v>41</v>
      </c>
    </row>
    <row r="571" spans="1:10" x14ac:dyDescent="0.35">
      <c r="A571" s="1">
        <v>45103</v>
      </c>
      <c r="B571" s="2" t="s">
        <v>31</v>
      </c>
      <c r="C571" s="2" t="s">
        <v>11</v>
      </c>
      <c r="D571" s="2" t="s">
        <v>12</v>
      </c>
      <c r="E571" s="2" t="s">
        <v>33</v>
      </c>
      <c r="F571">
        <v>980</v>
      </c>
      <c r="G571">
        <v>304</v>
      </c>
      <c r="H571">
        <v>297920</v>
      </c>
      <c r="I571">
        <v>51982.678699999997</v>
      </c>
      <c r="J571" s="2" t="s">
        <v>41</v>
      </c>
    </row>
    <row r="572" spans="1:10" x14ac:dyDescent="0.35">
      <c r="A572" s="1">
        <v>45105</v>
      </c>
      <c r="B572" s="2" t="s">
        <v>34</v>
      </c>
      <c r="C572" s="2" t="s">
        <v>11</v>
      </c>
      <c r="D572" s="2" t="s">
        <v>17</v>
      </c>
      <c r="E572" s="2" t="s">
        <v>24</v>
      </c>
      <c r="F572">
        <v>178</v>
      </c>
      <c r="G572">
        <v>236</v>
      </c>
      <c r="H572">
        <v>42008</v>
      </c>
      <c r="I572">
        <v>5352.0119999999997</v>
      </c>
      <c r="J572" s="2" t="s">
        <v>41</v>
      </c>
    </row>
    <row r="573" spans="1:10" x14ac:dyDescent="0.35">
      <c r="A573" s="1">
        <v>45107</v>
      </c>
      <c r="B573" s="2" t="s">
        <v>25</v>
      </c>
      <c r="C573" s="2" t="s">
        <v>20</v>
      </c>
      <c r="D573" s="2" t="s">
        <v>30</v>
      </c>
      <c r="E573" s="2" t="s">
        <v>18</v>
      </c>
      <c r="F573">
        <v>736</v>
      </c>
      <c r="G573">
        <v>252</v>
      </c>
      <c r="H573">
        <v>185472</v>
      </c>
      <c r="I573">
        <v>22557.1453</v>
      </c>
      <c r="J573" s="2" t="s">
        <v>41</v>
      </c>
    </row>
    <row r="574" spans="1:10" x14ac:dyDescent="0.35">
      <c r="A574" s="1">
        <v>45107</v>
      </c>
      <c r="B574" s="2" t="s">
        <v>31</v>
      </c>
      <c r="C574" s="2" t="s">
        <v>20</v>
      </c>
      <c r="D574" s="2" t="s">
        <v>17</v>
      </c>
      <c r="E574" s="2" t="s">
        <v>13</v>
      </c>
      <c r="F574">
        <v>398</v>
      </c>
      <c r="G574">
        <v>122</v>
      </c>
      <c r="H574">
        <v>48556</v>
      </c>
      <c r="I574">
        <v>8924.8444999999992</v>
      </c>
      <c r="J574" s="2" t="s">
        <v>41</v>
      </c>
    </row>
    <row r="575" spans="1:10" x14ac:dyDescent="0.35">
      <c r="A575" s="1">
        <v>45108</v>
      </c>
      <c r="B575" s="2" t="s">
        <v>15</v>
      </c>
      <c r="C575" s="2" t="s">
        <v>20</v>
      </c>
      <c r="D575" s="2" t="s">
        <v>12</v>
      </c>
      <c r="E575" s="2" t="s">
        <v>13</v>
      </c>
      <c r="F575">
        <v>815</v>
      </c>
      <c r="G575">
        <v>360</v>
      </c>
      <c r="H575">
        <v>293400</v>
      </c>
      <c r="I575">
        <v>32105.112300000001</v>
      </c>
      <c r="J575" s="2" t="s">
        <v>42</v>
      </c>
    </row>
    <row r="576" spans="1:10" x14ac:dyDescent="0.35">
      <c r="A576" s="1">
        <v>45109</v>
      </c>
      <c r="B576" s="2" t="s">
        <v>25</v>
      </c>
      <c r="C576" s="2" t="s">
        <v>20</v>
      </c>
      <c r="D576" s="2" t="s">
        <v>30</v>
      </c>
      <c r="E576" s="2" t="s">
        <v>28</v>
      </c>
      <c r="F576">
        <v>210</v>
      </c>
      <c r="G576">
        <v>468</v>
      </c>
      <c r="H576">
        <v>98280</v>
      </c>
      <c r="I576">
        <v>21401.111400000002</v>
      </c>
      <c r="J576" s="2" t="s">
        <v>42</v>
      </c>
    </row>
    <row r="577" spans="1:10" x14ac:dyDescent="0.35">
      <c r="A577" s="1">
        <v>45109</v>
      </c>
      <c r="B577" s="2" t="s">
        <v>36</v>
      </c>
      <c r="C577" s="2" t="s">
        <v>20</v>
      </c>
      <c r="D577" s="2" t="s">
        <v>17</v>
      </c>
      <c r="E577" s="2" t="s">
        <v>35</v>
      </c>
      <c r="F577">
        <v>424</v>
      </c>
      <c r="G577">
        <v>466</v>
      </c>
      <c r="H577">
        <v>197584</v>
      </c>
      <c r="I577">
        <v>27328.641599999999</v>
      </c>
      <c r="J577" s="2" t="s">
        <v>42</v>
      </c>
    </row>
    <row r="578" spans="1:10" x14ac:dyDescent="0.35">
      <c r="A578" s="1">
        <v>45109</v>
      </c>
      <c r="B578" s="2" t="s">
        <v>19</v>
      </c>
      <c r="C578" s="2" t="s">
        <v>29</v>
      </c>
      <c r="D578" s="2" t="s">
        <v>17</v>
      </c>
      <c r="E578" s="2" t="s">
        <v>24</v>
      </c>
      <c r="F578">
        <v>252</v>
      </c>
      <c r="G578">
        <v>331</v>
      </c>
      <c r="H578">
        <v>83412</v>
      </c>
      <c r="I578">
        <v>12761.6422</v>
      </c>
      <c r="J578" s="2" t="s">
        <v>42</v>
      </c>
    </row>
    <row r="579" spans="1:10" x14ac:dyDescent="0.35">
      <c r="A579" s="1">
        <v>45109</v>
      </c>
      <c r="B579" s="2" t="s">
        <v>19</v>
      </c>
      <c r="C579" s="2" t="s">
        <v>16</v>
      </c>
      <c r="D579" s="2" t="s">
        <v>12</v>
      </c>
      <c r="E579" s="2" t="s">
        <v>18</v>
      </c>
      <c r="F579">
        <v>205</v>
      </c>
      <c r="G579">
        <v>189</v>
      </c>
      <c r="H579">
        <v>38745</v>
      </c>
      <c r="I579">
        <v>3213.2921000000001</v>
      </c>
      <c r="J579" s="2" t="s">
        <v>42</v>
      </c>
    </row>
    <row r="580" spans="1:10" x14ac:dyDescent="0.35">
      <c r="A580" s="1">
        <v>45109</v>
      </c>
      <c r="B580" s="2" t="s">
        <v>10</v>
      </c>
      <c r="C580" s="2" t="s">
        <v>27</v>
      </c>
      <c r="D580" s="2" t="s">
        <v>17</v>
      </c>
      <c r="E580" s="2" t="s">
        <v>18</v>
      </c>
      <c r="F580">
        <v>674</v>
      </c>
      <c r="G580">
        <v>467</v>
      </c>
      <c r="H580">
        <v>314758</v>
      </c>
      <c r="I580">
        <v>36016.133300000001</v>
      </c>
      <c r="J580" s="2" t="s">
        <v>42</v>
      </c>
    </row>
    <row r="581" spans="1:10" x14ac:dyDescent="0.35">
      <c r="A581" s="1">
        <v>45109</v>
      </c>
      <c r="B581" s="2" t="s">
        <v>10</v>
      </c>
      <c r="C581" s="2" t="s">
        <v>11</v>
      </c>
      <c r="D581" s="2" t="s">
        <v>21</v>
      </c>
      <c r="E581" s="2" t="s">
        <v>13</v>
      </c>
      <c r="F581">
        <v>374</v>
      </c>
      <c r="G581">
        <v>186</v>
      </c>
      <c r="H581">
        <v>69564</v>
      </c>
      <c r="I581">
        <v>8216.3723000000009</v>
      </c>
      <c r="J581" s="2" t="s">
        <v>42</v>
      </c>
    </row>
    <row r="582" spans="1:10" x14ac:dyDescent="0.35">
      <c r="A582" s="1">
        <v>45109</v>
      </c>
      <c r="B582" s="2" t="s">
        <v>34</v>
      </c>
      <c r="C582" s="2" t="s">
        <v>11</v>
      </c>
      <c r="D582" s="2" t="s">
        <v>21</v>
      </c>
      <c r="E582" s="2" t="s">
        <v>33</v>
      </c>
      <c r="F582">
        <v>335</v>
      </c>
      <c r="G582">
        <v>433</v>
      </c>
      <c r="H582">
        <v>145055</v>
      </c>
      <c r="I582">
        <v>24361.747200000002</v>
      </c>
      <c r="J582" s="2" t="s">
        <v>42</v>
      </c>
    </row>
    <row r="583" spans="1:10" x14ac:dyDescent="0.35">
      <c r="A583" s="1">
        <v>45110</v>
      </c>
      <c r="B583" s="2" t="s">
        <v>36</v>
      </c>
      <c r="C583" s="2" t="s">
        <v>16</v>
      </c>
      <c r="D583" s="2" t="s">
        <v>17</v>
      </c>
      <c r="E583" s="2" t="s">
        <v>24</v>
      </c>
      <c r="F583">
        <v>652</v>
      </c>
      <c r="G583">
        <v>456</v>
      </c>
      <c r="H583">
        <v>297312</v>
      </c>
      <c r="I583">
        <v>60048.257299999997</v>
      </c>
      <c r="J583" s="2" t="s">
        <v>42</v>
      </c>
    </row>
    <row r="584" spans="1:10" x14ac:dyDescent="0.35">
      <c r="A584" s="1">
        <v>45110</v>
      </c>
      <c r="B584" s="2" t="s">
        <v>25</v>
      </c>
      <c r="C584" s="2" t="s">
        <v>16</v>
      </c>
      <c r="D584" s="2" t="s">
        <v>30</v>
      </c>
      <c r="E584" s="2" t="s">
        <v>32</v>
      </c>
      <c r="F584">
        <v>894</v>
      </c>
      <c r="G584">
        <v>243</v>
      </c>
      <c r="H584">
        <v>217242</v>
      </c>
      <c r="I584">
        <v>49903.1702</v>
      </c>
      <c r="J584" s="2" t="s">
        <v>42</v>
      </c>
    </row>
    <row r="585" spans="1:10" x14ac:dyDescent="0.35">
      <c r="A585" s="1">
        <v>45111</v>
      </c>
      <c r="B585" s="2" t="s">
        <v>10</v>
      </c>
      <c r="C585" s="2" t="s">
        <v>23</v>
      </c>
      <c r="D585" s="2" t="s">
        <v>12</v>
      </c>
      <c r="E585" s="2" t="s">
        <v>35</v>
      </c>
      <c r="F585">
        <v>870</v>
      </c>
      <c r="G585">
        <v>196</v>
      </c>
      <c r="H585">
        <v>170520</v>
      </c>
      <c r="I585">
        <v>17314.483800000002</v>
      </c>
      <c r="J585" s="2" t="s">
        <v>42</v>
      </c>
    </row>
    <row r="586" spans="1:10" x14ac:dyDescent="0.35">
      <c r="A586" s="1">
        <v>45112</v>
      </c>
      <c r="B586" s="2" t="s">
        <v>19</v>
      </c>
      <c r="C586" s="2" t="s">
        <v>27</v>
      </c>
      <c r="D586" s="2" t="s">
        <v>30</v>
      </c>
      <c r="E586" s="2" t="s">
        <v>28</v>
      </c>
      <c r="F586">
        <v>287</v>
      </c>
      <c r="G586">
        <v>255</v>
      </c>
      <c r="H586">
        <v>73185</v>
      </c>
      <c r="I586">
        <v>7895.4683000000005</v>
      </c>
      <c r="J586" s="2" t="s">
        <v>42</v>
      </c>
    </row>
    <row r="587" spans="1:10" x14ac:dyDescent="0.35">
      <c r="A587" s="1">
        <v>45113</v>
      </c>
      <c r="B587" s="2" t="s">
        <v>34</v>
      </c>
      <c r="C587" s="2" t="s">
        <v>16</v>
      </c>
      <c r="D587" s="2" t="s">
        <v>12</v>
      </c>
      <c r="E587" s="2" t="s">
        <v>22</v>
      </c>
      <c r="F587">
        <v>346</v>
      </c>
      <c r="G587">
        <v>361</v>
      </c>
      <c r="H587">
        <v>124906</v>
      </c>
      <c r="I587">
        <v>30235.341799999998</v>
      </c>
      <c r="J587" s="2" t="s">
        <v>42</v>
      </c>
    </row>
    <row r="588" spans="1:10" x14ac:dyDescent="0.35">
      <c r="A588" s="1">
        <v>45113</v>
      </c>
      <c r="B588" s="2" t="s">
        <v>31</v>
      </c>
      <c r="C588" s="2" t="s">
        <v>20</v>
      </c>
      <c r="D588" s="2" t="s">
        <v>21</v>
      </c>
      <c r="E588" s="2" t="s">
        <v>22</v>
      </c>
      <c r="F588">
        <v>282</v>
      </c>
      <c r="G588">
        <v>271</v>
      </c>
      <c r="H588">
        <v>76422</v>
      </c>
      <c r="I588">
        <v>8534.2461000000003</v>
      </c>
      <c r="J588" s="2" t="s">
        <v>42</v>
      </c>
    </row>
    <row r="589" spans="1:10" x14ac:dyDescent="0.35">
      <c r="A589" s="1">
        <v>45113</v>
      </c>
      <c r="B589" s="2" t="s">
        <v>26</v>
      </c>
      <c r="C589" s="2" t="s">
        <v>20</v>
      </c>
      <c r="D589" s="2" t="s">
        <v>30</v>
      </c>
      <c r="E589" s="2" t="s">
        <v>28</v>
      </c>
      <c r="F589">
        <v>751</v>
      </c>
      <c r="G589">
        <v>196</v>
      </c>
      <c r="H589">
        <v>147196</v>
      </c>
      <c r="I589">
        <v>35799.743300000002</v>
      </c>
      <c r="J589" s="2" t="s">
        <v>42</v>
      </c>
    </row>
    <row r="590" spans="1:10" x14ac:dyDescent="0.35">
      <c r="A590" s="1">
        <v>45113</v>
      </c>
      <c r="B590" s="2" t="s">
        <v>36</v>
      </c>
      <c r="C590" s="2" t="s">
        <v>27</v>
      </c>
      <c r="D590" s="2" t="s">
        <v>12</v>
      </c>
      <c r="E590" s="2" t="s">
        <v>35</v>
      </c>
      <c r="F590">
        <v>688</v>
      </c>
      <c r="G590">
        <v>172</v>
      </c>
      <c r="H590">
        <v>118336</v>
      </c>
      <c r="I590">
        <v>17251.254000000001</v>
      </c>
      <c r="J590" s="2" t="s">
        <v>42</v>
      </c>
    </row>
    <row r="591" spans="1:10" x14ac:dyDescent="0.35">
      <c r="A591" s="1">
        <v>45114</v>
      </c>
      <c r="B591" s="2" t="s">
        <v>10</v>
      </c>
      <c r="C591" s="2" t="s">
        <v>29</v>
      </c>
      <c r="D591" s="2" t="s">
        <v>12</v>
      </c>
      <c r="E591" s="2" t="s">
        <v>22</v>
      </c>
      <c r="F591">
        <v>440</v>
      </c>
      <c r="G591">
        <v>339</v>
      </c>
      <c r="H591">
        <v>149160</v>
      </c>
      <c r="I591">
        <v>26700.747200000002</v>
      </c>
      <c r="J591" s="2" t="s">
        <v>42</v>
      </c>
    </row>
    <row r="592" spans="1:10" x14ac:dyDescent="0.35">
      <c r="A592" s="1">
        <v>45114</v>
      </c>
      <c r="B592" s="2" t="s">
        <v>10</v>
      </c>
      <c r="C592" s="2" t="s">
        <v>16</v>
      </c>
      <c r="D592" s="2" t="s">
        <v>12</v>
      </c>
      <c r="E592" s="2" t="s">
        <v>28</v>
      </c>
      <c r="F592">
        <v>872</v>
      </c>
      <c r="G592">
        <v>202</v>
      </c>
      <c r="H592">
        <v>176144</v>
      </c>
      <c r="I592">
        <v>31123.511500000001</v>
      </c>
      <c r="J592" s="2" t="s">
        <v>42</v>
      </c>
    </row>
    <row r="593" spans="1:10" x14ac:dyDescent="0.35">
      <c r="A593" s="1">
        <v>45114</v>
      </c>
      <c r="B593" s="2" t="s">
        <v>10</v>
      </c>
      <c r="C593" s="2" t="s">
        <v>20</v>
      </c>
      <c r="D593" s="2" t="s">
        <v>30</v>
      </c>
      <c r="E593" s="2" t="s">
        <v>32</v>
      </c>
      <c r="F593">
        <v>330</v>
      </c>
      <c r="G593">
        <v>130</v>
      </c>
      <c r="H593">
        <v>42900</v>
      </c>
      <c r="I593">
        <v>8408.0537000000004</v>
      </c>
      <c r="J593" s="2" t="s">
        <v>42</v>
      </c>
    </row>
    <row r="594" spans="1:10" x14ac:dyDescent="0.35">
      <c r="A594" s="1">
        <v>45114</v>
      </c>
      <c r="B594" s="2" t="s">
        <v>15</v>
      </c>
      <c r="C594" s="2" t="s">
        <v>23</v>
      </c>
      <c r="D594" s="2" t="s">
        <v>30</v>
      </c>
      <c r="E594" s="2" t="s">
        <v>18</v>
      </c>
      <c r="F594">
        <v>252</v>
      </c>
      <c r="G594">
        <v>265</v>
      </c>
      <c r="H594">
        <v>66780</v>
      </c>
      <c r="I594">
        <v>9593.0311000000002</v>
      </c>
      <c r="J594" s="2" t="s">
        <v>42</v>
      </c>
    </row>
    <row r="595" spans="1:10" x14ac:dyDescent="0.35">
      <c r="A595" s="1">
        <v>45114</v>
      </c>
      <c r="B595" s="2" t="s">
        <v>31</v>
      </c>
      <c r="C595" s="2" t="s">
        <v>16</v>
      </c>
      <c r="D595" s="2" t="s">
        <v>17</v>
      </c>
      <c r="E595" s="2" t="s">
        <v>35</v>
      </c>
      <c r="F595">
        <v>325</v>
      </c>
      <c r="G595">
        <v>224</v>
      </c>
      <c r="H595">
        <v>72800</v>
      </c>
      <c r="I595">
        <v>6101.8037000000004</v>
      </c>
      <c r="J595" s="2" t="s">
        <v>42</v>
      </c>
    </row>
    <row r="596" spans="1:10" x14ac:dyDescent="0.35">
      <c r="A596" s="1">
        <v>45114</v>
      </c>
      <c r="B596" s="2" t="s">
        <v>31</v>
      </c>
      <c r="C596" s="2" t="s">
        <v>20</v>
      </c>
      <c r="D596" s="2" t="s">
        <v>17</v>
      </c>
      <c r="E596" s="2" t="s">
        <v>35</v>
      </c>
      <c r="F596">
        <v>998</v>
      </c>
      <c r="G596">
        <v>328</v>
      </c>
      <c r="H596">
        <v>327344</v>
      </c>
      <c r="I596">
        <v>79223.419200000004</v>
      </c>
      <c r="J596" s="2" t="s">
        <v>42</v>
      </c>
    </row>
    <row r="597" spans="1:10" x14ac:dyDescent="0.35">
      <c r="A597" s="1">
        <v>45115</v>
      </c>
      <c r="B597" s="2" t="s">
        <v>10</v>
      </c>
      <c r="C597" s="2" t="s">
        <v>11</v>
      </c>
      <c r="D597" s="2" t="s">
        <v>30</v>
      </c>
      <c r="E597" s="2" t="s">
        <v>13</v>
      </c>
      <c r="F597">
        <v>366</v>
      </c>
      <c r="G597">
        <v>346</v>
      </c>
      <c r="H597">
        <v>126636</v>
      </c>
      <c r="I597">
        <v>30477.916399999998</v>
      </c>
      <c r="J597" s="2" t="s">
        <v>42</v>
      </c>
    </row>
    <row r="598" spans="1:10" x14ac:dyDescent="0.35">
      <c r="A598" s="1">
        <v>45116</v>
      </c>
      <c r="B598" s="2" t="s">
        <v>34</v>
      </c>
      <c r="C598" s="2" t="s">
        <v>11</v>
      </c>
      <c r="D598" s="2" t="s">
        <v>17</v>
      </c>
      <c r="E598" s="2" t="s">
        <v>28</v>
      </c>
      <c r="F598">
        <v>499</v>
      </c>
      <c r="G598">
        <v>212</v>
      </c>
      <c r="H598">
        <v>105788</v>
      </c>
      <c r="I598">
        <v>24789.349099999999</v>
      </c>
      <c r="J598" s="2" t="s">
        <v>42</v>
      </c>
    </row>
    <row r="599" spans="1:10" x14ac:dyDescent="0.35">
      <c r="A599" s="1">
        <v>45116</v>
      </c>
      <c r="B599" s="2" t="s">
        <v>15</v>
      </c>
      <c r="C599" s="2" t="s">
        <v>29</v>
      </c>
      <c r="D599" s="2" t="s">
        <v>12</v>
      </c>
      <c r="E599" s="2" t="s">
        <v>32</v>
      </c>
      <c r="F599">
        <v>895</v>
      </c>
      <c r="G599">
        <v>189</v>
      </c>
      <c r="H599">
        <v>169155</v>
      </c>
      <c r="I599">
        <v>36094.750800000002</v>
      </c>
      <c r="J599" s="2" t="s">
        <v>42</v>
      </c>
    </row>
    <row r="600" spans="1:10" x14ac:dyDescent="0.35">
      <c r="A600" s="1">
        <v>45116</v>
      </c>
      <c r="B600" s="2" t="s">
        <v>19</v>
      </c>
      <c r="C600" s="2" t="s">
        <v>11</v>
      </c>
      <c r="D600" s="2" t="s">
        <v>17</v>
      </c>
      <c r="E600" s="2" t="s">
        <v>13</v>
      </c>
      <c r="F600">
        <v>240</v>
      </c>
      <c r="G600">
        <v>443</v>
      </c>
      <c r="H600">
        <v>106320</v>
      </c>
      <c r="I600">
        <v>10119.3019</v>
      </c>
      <c r="J600" s="2" t="s">
        <v>42</v>
      </c>
    </row>
    <row r="601" spans="1:10" x14ac:dyDescent="0.35">
      <c r="A601" s="1">
        <v>45116</v>
      </c>
      <c r="B601" s="2" t="s">
        <v>19</v>
      </c>
      <c r="C601" s="2" t="s">
        <v>29</v>
      </c>
      <c r="D601" s="2" t="s">
        <v>12</v>
      </c>
      <c r="E601" s="2" t="s">
        <v>32</v>
      </c>
      <c r="F601">
        <v>738</v>
      </c>
      <c r="G601">
        <v>367</v>
      </c>
      <c r="H601">
        <v>270846</v>
      </c>
      <c r="I601">
        <v>38346.890399999997</v>
      </c>
      <c r="J601" s="2" t="s">
        <v>42</v>
      </c>
    </row>
    <row r="602" spans="1:10" x14ac:dyDescent="0.35">
      <c r="A602" s="1">
        <v>45116</v>
      </c>
      <c r="B602" s="2" t="s">
        <v>34</v>
      </c>
      <c r="C602" s="2" t="s">
        <v>23</v>
      </c>
      <c r="D602" s="2" t="s">
        <v>30</v>
      </c>
      <c r="E602" s="2" t="s">
        <v>22</v>
      </c>
      <c r="F602">
        <v>115</v>
      </c>
      <c r="G602">
        <v>150</v>
      </c>
      <c r="H602">
        <v>17250</v>
      </c>
      <c r="I602">
        <v>3273.9106999999999</v>
      </c>
      <c r="J602" s="2" t="s">
        <v>42</v>
      </c>
    </row>
    <row r="603" spans="1:10" x14ac:dyDescent="0.35">
      <c r="A603" s="1">
        <v>45116</v>
      </c>
      <c r="B603" s="2" t="s">
        <v>19</v>
      </c>
      <c r="C603" s="2" t="s">
        <v>29</v>
      </c>
      <c r="D603" s="2" t="s">
        <v>21</v>
      </c>
      <c r="E603" s="2" t="s">
        <v>22</v>
      </c>
      <c r="F603">
        <v>633</v>
      </c>
      <c r="G603">
        <v>133</v>
      </c>
      <c r="H603">
        <v>84189</v>
      </c>
      <c r="I603">
        <v>10962.5108</v>
      </c>
      <c r="J603" s="2" t="s">
        <v>42</v>
      </c>
    </row>
    <row r="604" spans="1:10" x14ac:dyDescent="0.35">
      <c r="A604" s="1">
        <v>45117</v>
      </c>
      <c r="B604" s="2" t="s">
        <v>25</v>
      </c>
      <c r="C604" s="2" t="s">
        <v>16</v>
      </c>
      <c r="D604" s="2" t="s">
        <v>12</v>
      </c>
      <c r="E604" s="2" t="s">
        <v>28</v>
      </c>
      <c r="F604">
        <v>990</v>
      </c>
      <c r="G604">
        <v>124</v>
      </c>
      <c r="H604">
        <v>122760</v>
      </c>
      <c r="I604">
        <v>18849.813999999998</v>
      </c>
      <c r="J604" s="2" t="s">
        <v>42</v>
      </c>
    </row>
    <row r="605" spans="1:10" x14ac:dyDescent="0.35">
      <c r="A605" s="1">
        <v>45117</v>
      </c>
      <c r="B605" s="2" t="s">
        <v>25</v>
      </c>
      <c r="C605" s="2" t="s">
        <v>11</v>
      </c>
      <c r="D605" s="2" t="s">
        <v>12</v>
      </c>
      <c r="E605" s="2" t="s">
        <v>24</v>
      </c>
      <c r="F605">
        <v>896</v>
      </c>
      <c r="G605">
        <v>246</v>
      </c>
      <c r="H605">
        <v>220416</v>
      </c>
      <c r="I605">
        <v>52696.617599999998</v>
      </c>
      <c r="J605" s="2" t="s">
        <v>42</v>
      </c>
    </row>
    <row r="606" spans="1:10" x14ac:dyDescent="0.35">
      <c r="A606" s="1">
        <v>45117</v>
      </c>
      <c r="B606" s="2" t="s">
        <v>26</v>
      </c>
      <c r="C606" s="2" t="s">
        <v>23</v>
      </c>
      <c r="D606" s="2" t="s">
        <v>12</v>
      </c>
      <c r="E606" s="2" t="s">
        <v>22</v>
      </c>
      <c r="F606">
        <v>274</v>
      </c>
      <c r="G606">
        <v>493</v>
      </c>
      <c r="H606">
        <v>135082</v>
      </c>
      <c r="I606">
        <v>14890.373799999999</v>
      </c>
      <c r="J606" s="2" t="s">
        <v>42</v>
      </c>
    </row>
    <row r="607" spans="1:10" x14ac:dyDescent="0.35">
      <c r="A607" s="1">
        <v>45118</v>
      </c>
      <c r="B607" s="2" t="s">
        <v>31</v>
      </c>
      <c r="C607" s="2" t="s">
        <v>16</v>
      </c>
      <c r="D607" s="2" t="s">
        <v>12</v>
      </c>
      <c r="E607" s="2" t="s">
        <v>22</v>
      </c>
      <c r="F607">
        <v>191</v>
      </c>
      <c r="G607">
        <v>392</v>
      </c>
      <c r="H607">
        <v>74872</v>
      </c>
      <c r="I607">
        <v>8944.6067000000003</v>
      </c>
      <c r="J607" s="2" t="s">
        <v>42</v>
      </c>
    </row>
    <row r="608" spans="1:10" x14ac:dyDescent="0.35">
      <c r="A608" s="1">
        <v>45118</v>
      </c>
      <c r="B608" s="2" t="s">
        <v>25</v>
      </c>
      <c r="C608" s="2" t="s">
        <v>11</v>
      </c>
      <c r="D608" s="2" t="s">
        <v>30</v>
      </c>
      <c r="E608" s="2" t="s">
        <v>13</v>
      </c>
      <c r="F608">
        <v>753</v>
      </c>
      <c r="G608">
        <v>374</v>
      </c>
      <c r="H608">
        <v>281622</v>
      </c>
      <c r="I608">
        <v>68960.107000000004</v>
      </c>
      <c r="J608" s="2" t="s">
        <v>42</v>
      </c>
    </row>
    <row r="609" spans="1:10" x14ac:dyDescent="0.35">
      <c r="A609" s="1">
        <v>45118</v>
      </c>
      <c r="B609" s="2" t="s">
        <v>31</v>
      </c>
      <c r="C609" s="2" t="s">
        <v>27</v>
      </c>
      <c r="D609" s="2" t="s">
        <v>21</v>
      </c>
      <c r="E609" s="2" t="s">
        <v>24</v>
      </c>
      <c r="F609">
        <v>831</v>
      </c>
      <c r="G609">
        <v>460</v>
      </c>
      <c r="H609">
        <v>382260</v>
      </c>
      <c r="I609">
        <v>73368.057199999996</v>
      </c>
      <c r="J609" s="2" t="s">
        <v>42</v>
      </c>
    </row>
    <row r="610" spans="1:10" x14ac:dyDescent="0.35">
      <c r="A610" s="1">
        <v>45118</v>
      </c>
      <c r="B610" s="2" t="s">
        <v>19</v>
      </c>
      <c r="C610" s="2" t="s">
        <v>11</v>
      </c>
      <c r="D610" s="2" t="s">
        <v>21</v>
      </c>
      <c r="E610" s="2" t="s">
        <v>13</v>
      </c>
      <c r="F610">
        <v>747</v>
      </c>
      <c r="G610">
        <v>194</v>
      </c>
      <c r="H610">
        <v>144918</v>
      </c>
      <c r="I610">
        <v>16392.645</v>
      </c>
      <c r="J610" s="2" t="s">
        <v>42</v>
      </c>
    </row>
    <row r="611" spans="1:10" x14ac:dyDescent="0.35">
      <c r="A611" s="1">
        <v>45119</v>
      </c>
      <c r="B611" s="2" t="s">
        <v>26</v>
      </c>
      <c r="C611" s="2" t="s">
        <v>29</v>
      </c>
      <c r="D611" s="2" t="s">
        <v>30</v>
      </c>
      <c r="E611" s="2" t="s">
        <v>35</v>
      </c>
      <c r="F611">
        <v>706</v>
      </c>
      <c r="G611">
        <v>210</v>
      </c>
      <c r="H611">
        <v>148260</v>
      </c>
      <c r="I611">
        <v>31942.2644</v>
      </c>
      <c r="J611" s="2" t="s">
        <v>42</v>
      </c>
    </row>
    <row r="612" spans="1:10" x14ac:dyDescent="0.35">
      <c r="A612" s="1">
        <v>45119</v>
      </c>
      <c r="B612" s="2" t="s">
        <v>26</v>
      </c>
      <c r="C612" s="2" t="s">
        <v>16</v>
      </c>
      <c r="D612" s="2" t="s">
        <v>17</v>
      </c>
      <c r="E612" s="2" t="s">
        <v>28</v>
      </c>
      <c r="F612">
        <v>830</v>
      </c>
      <c r="G612">
        <v>487</v>
      </c>
      <c r="H612">
        <v>404210</v>
      </c>
      <c r="I612">
        <v>69437.153099999996</v>
      </c>
      <c r="J612" s="2" t="s">
        <v>42</v>
      </c>
    </row>
    <row r="613" spans="1:10" x14ac:dyDescent="0.35">
      <c r="A613" s="1">
        <v>45120</v>
      </c>
      <c r="B613" s="2" t="s">
        <v>31</v>
      </c>
      <c r="C613" s="2" t="s">
        <v>11</v>
      </c>
      <c r="D613" s="2" t="s">
        <v>30</v>
      </c>
      <c r="E613" s="2" t="s">
        <v>32</v>
      </c>
      <c r="F613">
        <v>981</v>
      </c>
      <c r="G613">
        <v>484</v>
      </c>
      <c r="H613">
        <v>474804</v>
      </c>
      <c r="I613">
        <v>91181.443100000004</v>
      </c>
      <c r="J613" s="2" t="s">
        <v>42</v>
      </c>
    </row>
    <row r="614" spans="1:10" x14ac:dyDescent="0.35">
      <c r="A614" s="1">
        <v>45120</v>
      </c>
      <c r="B614" s="2" t="s">
        <v>25</v>
      </c>
      <c r="C614" s="2" t="s">
        <v>29</v>
      </c>
      <c r="D614" s="2" t="s">
        <v>21</v>
      </c>
      <c r="E614" s="2" t="s">
        <v>22</v>
      </c>
      <c r="F614">
        <v>854</v>
      </c>
      <c r="G614">
        <v>296</v>
      </c>
      <c r="H614">
        <v>252784</v>
      </c>
      <c r="I614">
        <v>32713.602599999998</v>
      </c>
      <c r="J614" s="2" t="s">
        <v>42</v>
      </c>
    </row>
    <row r="615" spans="1:10" x14ac:dyDescent="0.35">
      <c r="A615" s="1">
        <v>45120</v>
      </c>
      <c r="B615" s="2" t="s">
        <v>25</v>
      </c>
      <c r="C615" s="2" t="s">
        <v>23</v>
      </c>
      <c r="D615" s="2" t="s">
        <v>30</v>
      </c>
      <c r="E615" s="2" t="s">
        <v>24</v>
      </c>
      <c r="F615">
        <v>171</v>
      </c>
      <c r="G615">
        <v>237</v>
      </c>
      <c r="H615">
        <v>40527</v>
      </c>
      <c r="I615">
        <v>5716.7187999999996</v>
      </c>
      <c r="J615" s="2" t="s">
        <v>42</v>
      </c>
    </row>
    <row r="616" spans="1:10" x14ac:dyDescent="0.35">
      <c r="A616" s="1">
        <v>45120</v>
      </c>
      <c r="B616" s="2" t="s">
        <v>15</v>
      </c>
      <c r="C616" s="2" t="s">
        <v>20</v>
      </c>
      <c r="D616" s="2" t="s">
        <v>21</v>
      </c>
      <c r="E616" s="2" t="s">
        <v>32</v>
      </c>
      <c r="F616">
        <v>182</v>
      </c>
      <c r="G616">
        <v>215</v>
      </c>
      <c r="H616">
        <v>39130</v>
      </c>
      <c r="I616">
        <v>6367.4255999999996</v>
      </c>
      <c r="J616" s="2" t="s">
        <v>42</v>
      </c>
    </row>
    <row r="617" spans="1:10" x14ac:dyDescent="0.35">
      <c r="A617" s="1">
        <v>45120</v>
      </c>
      <c r="B617" s="2" t="s">
        <v>19</v>
      </c>
      <c r="C617" s="2" t="s">
        <v>16</v>
      </c>
      <c r="D617" s="2" t="s">
        <v>17</v>
      </c>
      <c r="E617" s="2" t="s">
        <v>28</v>
      </c>
      <c r="F617">
        <v>198</v>
      </c>
      <c r="G617">
        <v>417</v>
      </c>
      <c r="H617">
        <v>82566</v>
      </c>
      <c r="I617">
        <v>11917.6391</v>
      </c>
      <c r="J617" s="2" t="s">
        <v>42</v>
      </c>
    </row>
    <row r="618" spans="1:10" x14ac:dyDescent="0.35">
      <c r="A618" s="1">
        <v>45120</v>
      </c>
      <c r="B618" s="2" t="s">
        <v>34</v>
      </c>
      <c r="C618" s="2" t="s">
        <v>27</v>
      </c>
      <c r="D618" s="2" t="s">
        <v>21</v>
      </c>
      <c r="E618" s="2" t="s">
        <v>32</v>
      </c>
      <c r="F618">
        <v>825</v>
      </c>
      <c r="G618">
        <v>400</v>
      </c>
      <c r="H618">
        <v>330000</v>
      </c>
      <c r="I618">
        <v>52969.061099999999</v>
      </c>
      <c r="J618" s="2" t="s">
        <v>42</v>
      </c>
    </row>
    <row r="619" spans="1:10" x14ac:dyDescent="0.35">
      <c r="A619" s="1">
        <v>45120</v>
      </c>
      <c r="B619" s="2" t="s">
        <v>25</v>
      </c>
      <c r="C619" s="2" t="s">
        <v>23</v>
      </c>
      <c r="D619" s="2" t="s">
        <v>30</v>
      </c>
      <c r="E619" s="2" t="s">
        <v>33</v>
      </c>
      <c r="F619">
        <v>101</v>
      </c>
      <c r="G619">
        <v>209</v>
      </c>
      <c r="H619">
        <v>21109</v>
      </c>
      <c r="I619">
        <v>3538.9438</v>
      </c>
      <c r="J619" s="2" t="s">
        <v>42</v>
      </c>
    </row>
    <row r="620" spans="1:10" x14ac:dyDescent="0.35">
      <c r="A620" s="1">
        <v>45121</v>
      </c>
      <c r="B620" s="2" t="s">
        <v>25</v>
      </c>
      <c r="C620" s="2" t="s">
        <v>16</v>
      </c>
      <c r="D620" s="2" t="s">
        <v>30</v>
      </c>
      <c r="E620" s="2" t="s">
        <v>18</v>
      </c>
      <c r="F620">
        <v>841</v>
      </c>
      <c r="G620">
        <v>106</v>
      </c>
      <c r="H620">
        <v>89146</v>
      </c>
      <c r="I620">
        <v>18974.332299999998</v>
      </c>
      <c r="J620" s="2" t="s">
        <v>42</v>
      </c>
    </row>
    <row r="621" spans="1:10" x14ac:dyDescent="0.35">
      <c r="A621" s="1">
        <v>45121</v>
      </c>
      <c r="B621" s="2" t="s">
        <v>19</v>
      </c>
      <c r="C621" s="2" t="s">
        <v>27</v>
      </c>
      <c r="D621" s="2" t="s">
        <v>30</v>
      </c>
      <c r="E621" s="2" t="s">
        <v>28</v>
      </c>
      <c r="F621">
        <v>176</v>
      </c>
      <c r="G621">
        <v>397</v>
      </c>
      <c r="H621">
        <v>69872</v>
      </c>
      <c r="I621">
        <v>13833.5969</v>
      </c>
      <c r="J621" s="2" t="s">
        <v>42</v>
      </c>
    </row>
    <row r="622" spans="1:10" x14ac:dyDescent="0.35">
      <c r="A622" s="1">
        <v>45121</v>
      </c>
      <c r="B622" s="2" t="s">
        <v>25</v>
      </c>
      <c r="C622" s="2" t="s">
        <v>16</v>
      </c>
      <c r="D622" s="2" t="s">
        <v>17</v>
      </c>
      <c r="E622" s="2" t="s">
        <v>32</v>
      </c>
      <c r="F622">
        <v>764</v>
      </c>
      <c r="G622">
        <v>184</v>
      </c>
      <c r="H622">
        <v>140576</v>
      </c>
      <c r="I622">
        <v>13501.713900000001</v>
      </c>
      <c r="J622" s="2" t="s">
        <v>42</v>
      </c>
    </row>
    <row r="623" spans="1:10" x14ac:dyDescent="0.35">
      <c r="A623" s="1">
        <v>45122</v>
      </c>
      <c r="B623" s="2" t="s">
        <v>25</v>
      </c>
      <c r="C623" s="2" t="s">
        <v>23</v>
      </c>
      <c r="D623" s="2" t="s">
        <v>30</v>
      </c>
      <c r="E623" s="2" t="s">
        <v>28</v>
      </c>
      <c r="F623">
        <v>153</v>
      </c>
      <c r="G623">
        <v>131</v>
      </c>
      <c r="H623">
        <v>20043</v>
      </c>
      <c r="I623">
        <v>3866.7763</v>
      </c>
      <c r="J623" s="2" t="s">
        <v>42</v>
      </c>
    </row>
    <row r="624" spans="1:10" x14ac:dyDescent="0.35">
      <c r="A624" s="1">
        <v>45122</v>
      </c>
      <c r="B624" s="2" t="s">
        <v>36</v>
      </c>
      <c r="C624" s="2" t="s">
        <v>11</v>
      </c>
      <c r="D624" s="2" t="s">
        <v>21</v>
      </c>
      <c r="E624" s="2" t="s">
        <v>32</v>
      </c>
      <c r="F624">
        <v>781</v>
      </c>
      <c r="G624">
        <v>257</v>
      </c>
      <c r="H624">
        <v>200717</v>
      </c>
      <c r="I624">
        <v>39499.911800000002</v>
      </c>
      <c r="J624" s="2" t="s">
        <v>42</v>
      </c>
    </row>
    <row r="625" spans="1:10" x14ac:dyDescent="0.35">
      <c r="A625" s="1">
        <v>45122</v>
      </c>
      <c r="B625" s="2" t="s">
        <v>10</v>
      </c>
      <c r="C625" s="2" t="s">
        <v>16</v>
      </c>
      <c r="D625" s="2" t="s">
        <v>12</v>
      </c>
      <c r="E625" s="2" t="s">
        <v>22</v>
      </c>
      <c r="F625">
        <v>204</v>
      </c>
      <c r="G625">
        <v>188</v>
      </c>
      <c r="H625">
        <v>38352</v>
      </c>
      <c r="I625">
        <v>5067.4579999999996</v>
      </c>
      <c r="J625" s="2" t="s">
        <v>42</v>
      </c>
    </row>
    <row r="626" spans="1:10" x14ac:dyDescent="0.35">
      <c r="A626" s="1">
        <v>45122</v>
      </c>
      <c r="B626" s="2" t="s">
        <v>10</v>
      </c>
      <c r="C626" s="2" t="s">
        <v>11</v>
      </c>
      <c r="D626" s="2" t="s">
        <v>17</v>
      </c>
      <c r="E626" s="2" t="s">
        <v>24</v>
      </c>
      <c r="F626">
        <v>178</v>
      </c>
      <c r="G626">
        <v>462</v>
      </c>
      <c r="H626">
        <v>82236</v>
      </c>
      <c r="I626">
        <v>13512.7045</v>
      </c>
      <c r="J626" s="2" t="s">
        <v>42</v>
      </c>
    </row>
    <row r="627" spans="1:10" x14ac:dyDescent="0.35">
      <c r="A627" s="1">
        <v>45123</v>
      </c>
      <c r="B627" s="2" t="s">
        <v>36</v>
      </c>
      <c r="C627" s="2" t="s">
        <v>27</v>
      </c>
      <c r="D627" s="2" t="s">
        <v>21</v>
      </c>
      <c r="E627" s="2" t="s">
        <v>35</v>
      </c>
      <c r="F627">
        <v>161</v>
      </c>
      <c r="G627">
        <v>220</v>
      </c>
      <c r="H627">
        <v>35420</v>
      </c>
      <c r="I627">
        <v>5252.2241000000004</v>
      </c>
      <c r="J627" s="2" t="s">
        <v>42</v>
      </c>
    </row>
    <row r="628" spans="1:10" x14ac:dyDescent="0.35">
      <c r="A628" s="1">
        <v>45124</v>
      </c>
      <c r="B628" s="2" t="s">
        <v>10</v>
      </c>
      <c r="C628" s="2" t="s">
        <v>29</v>
      </c>
      <c r="D628" s="2" t="s">
        <v>17</v>
      </c>
      <c r="E628" s="2" t="s">
        <v>32</v>
      </c>
      <c r="F628">
        <v>427</v>
      </c>
      <c r="G628">
        <v>471</v>
      </c>
      <c r="H628">
        <v>201117</v>
      </c>
      <c r="I628">
        <v>18470.218000000001</v>
      </c>
      <c r="J628" s="2" t="s">
        <v>42</v>
      </c>
    </row>
    <row r="629" spans="1:10" x14ac:dyDescent="0.35">
      <c r="A629" s="1">
        <v>45124</v>
      </c>
      <c r="B629" s="2" t="s">
        <v>25</v>
      </c>
      <c r="C629" s="2" t="s">
        <v>16</v>
      </c>
      <c r="D629" s="2" t="s">
        <v>30</v>
      </c>
      <c r="E629" s="2" t="s">
        <v>18</v>
      </c>
      <c r="F629">
        <v>390</v>
      </c>
      <c r="G629">
        <v>236</v>
      </c>
      <c r="H629">
        <v>92040</v>
      </c>
      <c r="I629">
        <v>20004.145799999998</v>
      </c>
      <c r="J629" s="2" t="s">
        <v>42</v>
      </c>
    </row>
    <row r="630" spans="1:10" x14ac:dyDescent="0.35">
      <c r="A630" s="1">
        <v>45124</v>
      </c>
      <c r="B630" s="2" t="s">
        <v>34</v>
      </c>
      <c r="C630" s="2" t="s">
        <v>23</v>
      </c>
      <c r="D630" s="2" t="s">
        <v>17</v>
      </c>
      <c r="E630" s="2" t="s">
        <v>24</v>
      </c>
      <c r="F630">
        <v>610</v>
      </c>
      <c r="G630">
        <v>284</v>
      </c>
      <c r="H630">
        <v>173240</v>
      </c>
      <c r="I630">
        <v>21067.552800000001</v>
      </c>
      <c r="J630" s="2" t="s">
        <v>42</v>
      </c>
    </row>
    <row r="631" spans="1:10" x14ac:dyDescent="0.35">
      <c r="A631" s="1">
        <v>45124</v>
      </c>
      <c r="B631" s="2" t="s">
        <v>10</v>
      </c>
      <c r="C631" s="2" t="s">
        <v>20</v>
      </c>
      <c r="D631" s="2" t="s">
        <v>30</v>
      </c>
      <c r="E631" s="2" t="s">
        <v>13</v>
      </c>
      <c r="F631">
        <v>894</v>
      </c>
      <c r="G631">
        <v>120</v>
      </c>
      <c r="H631">
        <v>107280</v>
      </c>
      <c r="I631">
        <v>10875.138199999999</v>
      </c>
      <c r="J631" s="2" t="s">
        <v>42</v>
      </c>
    </row>
    <row r="632" spans="1:10" x14ac:dyDescent="0.35">
      <c r="A632" s="1">
        <v>45124</v>
      </c>
      <c r="B632" s="2" t="s">
        <v>36</v>
      </c>
      <c r="C632" s="2" t="s">
        <v>23</v>
      </c>
      <c r="D632" s="2" t="s">
        <v>30</v>
      </c>
      <c r="E632" s="2" t="s">
        <v>28</v>
      </c>
      <c r="F632">
        <v>997</v>
      </c>
      <c r="G632">
        <v>365</v>
      </c>
      <c r="H632">
        <v>363905</v>
      </c>
      <c r="I632">
        <v>58469.668899999997</v>
      </c>
      <c r="J632" s="2" t="s">
        <v>42</v>
      </c>
    </row>
    <row r="633" spans="1:10" x14ac:dyDescent="0.35">
      <c r="A633" s="1">
        <v>45124</v>
      </c>
      <c r="B633" s="2" t="s">
        <v>25</v>
      </c>
      <c r="C633" s="2" t="s">
        <v>29</v>
      </c>
      <c r="D633" s="2" t="s">
        <v>12</v>
      </c>
      <c r="E633" s="2" t="s">
        <v>33</v>
      </c>
      <c r="F633">
        <v>538</v>
      </c>
      <c r="G633">
        <v>149</v>
      </c>
      <c r="H633">
        <v>80162</v>
      </c>
      <c r="I633">
        <v>13225.5633</v>
      </c>
      <c r="J633" s="2" t="s">
        <v>42</v>
      </c>
    </row>
    <row r="634" spans="1:10" x14ac:dyDescent="0.35">
      <c r="A634" s="1">
        <v>45125</v>
      </c>
      <c r="B634" s="2" t="s">
        <v>15</v>
      </c>
      <c r="C634" s="2" t="s">
        <v>16</v>
      </c>
      <c r="D634" s="2" t="s">
        <v>21</v>
      </c>
      <c r="E634" s="2" t="s">
        <v>35</v>
      </c>
      <c r="F634">
        <v>118</v>
      </c>
      <c r="G634">
        <v>495</v>
      </c>
      <c r="H634">
        <v>58410</v>
      </c>
      <c r="I634">
        <v>12583.6296</v>
      </c>
      <c r="J634" s="2" t="s">
        <v>42</v>
      </c>
    </row>
    <row r="635" spans="1:10" x14ac:dyDescent="0.35">
      <c r="A635" s="1">
        <v>45125</v>
      </c>
      <c r="B635" s="2" t="s">
        <v>31</v>
      </c>
      <c r="C635" s="2" t="s">
        <v>11</v>
      </c>
      <c r="D635" s="2" t="s">
        <v>30</v>
      </c>
      <c r="E635" s="2" t="s">
        <v>22</v>
      </c>
      <c r="F635">
        <v>591</v>
      </c>
      <c r="G635">
        <v>377</v>
      </c>
      <c r="H635">
        <v>222807</v>
      </c>
      <c r="I635">
        <v>45434.494200000001</v>
      </c>
      <c r="J635" s="2" t="s">
        <v>42</v>
      </c>
    </row>
    <row r="636" spans="1:10" x14ac:dyDescent="0.35">
      <c r="A636" s="1">
        <v>45125</v>
      </c>
      <c r="B636" s="2" t="s">
        <v>19</v>
      </c>
      <c r="C636" s="2" t="s">
        <v>16</v>
      </c>
      <c r="D636" s="2" t="s">
        <v>12</v>
      </c>
      <c r="E636" s="2" t="s">
        <v>33</v>
      </c>
      <c r="F636">
        <v>862</v>
      </c>
      <c r="G636">
        <v>193</v>
      </c>
      <c r="H636">
        <v>166366</v>
      </c>
      <c r="I636">
        <v>32379.740699999998</v>
      </c>
      <c r="J636" s="2" t="s">
        <v>42</v>
      </c>
    </row>
    <row r="637" spans="1:10" x14ac:dyDescent="0.35">
      <c r="A637" s="1">
        <v>45126</v>
      </c>
      <c r="B637" s="2" t="s">
        <v>34</v>
      </c>
      <c r="C637" s="2" t="s">
        <v>11</v>
      </c>
      <c r="D637" s="2" t="s">
        <v>21</v>
      </c>
      <c r="E637" s="2" t="s">
        <v>13</v>
      </c>
      <c r="F637">
        <v>585</v>
      </c>
      <c r="G637">
        <v>406</v>
      </c>
      <c r="H637">
        <v>237510</v>
      </c>
      <c r="I637">
        <v>29625.9391</v>
      </c>
      <c r="J637" s="2" t="s">
        <v>42</v>
      </c>
    </row>
    <row r="638" spans="1:10" x14ac:dyDescent="0.35">
      <c r="A638" s="1">
        <v>45127</v>
      </c>
      <c r="B638" s="2" t="s">
        <v>36</v>
      </c>
      <c r="C638" s="2" t="s">
        <v>20</v>
      </c>
      <c r="D638" s="2" t="s">
        <v>12</v>
      </c>
      <c r="E638" s="2" t="s">
        <v>18</v>
      </c>
      <c r="F638">
        <v>71</v>
      </c>
      <c r="G638">
        <v>295</v>
      </c>
      <c r="H638">
        <v>20945</v>
      </c>
      <c r="I638">
        <v>2353.3777</v>
      </c>
      <c r="J638" s="2" t="s">
        <v>42</v>
      </c>
    </row>
    <row r="639" spans="1:10" x14ac:dyDescent="0.35">
      <c r="A639" s="1">
        <v>45127</v>
      </c>
      <c r="B639" s="2" t="s">
        <v>15</v>
      </c>
      <c r="C639" s="2" t="s">
        <v>29</v>
      </c>
      <c r="D639" s="2" t="s">
        <v>12</v>
      </c>
      <c r="E639" s="2" t="s">
        <v>24</v>
      </c>
      <c r="F639">
        <v>327</v>
      </c>
      <c r="G639">
        <v>128</v>
      </c>
      <c r="H639">
        <v>41856</v>
      </c>
      <c r="I639">
        <v>9418.7541000000001</v>
      </c>
      <c r="J639" s="2" t="s">
        <v>42</v>
      </c>
    </row>
    <row r="640" spans="1:10" x14ac:dyDescent="0.35">
      <c r="A640" s="1">
        <v>45127</v>
      </c>
      <c r="B640" s="2" t="s">
        <v>34</v>
      </c>
      <c r="C640" s="2" t="s">
        <v>29</v>
      </c>
      <c r="D640" s="2" t="s">
        <v>21</v>
      </c>
      <c r="E640" s="2" t="s">
        <v>13</v>
      </c>
      <c r="F640">
        <v>481</v>
      </c>
      <c r="G640">
        <v>222</v>
      </c>
      <c r="H640">
        <v>106782</v>
      </c>
      <c r="I640">
        <v>9218.4411999999993</v>
      </c>
      <c r="J640" s="2" t="s">
        <v>42</v>
      </c>
    </row>
    <row r="641" spans="1:10" x14ac:dyDescent="0.35">
      <c r="A641" s="1">
        <v>45127</v>
      </c>
      <c r="B641" s="2" t="s">
        <v>36</v>
      </c>
      <c r="C641" s="2" t="s">
        <v>27</v>
      </c>
      <c r="D641" s="2" t="s">
        <v>12</v>
      </c>
      <c r="E641" s="2" t="s">
        <v>13</v>
      </c>
      <c r="F641">
        <v>782</v>
      </c>
      <c r="G641">
        <v>412</v>
      </c>
      <c r="H641">
        <v>322184</v>
      </c>
      <c r="I641">
        <v>61655.876900000003</v>
      </c>
      <c r="J641" s="2" t="s">
        <v>42</v>
      </c>
    </row>
    <row r="642" spans="1:10" x14ac:dyDescent="0.35">
      <c r="A642" s="1">
        <v>45127</v>
      </c>
      <c r="B642" s="2" t="s">
        <v>36</v>
      </c>
      <c r="C642" s="2" t="s">
        <v>23</v>
      </c>
      <c r="D642" s="2" t="s">
        <v>17</v>
      </c>
      <c r="E642" s="2" t="s">
        <v>33</v>
      </c>
      <c r="F642">
        <v>80</v>
      </c>
      <c r="G642">
        <v>311</v>
      </c>
      <c r="H642">
        <v>24880</v>
      </c>
      <c r="I642">
        <v>2313.2692000000002</v>
      </c>
      <c r="J642" s="2" t="s">
        <v>42</v>
      </c>
    </row>
    <row r="643" spans="1:10" x14ac:dyDescent="0.35">
      <c r="A643" s="1">
        <v>45128</v>
      </c>
      <c r="B643" s="2" t="s">
        <v>19</v>
      </c>
      <c r="C643" s="2" t="s">
        <v>11</v>
      </c>
      <c r="D643" s="2" t="s">
        <v>30</v>
      </c>
      <c r="E643" s="2" t="s">
        <v>24</v>
      </c>
      <c r="F643">
        <v>821</v>
      </c>
      <c r="G643">
        <v>314</v>
      </c>
      <c r="H643">
        <v>257794</v>
      </c>
      <c r="I643">
        <v>27233.617099999999</v>
      </c>
      <c r="J643" s="2" t="s">
        <v>42</v>
      </c>
    </row>
    <row r="644" spans="1:10" x14ac:dyDescent="0.35">
      <c r="A644" s="1">
        <v>45128</v>
      </c>
      <c r="B644" s="2" t="s">
        <v>26</v>
      </c>
      <c r="C644" s="2" t="s">
        <v>23</v>
      </c>
      <c r="D644" s="2" t="s">
        <v>12</v>
      </c>
      <c r="E644" s="2" t="s">
        <v>24</v>
      </c>
      <c r="F644">
        <v>740</v>
      </c>
      <c r="G644">
        <v>321</v>
      </c>
      <c r="H644">
        <v>237540</v>
      </c>
      <c r="I644">
        <v>55639.211799999997</v>
      </c>
      <c r="J644" s="2" t="s">
        <v>42</v>
      </c>
    </row>
    <row r="645" spans="1:10" x14ac:dyDescent="0.35">
      <c r="A645" s="1">
        <v>45128</v>
      </c>
      <c r="B645" s="2" t="s">
        <v>26</v>
      </c>
      <c r="C645" s="2" t="s">
        <v>11</v>
      </c>
      <c r="D645" s="2" t="s">
        <v>17</v>
      </c>
      <c r="E645" s="2" t="s">
        <v>35</v>
      </c>
      <c r="F645">
        <v>957</v>
      </c>
      <c r="G645">
        <v>333</v>
      </c>
      <c r="H645">
        <v>318681</v>
      </c>
      <c r="I645">
        <v>31029.251899999999</v>
      </c>
      <c r="J645" s="2" t="s">
        <v>42</v>
      </c>
    </row>
    <row r="646" spans="1:10" x14ac:dyDescent="0.35">
      <c r="A646" s="1">
        <v>45128</v>
      </c>
      <c r="B646" s="2" t="s">
        <v>31</v>
      </c>
      <c r="C646" s="2" t="s">
        <v>20</v>
      </c>
      <c r="D646" s="2" t="s">
        <v>12</v>
      </c>
      <c r="E646" s="2" t="s">
        <v>24</v>
      </c>
      <c r="F646">
        <v>936</v>
      </c>
      <c r="G646">
        <v>477</v>
      </c>
      <c r="H646">
        <v>446472</v>
      </c>
      <c r="I646">
        <v>72979.5962</v>
      </c>
      <c r="J646" s="2" t="s">
        <v>42</v>
      </c>
    </row>
    <row r="647" spans="1:10" x14ac:dyDescent="0.35">
      <c r="A647" s="1">
        <v>45128</v>
      </c>
      <c r="B647" s="2" t="s">
        <v>25</v>
      </c>
      <c r="C647" s="2" t="s">
        <v>27</v>
      </c>
      <c r="D647" s="2" t="s">
        <v>30</v>
      </c>
      <c r="E647" s="2" t="s">
        <v>35</v>
      </c>
      <c r="F647">
        <v>868</v>
      </c>
      <c r="G647">
        <v>442</v>
      </c>
      <c r="H647">
        <v>383656</v>
      </c>
      <c r="I647">
        <v>39143.797400000003</v>
      </c>
      <c r="J647" s="2" t="s">
        <v>42</v>
      </c>
    </row>
    <row r="648" spans="1:10" x14ac:dyDescent="0.35">
      <c r="A648" s="1">
        <v>45129</v>
      </c>
      <c r="B648" s="2" t="s">
        <v>34</v>
      </c>
      <c r="C648" s="2" t="s">
        <v>20</v>
      </c>
      <c r="D648" s="2" t="s">
        <v>30</v>
      </c>
      <c r="E648" s="2" t="s">
        <v>32</v>
      </c>
      <c r="F648">
        <v>740</v>
      </c>
      <c r="G648">
        <v>170</v>
      </c>
      <c r="H648">
        <v>125800</v>
      </c>
      <c r="I648">
        <v>14824.1993</v>
      </c>
      <c r="J648" s="2" t="s">
        <v>42</v>
      </c>
    </row>
    <row r="649" spans="1:10" x14ac:dyDescent="0.35">
      <c r="A649" s="1">
        <v>45129</v>
      </c>
      <c r="B649" s="2" t="s">
        <v>36</v>
      </c>
      <c r="C649" s="2" t="s">
        <v>16</v>
      </c>
      <c r="D649" s="2" t="s">
        <v>17</v>
      </c>
      <c r="E649" s="2" t="s">
        <v>33</v>
      </c>
      <c r="F649">
        <v>63</v>
      </c>
      <c r="G649">
        <v>232</v>
      </c>
      <c r="H649">
        <v>14616</v>
      </c>
      <c r="I649">
        <v>1780.6086</v>
      </c>
      <c r="J649" s="2" t="s">
        <v>42</v>
      </c>
    </row>
    <row r="650" spans="1:10" x14ac:dyDescent="0.35">
      <c r="A650" s="1">
        <v>45129</v>
      </c>
      <c r="B650" s="2" t="s">
        <v>19</v>
      </c>
      <c r="C650" s="2" t="s">
        <v>16</v>
      </c>
      <c r="D650" s="2" t="s">
        <v>17</v>
      </c>
      <c r="E650" s="2" t="s">
        <v>18</v>
      </c>
      <c r="F650">
        <v>758</v>
      </c>
      <c r="G650">
        <v>214</v>
      </c>
      <c r="H650">
        <v>162212</v>
      </c>
      <c r="I650">
        <v>24200.0798</v>
      </c>
      <c r="J650" s="2" t="s">
        <v>42</v>
      </c>
    </row>
    <row r="651" spans="1:10" x14ac:dyDescent="0.35">
      <c r="A651" s="1">
        <v>45129</v>
      </c>
      <c r="B651" s="2" t="s">
        <v>10</v>
      </c>
      <c r="C651" s="2" t="s">
        <v>11</v>
      </c>
      <c r="D651" s="2" t="s">
        <v>30</v>
      </c>
      <c r="E651" s="2" t="s">
        <v>35</v>
      </c>
      <c r="F651">
        <v>200</v>
      </c>
      <c r="G651">
        <v>349</v>
      </c>
      <c r="H651">
        <v>69800</v>
      </c>
      <c r="I651">
        <v>12946.482099999999</v>
      </c>
      <c r="J651" s="2" t="s">
        <v>42</v>
      </c>
    </row>
    <row r="652" spans="1:10" x14ac:dyDescent="0.35">
      <c r="A652" s="1">
        <v>45131</v>
      </c>
      <c r="B652" s="2" t="s">
        <v>10</v>
      </c>
      <c r="C652" s="2" t="s">
        <v>16</v>
      </c>
      <c r="D652" s="2" t="s">
        <v>30</v>
      </c>
      <c r="E652" s="2" t="s">
        <v>35</v>
      </c>
      <c r="F652">
        <v>359</v>
      </c>
      <c r="G652">
        <v>318</v>
      </c>
      <c r="H652">
        <v>114162</v>
      </c>
      <c r="I652">
        <v>17966.949000000001</v>
      </c>
      <c r="J652" s="2" t="s">
        <v>42</v>
      </c>
    </row>
    <row r="653" spans="1:10" x14ac:dyDescent="0.35">
      <c r="A653" s="1">
        <v>45131</v>
      </c>
      <c r="B653" s="2" t="s">
        <v>31</v>
      </c>
      <c r="C653" s="2" t="s">
        <v>27</v>
      </c>
      <c r="D653" s="2" t="s">
        <v>12</v>
      </c>
      <c r="E653" s="2" t="s">
        <v>28</v>
      </c>
      <c r="F653">
        <v>210</v>
      </c>
      <c r="G653">
        <v>211</v>
      </c>
      <c r="H653">
        <v>44310</v>
      </c>
      <c r="I653">
        <v>5743.6221999999998</v>
      </c>
      <c r="J653" s="2" t="s">
        <v>42</v>
      </c>
    </row>
    <row r="654" spans="1:10" x14ac:dyDescent="0.35">
      <c r="A654" s="1">
        <v>45131</v>
      </c>
      <c r="B654" s="2" t="s">
        <v>31</v>
      </c>
      <c r="C654" s="2" t="s">
        <v>16</v>
      </c>
      <c r="D654" s="2" t="s">
        <v>21</v>
      </c>
      <c r="E654" s="2" t="s">
        <v>32</v>
      </c>
      <c r="F654">
        <v>553</v>
      </c>
      <c r="G654">
        <v>370</v>
      </c>
      <c r="H654">
        <v>204610</v>
      </c>
      <c r="I654">
        <v>45688.139300000003</v>
      </c>
      <c r="J654" s="2" t="s">
        <v>42</v>
      </c>
    </row>
    <row r="655" spans="1:10" x14ac:dyDescent="0.35">
      <c r="A655" s="1">
        <v>45132</v>
      </c>
      <c r="B655" s="2" t="s">
        <v>10</v>
      </c>
      <c r="C655" s="2" t="s">
        <v>20</v>
      </c>
      <c r="D655" s="2" t="s">
        <v>30</v>
      </c>
      <c r="E655" s="2" t="s">
        <v>22</v>
      </c>
      <c r="F655">
        <v>140</v>
      </c>
      <c r="G655">
        <v>350</v>
      </c>
      <c r="H655">
        <v>49000</v>
      </c>
      <c r="I655">
        <v>6372.2677000000003</v>
      </c>
      <c r="J655" s="2" t="s">
        <v>42</v>
      </c>
    </row>
    <row r="656" spans="1:10" x14ac:dyDescent="0.35">
      <c r="A656" s="1">
        <v>45132</v>
      </c>
      <c r="B656" s="2" t="s">
        <v>26</v>
      </c>
      <c r="C656" s="2" t="s">
        <v>11</v>
      </c>
      <c r="D656" s="2" t="s">
        <v>21</v>
      </c>
      <c r="E656" s="2" t="s">
        <v>18</v>
      </c>
      <c r="F656">
        <v>80</v>
      </c>
      <c r="G656">
        <v>285</v>
      </c>
      <c r="H656">
        <v>22800</v>
      </c>
      <c r="I656">
        <v>2485.9546999999998</v>
      </c>
      <c r="J656" s="2" t="s">
        <v>42</v>
      </c>
    </row>
    <row r="657" spans="1:10" x14ac:dyDescent="0.35">
      <c r="A657" s="1">
        <v>45132</v>
      </c>
      <c r="B657" s="2" t="s">
        <v>36</v>
      </c>
      <c r="C657" s="2" t="s">
        <v>16</v>
      </c>
      <c r="D657" s="2" t="s">
        <v>30</v>
      </c>
      <c r="E657" s="2" t="s">
        <v>32</v>
      </c>
      <c r="F657">
        <v>777</v>
      </c>
      <c r="G657">
        <v>413</v>
      </c>
      <c r="H657">
        <v>320901</v>
      </c>
      <c r="I657">
        <v>60056.072399999997</v>
      </c>
      <c r="J657" s="2" t="s">
        <v>42</v>
      </c>
    </row>
    <row r="658" spans="1:10" x14ac:dyDescent="0.35">
      <c r="A658" s="1">
        <v>45132</v>
      </c>
      <c r="B658" s="2" t="s">
        <v>10</v>
      </c>
      <c r="C658" s="2" t="s">
        <v>11</v>
      </c>
      <c r="D658" s="2" t="s">
        <v>12</v>
      </c>
      <c r="E658" s="2" t="s">
        <v>35</v>
      </c>
      <c r="F658">
        <v>734</v>
      </c>
      <c r="G658">
        <v>218</v>
      </c>
      <c r="H658">
        <v>160012</v>
      </c>
      <c r="I658">
        <v>25970.531900000002</v>
      </c>
      <c r="J658" s="2" t="s">
        <v>42</v>
      </c>
    </row>
    <row r="659" spans="1:10" x14ac:dyDescent="0.35">
      <c r="A659" s="1">
        <v>45133</v>
      </c>
      <c r="B659" s="2" t="s">
        <v>15</v>
      </c>
      <c r="C659" s="2" t="s">
        <v>11</v>
      </c>
      <c r="D659" s="2" t="s">
        <v>30</v>
      </c>
      <c r="E659" s="2" t="s">
        <v>33</v>
      </c>
      <c r="F659">
        <v>177</v>
      </c>
      <c r="G659">
        <v>305</v>
      </c>
      <c r="H659">
        <v>53985</v>
      </c>
      <c r="I659">
        <v>8622.4994999999999</v>
      </c>
      <c r="J659" s="2" t="s">
        <v>42</v>
      </c>
    </row>
    <row r="660" spans="1:10" x14ac:dyDescent="0.35">
      <c r="A660" s="1">
        <v>45134</v>
      </c>
      <c r="B660" s="2" t="s">
        <v>34</v>
      </c>
      <c r="C660" s="2" t="s">
        <v>29</v>
      </c>
      <c r="D660" s="2" t="s">
        <v>30</v>
      </c>
      <c r="E660" s="2" t="s">
        <v>24</v>
      </c>
      <c r="F660">
        <v>980</v>
      </c>
      <c r="G660">
        <v>268</v>
      </c>
      <c r="H660">
        <v>262640</v>
      </c>
      <c r="I660">
        <v>43583.219499999999</v>
      </c>
      <c r="J660" s="2" t="s">
        <v>42</v>
      </c>
    </row>
    <row r="661" spans="1:10" x14ac:dyDescent="0.35">
      <c r="A661" s="1">
        <v>45134</v>
      </c>
      <c r="B661" s="2" t="s">
        <v>34</v>
      </c>
      <c r="C661" s="2" t="s">
        <v>29</v>
      </c>
      <c r="D661" s="2" t="s">
        <v>12</v>
      </c>
      <c r="E661" s="2" t="s">
        <v>32</v>
      </c>
      <c r="F661">
        <v>142</v>
      </c>
      <c r="G661">
        <v>314</v>
      </c>
      <c r="H661">
        <v>44588</v>
      </c>
      <c r="I661">
        <v>10549.813599999999</v>
      </c>
      <c r="J661" s="2" t="s">
        <v>42</v>
      </c>
    </row>
    <row r="662" spans="1:10" x14ac:dyDescent="0.35">
      <c r="A662" s="1">
        <v>45134</v>
      </c>
      <c r="B662" s="2" t="s">
        <v>36</v>
      </c>
      <c r="C662" s="2" t="s">
        <v>20</v>
      </c>
      <c r="D662" s="2" t="s">
        <v>12</v>
      </c>
      <c r="E662" s="2" t="s">
        <v>22</v>
      </c>
      <c r="F662">
        <v>180</v>
      </c>
      <c r="G662">
        <v>470</v>
      </c>
      <c r="H662">
        <v>84600</v>
      </c>
      <c r="I662">
        <v>9853.7186000000002</v>
      </c>
      <c r="J662" s="2" t="s">
        <v>42</v>
      </c>
    </row>
    <row r="663" spans="1:10" x14ac:dyDescent="0.35">
      <c r="A663" s="1">
        <v>45134</v>
      </c>
      <c r="B663" s="2" t="s">
        <v>10</v>
      </c>
      <c r="C663" s="2" t="s">
        <v>20</v>
      </c>
      <c r="D663" s="2" t="s">
        <v>17</v>
      </c>
      <c r="E663" s="2" t="s">
        <v>24</v>
      </c>
      <c r="F663">
        <v>586</v>
      </c>
      <c r="G663">
        <v>232</v>
      </c>
      <c r="H663">
        <v>135952</v>
      </c>
      <c r="I663">
        <v>21858.650099999999</v>
      </c>
      <c r="J663" s="2" t="s">
        <v>42</v>
      </c>
    </row>
    <row r="664" spans="1:10" x14ac:dyDescent="0.35">
      <c r="A664" s="1">
        <v>45134</v>
      </c>
      <c r="B664" s="2" t="s">
        <v>34</v>
      </c>
      <c r="C664" s="2" t="s">
        <v>23</v>
      </c>
      <c r="D664" s="2" t="s">
        <v>21</v>
      </c>
      <c r="E664" s="2" t="s">
        <v>22</v>
      </c>
      <c r="F664">
        <v>838</v>
      </c>
      <c r="G664">
        <v>180</v>
      </c>
      <c r="H664">
        <v>150840</v>
      </c>
      <c r="I664">
        <v>27608.395799999998</v>
      </c>
      <c r="J664" s="2" t="s">
        <v>42</v>
      </c>
    </row>
    <row r="665" spans="1:10" x14ac:dyDescent="0.35">
      <c r="A665" s="1">
        <v>45135</v>
      </c>
      <c r="B665" s="2" t="s">
        <v>34</v>
      </c>
      <c r="C665" s="2" t="s">
        <v>27</v>
      </c>
      <c r="D665" s="2" t="s">
        <v>21</v>
      </c>
      <c r="E665" s="2" t="s">
        <v>13</v>
      </c>
      <c r="F665">
        <v>496</v>
      </c>
      <c r="G665">
        <v>132</v>
      </c>
      <c r="H665">
        <v>65472</v>
      </c>
      <c r="I665">
        <v>15038.276099999999</v>
      </c>
      <c r="J665" s="2" t="s">
        <v>42</v>
      </c>
    </row>
    <row r="666" spans="1:10" x14ac:dyDescent="0.35">
      <c r="A666" s="1">
        <v>45135</v>
      </c>
      <c r="B666" s="2" t="s">
        <v>15</v>
      </c>
      <c r="C666" s="2" t="s">
        <v>23</v>
      </c>
      <c r="D666" s="2" t="s">
        <v>12</v>
      </c>
      <c r="E666" s="2" t="s">
        <v>13</v>
      </c>
      <c r="F666">
        <v>176</v>
      </c>
      <c r="G666">
        <v>112</v>
      </c>
      <c r="H666">
        <v>19712</v>
      </c>
      <c r="I666">
        <v>4134.9417000000003</v>
      </c>
      <c r="J666" s="2" t="s">
        <v>42</v>
      </c>
    </row>
    <row r="667" spans="1:10" x14ac:dyDescent="0.35">
      <c r="A667" s="1">
        <v>45136</v>
      </c>
      <c r="B667" s="2" t="s">
        <v>25</v>
      </c>
      <c r="C667" s="2" t="s">
        <v>20</v>
      </c>
      <c r="D667" s="2" t="s">
        <v>17</v>
      </c>
      <c r="E667" s="2" t="s">
        <v>28</v>
      </c>
      <c r="F667">
        <v>657</v>
      </c>
      <c r="G667">
        <v>244</v>
      </c>
      <c r="H667">
        <v>160308</v>
      </c>
      <c r="I667">
        <v>21280.443299999999</v>
      </c>
      <c r="J667" s="2" t="s">
        <v>42</v>
      </c>
    </row>
    <row r="668" spans="1:10" x14ac:dyDescent="0.35">
      <c r="A668" s="1">
        <v>45136</v>
      </c>
      <c r="B668" s="2" t="s">
        <v>15</v>
      </c>
      <c r="C668" s="2" t="s">
        <v>27</v>
      </c>
      <c r="D668" s="2" t="s">
        <v>12</v>
      </c>
      <c r="E668" s="2" t="s">
        <v>18</v>
      </c>
      <c r="F668">
        <v>694</v>
      </c>
      <c r="G668">
        <v>425</v>
      </c>
      <c r="H668">
        <v>294950</v>
      </c>
      <c r="I668">
        <v>52072.385900000001</v>
      </c>
      <c r="J668" s="2" t="s">
        <v>42</v>
      </c>
    </row>
    <row r="669" spans="1:10" x14ac:dyDescent="0.35">
      <c r="A669" s="1">
        <v>45136</v>
      </c>
      <c r="B669" s="2" t="s">
        <v>31</v>
      </c>
      <c r="C669" s="2" t="s">
        <v>16</v>
      </c>
      <c r="D669" s="2" t="s">
        <v>30</v>
      </c>
      <c r="E669" s="2" t="s">
        <v>35</v>
      </c>
      <c r="F669">
        <v>149</v>
      </c>
      <c r="G669">
        <v>214</v>
      </c>
      <c r="H669">
        <v>31886</v>
      </c>
      <c r="I669">
        <v>3972.8018999999999</v>
      </c>
      <c r="J669" s="2" t="s">
        <v>42</v>
      </c>
    </row>
    <row r="670" spans="1:10" x14ac:dyDescent="0.35">
      <c r="A670" s="1">
        <v>45136</v>
      </c>
      <c r="B670" s="2" t="s">
        <v>19</v>
      </c>
      <c r="C670" s="2" t="s">
        <v>29</v>
      </c>
      <c r="D670" s="2" t="s">
        <v>21</v>
      </c>
      <c r="E670" s="2" t="s">
        <v>32</v>
      </c>
      <c r="F670">
        <v>901</v>
      </c>
      <c r="G670">
        <v>301</v>
      </c>
      <c r="H670">
        <v>271201</v>
      </c>
      <c r="I670">
        <v>47828.805200000003</v>
      </c>
      <c r="J670" s="2" t="s">
        <v>42</v>
      </c>
    </row>
    <row r="671" spans="1:10" x14ac:dyDescent="0.35">
      <c r="A671" s="1">
        <v>45136</v>
      </c>
      <c r="B671" s="2" t="s">
        <v>34</v>
      </c>
      <c r="C671" s="2" t="s">
        <v>27</v>
      </c>
      <c r="D671" s="2" t="s">
        <v>30</v>
      </c>
      <c r="E671" s="2" t="s">
        <v>33</v>
      </c>
      <c r="F671">
        <v>481</v>
      </c>
      <c r="G671">
        <v>143</v>
      </c>
      <c r="H671">
        <v>68783</v>
      </c>
      <c r="I671">
        <v>13163.753000000001</v>
      </c>
      <c r="J671" s="2" t="s">
        <v>42</v>
      </c>
    </row>
    <row r="672" spans="1:10" x14ac:dyDescent="0.35">
      <c r="A672" s="1">
        <v>45137</v>
      </c>
      <c r="B672" s="2" t="s">
        <v>10</v>
      </c>
      <c r="C672" s="2" t="s">
        <v>11</v>
      </c>
      <c r="D672" s="2" t="s">
        <v>17</v>
      </c>
      <c r="E672" s="2" t="s">
        <v>13</v>
      </c>
      <c r="F672">
        <v>88</v>
      </c>
      <c r="G672">
        <v>160</v>
      </c>
      <c r="H672">
        <v>14080</v>
      </c>
      <c r="I672">
        <v>1760.7321999999999</v>
      </c>
      <c r="J672" s="2" t="s">
        <v>42</v>
      </c>
    </row>
    <row r="673" spans="1:10" x14ac:dyDescent="0.35">
      <c r="A673" s="1">
        <v>45137</v>
      </c>
      <c r="B673" s="2" t="s">
        <v>26</v>
      </c>
      <c r="C673" s="2" t="s">
        <v>16</v>
      </c>
      <c r="D673" s="2" t="s">
        <v>17</v>
      </c>
      <c r="E673" s="2" t="s">
        <v>24</v>
      </c>
      <c r="F673">
        <v>289</v>
      </c>
      <c r="G673">
        <v>236</v>
      </c>
      <c r="H673">
        <v>68204</v>
      </c>
      <c r="I673">
        <v>14978.502500000001</v>
      </c>
      <c r="J673" s="2" t="s">
        <v>42</v>
      </c>
    </row>
    <row r="674" spans="1:10" x14ac:dyDescent="0.35">
      <c r="A674" s="1">
        <v>45138</v>
      </c>
      <c r="B674" s="2" t="s">
        <v>25</v>
      </c>
      <c r="C674" s="2" t="s">
        <v>11</v>
      </c>
      <c r="D674" s="2" t="s">
        <v>17</v>
      </c>
      <c r="E674" s="2" t="s">
        <v>13</v>
      </c>
      <c r="F674">
        <v>369</v>
      </c>
      <c r="G674">
        <v>262</v>
      </c>
      <c r="H674">
        <v>96678</v>
      </c>
      <c r="I674">
        <v>16700.237700000001</v>
      </c>
      <c r="J674" s="2" t="s">
        <v>42</v>
      </c>
    </row>
    <row r="675" spans="1:10" x14ac:dyDescent="0.35">
      <c r="A675" s="1">
        <v>45138</v>
      </c>
      <c r="B675" s="2" t="s">
        <v>34</v>
      </c>
      <c r="C675" s="2" t="s">
        <v>16</v>
      </c>
      <c r="D675" s="2" t="s">
        <v>21</v>
      </c>
      <c r="E675" s="2" t="s">
        <v>24</v>
      </c>
      <c r="F675">
        <v>734</v>
      </c>
      <c r="G675">
        <v>259</v>
      </c>
      <c r="H675">
        <v>190106</v>
      </c>
      <c r="I675">
        <v>26732.2147</v>
      </c>
      <c r="J675" s="2" t="s">
        <v>42</v>
      </c>
    </row>
    <row r="676" spans="1:10" x14ac:dyDescent="0.35">
      <c r="A676" s="1">
        <v>45139</v>
      </c>
      <c r="B676" s="2" t="s">
        <v>15</v>
      </c>
      <c r="C676" s="2" t="s">
        <v>20</v>
      </c>
      <c r="D676" s="2" t="s">
        <v>21</v>
      </c>
      <c r="E676" s="2" t="s">
        <v>18</v>
      </c>
      <c r="F676">
        <v>386</v>
      </c>
      <c r="G676">
        <v>190</v>
      </c>
      <c r="H676">
        <v>73340</v>
      </c>
      <c r="I676">
        <v>16841.5524</v>
      </c>
      <c r="J676" s="2" t="s">
        <v>43</v>
      </c>
    </row>
    <row r="677" spans="1:10" x14ac:dyDescent="0.35">
      <c r="A677" s="1">
        <v>45139</v>
      </c>
      <c r="B677" s="2" t="s">
        <v>10</v>
      </c>
      <c r="C677" s="2" t="s">
        <v>27</v>
      </c>
      <c r="D677" s="2" t="s">
        <v>12</v>
      </c>
      <c r="E677" s="2" t="s">
        <v>32</v>
      </c>
      <c r="F677">
        <v>705</v>
      </c>
      <c r="G677">
        <v>129</v>
      </c>
      <c r="H677">
        <v>90945</v>
      </c>
      <c r="I677">
        <v>10563.742099999999</v>
      </c>
      <c r="J677" s="2" t="s">
        <v>43</v>
      </c>
    </row>
    <row r="678" spans="1:10" x14ac:dyDescent="0.35">
      <c r="A678" s="1">
        <v>45139</v>
      </c>
      <c r="B678" s="2" t="s">
        <v>10</v>
      </c>
      <c r="C678" s="2" t="s">
        <v>27</v>
      </c>
      <c r="D678" s="2" t="s">
        <v>12</v>
      </c>
      <c r="E678" s="2" t="s">
        <v>33</v>
      </c>
      <c r="F678">
        <v>232</v>
      </c>
      <c r="G678">
        <v>437</v>
      </c>
      <c r="H678">
        <v>101384</v>
      </c>
      <c r="I678">
        <v>10692.7309</v>
      </c>
      <c r="J678" s="2" t="s">
        <v>43</v>
      </c>
    </row>
    <row r="679" spans="1:10" x14ac:dyDescent="0.35">
      <c r="A679" s="1">
        <v>45139</v>
      </c>
      <c r="B679" s="2" t="s">
        <v>26</v>
      </c>
      <c r="C679" s="2" t="s">
        <v>29</v>
      </c>
      <c r="D679" s="2" t="s">
        <v>17</v>
      </c>
      <c r="E679" s="2" t="s">
        <v>28</v>
      </c>
      <c r="F679">
        <v>899</v>
      </c>
      <c r="G679">
        <v>303</v>
      </c>
      <c r="H679">
        <v>272397</v>
      </c>
      <c r="I679">
        <v>42342.5072</v>
      </c>
      <c r="J679" s="2" t="s">
        <v>43</v>
      </c>
    </row>
    <row r="680" spans="1:10" x14ac:dyDescent="0.35">
      <c r="A680" s="1">
        <v>45140</v>
      </c>
      <c r="B680" s="2" t="s">
        <v>34</v>
      </c>
      <c r="C680" s="2" t="s">
        <v>29</v>
      </c>
      <c r="D680" s="2" t="s">
        <v>30</v>
      </c>
      <c r="E680" s="2" t="s">
        <v>24</v>
      </c>
      <c r="F680">
        <v>491</v>
      </c>
      <c r="G680">
        <v>256</v>
      </c>
      <c r="H680">
        <v>125696</v>
      </c>
      <c r="I680">
        <v>23734.212899999999</v>
      </c>
      <c r="J680" s="2" t="s">
        <v>43</v>
      </c>
    </row>
    <row r="681" spans="1:10" x14ac:dyDescent="0.35">
      <c r="A681" s="1">
        <v>45140</v>
      </c>
      <c r="B681" s="2" t="s">
        <v>19</v>
      </c>
      <c r="C681" s="2" t="s">
        <v>11</v>
      </c>
      <c r="D681" s="2" t="s">
        <v>30</v>
      </c>
      <c r="E681" s="2" t="s">
        <v>24</v>
      </c>
      <c r="F681">
        <v>160</v>
      </c>
      <c r="G681">
        <v>414</v>
      </c>
      <c r="H681">
        <v>66240</v>
      </c>
      <c r="I681">
        <v>8801.3405000000002</v>
      </c>
      <c r="J681" s="2" t="s">
        <v>43</v>
      </c>
    </row>
    <row r="682" spans="1:10" x14ac:dyDescent="0.35">
      <c r="A682" s="1">
        <v>45140</v>
      </c>
      <c r="B682" s="2" t="s">
        <v>36</v>
      </c>
      <c r="C682" s="2" t="s">
        <v>29</v>
      </c>
      <c r="D682" s="2" t="s">
        <v>30</v>
      </c>
      <c r="E682" s="2" t="s">
        <v>35</v>
      </c>
      <c r="F682">
        <v>555</v>
      </c>
      <c r="G682">
        <v>379</v>
      </c>
      <c r="H682">
        <v>210345</v>
      </c>
      <c r="I682">
        <v>33975.175900000002</v>
      </c>
      <c r="J682" s="2" t="s">
        <v>43</v>
      </c>
    </row>
    <row r="683" spans="1:10" x14ac:dyDescent="0.35">
      <c r="A683" s="1">
        <v>45140</v>
      </c>
      <c r="B683" s="2" t="s">
        <v>15</v>
      </c>
      <c r="C683" s="2" t="s">
        <v>11</v>
      </c>
      <c r="D683" s="2" t="s">
        <v>30</v>
      </c>
      <c r="E683" s="2" t="s">
        <v>24</v>
      </c>
      <c r="F683">
        <v>937</v>
      </c>
      <c r="G683">
        <v>168</v>
      </c>
      <c r="H683">
        <v>157416</v>
      </c>
      <c r="I683">
        <v>18973.669900000001</v>
      </c>
      <c r="J683" s="2" t="s">
        <v>43</v>
      </c>
    </row>
    <row r="684" spans="1:10" x14ac:dyDescent="0.35">
      <c r="A684" s="1">
        <v>45141</v>
      </c>
      <c r="B684" s="2" t="s">
        <v>31</v>
      </c>
      <c r="C684" s="2" t="s">
        <v>23</v>
      </c>
      <c r="D684" s="2" t="s">
        <v>17</v>
      </c>
      <c r="E684" s="2" t="s">
        <v>13</v>
      </c>
      <c r="F684">
        <v>877</v>
      </c>
      <c r="G684">
        <v>245</v>
      </c>
      <c r="H684">
        <v>214865</v>
      </c>
      <c r="I684">
        <v>37844.745699999999</v>
      </c>
      <c r="J684" s="2" t="s">
        <v>43</v>
      </c>
    </row>
    <row r="685" spans="1:10" x14ac:dyDescent="0.35">
      <c r="A685" s="1">
        <v>45141</v>
      </c>
      <c r="B685" s="2" t="s">
        <v>36</v>
      </c>
      <c r="C685" s="2" t="s">
        <v>27</v>
      </c>
      <c r="D685" s="2" t="s">
        <v>17</v>
      </c>
      <c r="E685" s="2" t="s">
        <v>13</v>
      </c>
      <c r="F685">
        <v>82</v>
      </c>
      <c r="G685">
        <v>432</v>
      </c>
      <c r="H685">
        <v>35424</v>
      </c>
      <c r="I685">
        <v>5477.8735999999999</v>
      </c>
      <c r="J685" s="2" t="s">
        <v>43</v>
      </c>
    </row>
    <row r="686" spans="1:10" x14ac:dyDescent="0.35">
      <c r="A686" s="1">
        <v>45141</v>
      </c>
      <c r="B686" s="2" t="s">
        <v>25</v>
      </c>
      <c r="C686" s="2" t="s">
        <v>29</v>
      </c>
      <c r="D686" s="2" t="s">
        <v>12</v>
      </c>
      <c r="E686" s="2" t="s">
        <v>35</v>
      </c>
      <c r="F686">
        <v>992</v>
      </c>
      <c r="G686">
        <v>178</v>
      </c>
      <c r="H686">
        <v>176576</v>
      </c>
      <c r="I686">
        <v>21541.162700000001</v>
      </c>
      <c r="J686" s="2" t="s">
        <v>43</v>
      </c>
    </row>
    <row r="687" spans="1:10" x14ac:dyDescent="0.35">
      <c r="A687" s="1">
        <v>45142</v>
      </c>
      <c r="B687" s="2" t="s">
        <v>10</v>
      </c>
      <c r="C687" s="2" t="s">
        <v>20</v>
      </c>
      <c r="D687" s="2" t="s">
        <v>12</v>
      </c>
      <c r="E687" s="2" t="s">
        <v>22</v>
      </c>
      <c r="F687">
        <v>346</v>
      </c>
      <c r="G687">
        <v>393</v>
      </c>
      <c r="H687">
        <v>135978</v>
      </c>
      <c r="I687">
        <v>32977.5677</v>
      </c>
      <c r="J687" s="2" t="s">
        <v>43</v>
      </c>
    </row>
    <row r="688" spans="1:10" x14ac:dyDescent="0.35">
      <c r="A688" s="1">
        <v>45142</v>
      </c>
      <c r="B688" s="2" t="s">
        <v>36</v>
      </c>
      <c r="C688" s="2" t="s">
        <v>11</v>
      </c>
      <c r="D688" s="2" t="s">
        <v>12</v>
      </c>
      <c r="E688" s="2" t="s">
        <v>24</v>
      </c>
      <c r="F688">
        <v>102</v>
      </c>
      <c r="G688">
        <v>405</v>
      </c>
      <c r="H688">
        <v>41310</v>
      </c>
      <c r="I688">
        <v>4746.4224000000004</v>
      </c>
      <c r="J688" s="2" t="s">
        <v>43</v>
      </c>
    </row>
    <row r="689" spans="1:10" x14ac:dyDescent="0.35">
      <c r="A689" s="1">
        <v>45142</v>
      </c>
      <c r="B689" s="2" t="s">
        <v>19</v>
      </c>
      <c r="C689" s="2" t="s">
        <v>20</v>
      </c>
      <c r="D689" s="2" t="s">
        <v>17</v>
      </c>
      <c r="E689" s="2" t="s">
        <v>33</v>
      </c>
      <c r="F689">
        <v>553</v>
      </c>
      <c r="G689">
        <v>336</v>
      </c>
      <c r="H689">
        <v>185808</v>
      </c>
      <c r="I689">
        <v>18335.5213</v>
      </c>
      <c r="J689" s="2" t="s">
        <v>43</v>
      </c>
    </row>
    <row r="690" spans="1:10" x14ac:dyDescent="0.35">
      <c r="A690" s="1">
        <v>45142</v>
      </c>
      <c r="B690" s="2" t="s">
        <v>34</v>
      </c>
      <c r="C690" s="2" t="s">
        <v>29</v>
      </c>
      <c r="D690" s="2" t="s">
        <v>17</v>
      </c>
      <c r="E690" s="2" t="s">
        <v>32</v>
      </c>
      <c r="F690">
        <v>812</v>
      </c>
      <c r="G690">
        <v>346</v>
      </c>
      <c r="H690">
        <v>280952</v>
      </c>
      <c r="I690">
        <v>34391.955099999999</v>
      </c>
      <c r="J690" s="2" t="s">
        <v>43</v>
      </c>
    </row>
    <row r="691" spans="1:10" x14ac:dyDescent="0.35">
      <c r="A691" s="1">
        <v>45142</v>
      </c>
      <c r="B691" s="2" t="s">
        <v>36</v>
      </c>
      <c r="C691" s="2" t="s">
        <v>23</v>
      </c>
      <c r="D691" s="2" t="s">
        <v>12</v>
      </c>
      <c r="E691" s="2" t="s">
        <v>35</v>
      </c>
      <c r="F691">
        <v>846</v>
      </c>
      <c r="G691">
        <v>235</v>
      </c>
      <c r="H691">
        <v>198810</v>
      </c>
      <c r="I691">
        <v>36563.622900000002</v>
      </c>
      <c r="J691" s="2" t="s">
        <v>43</v>
      </c>
    </row>
    <row r="692" spans="1:10" x14ac:dyDescent="0.35">
      <c r="A692" s="1">
        <v>45143</v>
      </c>
      <c r="B692" s="2" t="s">
        <v>31</v>
      </c>
      <c r="C692" s="2" t="s">
        <v>16</v>
      </c>
      <c r="D692" s="2" t="s">
        <v>12</v>
      </c>
      <c r="E692" s="2" t="s">
        <v>18</v>
      </c>
      <c r="F692">
        <v>987</v>
      </c>
      <c r="G692">
        <v>167</v>
      </c>
      <c r="H692">
        <v>164829</v>
      </c>
      <c r="I692">
        <v>30017.874</v>
      </c>
      <c r="J692" s="2" t="s">
        <v>43</v>
      </c>
    </row>
    <row r="693" spans="1:10" x14ac:dyDescent="0.35">
      <c r="A693" s="1">
        <v>45143</v>
      </c>
      <c r="B693" s="2" t="s">
        <v>36</v>
      </c>
      <c r="C693" s="2" t="s">
        <v>27</v>
      </c>
      <c r="D693" s="2" t="s">
        <v>21</v>
      </c>
      <c r="E693" s="2" t="s">
        <v>28</v>
      </c>
      <c r="F693">
        <v>703</v>
      </c>
      <c r="G693">
        <v>213</v>
      </c>
      <c r="H693">
        <v>149739</v>
      </c>
      <c r="I693">
        <v>24785.097399999999</v>
      </c>
      <c r="J693" s="2" t="s">
        <v>43</v>
      </c>
    </row>
    <row r="694" spans="1:10" x14ac:dyDescent="0.35">
      <c r="A694" s="1">
        <v>45143</v>
      </c>
      <c r="B694" s="2" t="s">
        <v>31</v>
      </c>
      <c r="C694" s="2" t="s">
        <v>20</v>
      </c>
      <c r="D694" s="2" t="s">
        <v>17</v>
      </c>
      <c r="E694" s="2" t="s">
        <v>18</v>
      </c>
      <c r="F694">
        <v>381</v>
      </c>
      <c r="G694">
        <v>446</v>
      </c>
      <c r="H694">
        <v>169926</v>
      </c>
      <c r="I694">
        <v>14671.596600000001</v>
      </c>
      <c r="J694" s="2" t="s">
        <v>43</v>
      </c>
    </row>
    <row r="695" spans="1:10" x14ac:dyDescent="0.35">
      <c r="A695" s="1">
        <v>45143</v>
      </c>
      <c r="B695" s="2" t="s">
        <v>34</v>
      </c>
      <c r="C695" s="2" t="s">
        <v>20</v>
      </c>
      <c r="D695" s="2" t="s">
        <v>30</v>
      </c>
      <c r="E695" s="2" t="s">
        <v>18</v>
      </c>
      <c r="F695">
        <v>431</v>
      </c>
      <c r="G695">
        <v>391</v>
      </c>
      <c r="H695">
        <v>168521</v>
      </c>
      <c r="I695">
        <v>24283.232499999998</v>
      </c>
      <c r="J695" s="2" t="s">
        <v>43</v>
      </c>
    </row>
    <row r="696" spans="1:10" x14ac:dyDescent="0.35">
      <c r="A696" s="1">
        <v>45143</v>
      </c>
      <c r="B696" s="2" t="s">
        <v>10</v>
      </c>
      <c r="C696" s="2" t="s">
        <v>11</v>
      </c>
      <c r="D696" s="2" t="s">
        <v>12</v>
      </c>
      <c r="E696" s="2" t="s">
        <v>13</v>
      </c>
      <c r="F696">
        <v>57</v>
      </c>
      <c r="G696">
        <v>309</v>
      </c>
      <c r="H696">
        <v>17613</v>
      </c>
      <c r="I696">
        <v>3073.4357</v>
      </c>
      <c r="J696" s="2" t="s">
        <v>43</v>
      </c>
    </row>
    <row r="697" spans="1:10" x14ac:dyDescent="0.35">
      <c r="A697" s="1">
        <v>45144</v>
      </c>
      <c r="B697" s="2" t="s">
        <v>36</v>
      </c>
      <c r="C697" s="2" t="s">
        <v>23</v>
      </c>
      <c r="D697" s="2" t="s">
        <v>17</v>
      </c>
      <c r="E697" s="2" t="s">
        <v>32</v>
      </c>
      <c r="F697">
        <v>58</v>
      </c>
      <c r="G697">
        <v>494</v>
      </c>
      <c r="H697">
        <v>28652</v>
      </c>
      <c r="I697">
        <v>7019.5794999999998</v>
      </c>
      <c r="J697" s="2" t="s">
        <v>43</v>
      </c>
    </row>
    <row r="698" spans="1:10" x14ac:dyDescent="0.35">
      <c r="A698" s="1">
        <v>45144</v>
      </c>
      <c r="B698" s="2" t="s">
        <v>26</v>
      </c>
      <c r="C698" s="2" t="s">
        <v>23</v>
      </c>
      <c r="D698" s="2" t="s">
        <v>30</v>
      </c>
      <c r="E698" s="2" t="s">
        <v>28</v>
      </c>
      <c r="F698">
        <v>412</v>
      </c>
      <c r="G698">
        <v>106</v>
      </c>
      <c r="H698">
        <v>43672</v>
      </c>
      <c r="I698">
        <v>9591.3799999999992</v>
      </c>
      <c r="J698" s="2" t="s">
        <v>43</v>
      </c>
    </row>
    <row r="699" spans="1:10" x14ac:dyDescent="0.35">
      <c r="A699" s="1">
        <v>45144</v>
      </c>
      <c r="B699" s="2" t="s">
        <v>36</v>
      </c>
      <c r="C699" s="2" t="s">
        <v>11</v>
      </c>
      <c r="D699" s="2" t="s">
        <v>12</v>
      </c>
      <c r="E699" s="2" t="s">
        <v>24</v>
      </c>
      <c r="F699">
        <v>839</v>
      </c>
      <c r="G699">
        <v>412</v>
      </c>
      <c r="H699">
        <v>345668</v>
      </c>
      <c r="I699">
        <v>67094.725999999995</v>
      </c>
      <c r="J699" s="2" t="s">
        <v>43</v>
      </c>
    </row>
    <row r="700" spans="1:10" x14ac:dyDescent="0.35">
      <c r="A700" s="1">
        <v>45144</v>
      </c>
      <c r="B700" s="2" t="s">
        <v>10</v>
      </c>
      <c r="C700" s="2" t="s">
        <v>27</v>
      </c>
      <c r="D700" s="2" t="s">
        <v>21</v>
      </c>
      <c r="E700" s="2" t="s">
        <v>24</v>
      </c>
      <c r="F700">
        <v>727</v>
      </c>
      <c r="G700">
        <v>331</v>
      </c>
      <c r="H700">
        <v>240637</v>
      </c>
      <c r="I700">
        <v>38174.447099999998</v>
      </c>
      <c r="J700" s="2" t="s">
        <v>43</v>
      </c>
    </row>
    <row r="701" spans="1:10" x14ac:dyDescent="0.35">
      <c r="A701" s="1">
        <v>45144</v>
      </c>
      <c r="B701" s="2" t="s">
        <v>34</v>
      </c>
      <c r="C701" s="2" t="s">
        <v>23</v>
      </c>
      <c r="D701" s="2" t="s">
        <v>12</v>
      </c>
      <c r="E701" s="2" t="s">
        <v>18</v>
      </c>
      <c r="F701">
        <v>523</v>
      </c>
      <c r="G701">
        <v>402</v>
      </c>
      <c r="H701">
        <v>210246</v>
      </c>
      <c r="I701">
        <v>40656.579599999997</v>
      </c>
      <c r="J701" s="2" t="s">
        <v>43</v>
      </c>
    </row>
    <row r="702" spans="1:10" x14ac:dyDescent="0.35">
      <c r="A702" s="1">
        <v>45145</v>
      </c>
      <c r="B702" s="2" t="s">
        <v>31</v>
      </c>
      <c r="C702" s="2" t="s">
        <v>20</v>
      </c>
      <c r="D702" s="2" t="s">
        <v>12</v>
      </c>
      <c r="E702" s="2" t="s">
        <v>24</v>
      </c>
      <c r="F702">
        <v>394</v>
      </c>
      <c r="G702">
        <v>239</v>
      </c>
      <c r="H702">
        <v>94166</v>
      </c>
      <c r="I702">
        <v>10205.916499999999</v>
      </c>
      <c r="J702" s="2" t="s">
        <v>43</v>
      </c>
    </row>
    <row r="703" spans="1:10" x14ac:dyDescent="0.35">
      <c r="A703" s="1">
        <v>45145</v>
      </c>
      <c r="B703" s="2" t="s">
        <v>10</v>
      </c>
      <c r="C703" s="2" t="s">
        <v>11</v>
      </c>
      <c r="D703" s="2" t="s">
        <v>30</v>
      </c>
      <c r="E703" s="2" t="s">
        <v>32</v>
      </c>
      <c r="F703">
        <v>443</v>
      </c>
      <c r="G703">
        <v>493</v>
      </c>
      <c r="H703">
        <v>218399</v>
      </c>
      <c r="I703">
        <v>41301.603300000002</v>
      </c>
      <c r="J703" s="2" t="s">
        <v>43</v>
      </c>
    </row>
    <row r="704" spans="1:10" x14ac:dyDescent="0.35">
      <c r="A704" s="1">
        <v>45146</v>
      </c>
      <c r="B704" s="2" t="s">
        <v>19</v>
      </c>
      <c r="C704" s="2" t="s">
        <v>23</v>
      </c>
      <c r="D704" s="2" t="s">
        <v>17</v>
      </c>
      <c r="E704" s="2" t="s">
        <v>24</v>
      </c>
      <c r="F704">
        <v>964</v>
      </c>
      <c r="G704">
        <v>450</v>
      </c>
      <c r="H704">
        <v>433800</v>
      </c>
      <c r="I704">
        <v>93967.166299999997</v>
      </c>
      <c r="J704" s="2" t="s">
        <v>43</v>
      </c>
    </row>
    <row r="705" spans="1:10" x14ac:dyDescent="0.35">
      <c r="A705" s="1">
        <v>45146</v>
      </c>
      <c r="B705" s="2" t="s">
        <v>10</v>
      </c>
      <c r="C705" s="2" t="s">
        <v>27</v>
      </c>
      <c r="D705" s="2" t="s">
        <v>17</v>
      </c>
      <c r="E705" s="2" t="s">
        <v>13</v>
      </c>
      <c r="F705">
        <v>261</v>
      </c>
      <c r="G705">
        <v>436</v>
      </c>
      <c r="H705">
        <v>113796</v>
      </c>
      <c r="I705">
        <v>10604.653399999999</v>
      </c>
      <c r="J705" s="2" t="s">
        <v>43</v>
      </c>
    </row>
    <row r="706" spans="1:10" x14ac:dyDescent="0.35">
      <c r="A706" s="1">
        <v>45147</v>
      </c>
      <c r="B706" s="2" t="s">
        <v>36</v>
      </c>
      <c r="C706" s="2" t="s">
        <v>16</v>
      </c>
      <c r="D706" s="2" t="s">
        <v>17</v>
      </c>
      <c r="E706" s="2" t="s">
        <v>32</v>
      </c>
      <c r="F706">
        <v>988</v>
      </c>
      <c r="G706">
        <v>115</v>
      </c>
      <c r="H706">
        <v>113620</v>
      </c>
      <c r="I706">
        <v>12957.005499999999</v>
      </c>
      <c r="J706" s="2" t="s">
        <v>43</v>
      </c>
    </row>
    <row r="707" spans="1:10" x14ac:dyDescent="0.35">
      <c r="A707" s="1">
        <v>45147</v>
      </c>
      <c r="B707" s="2" t="s">
        <v>31</v>
      </c>
      <c r="C707" s="2" t="s">
        <v>11</v>
      </c>
      <c r="D707" s="2" t="s">
        <v>12</v>
      </c>
      <c r="E707" s="2" t="s">
        <v>32</v>
      </c>
      <c r="F707">
        <v>700</v>
      </c>
      <c r="G707">
        <v>224</v>
      </c>
      <c r="H707">
        <v>156800</v>
      </c>
      <c r="I707">
        <v>35460.881099999999</v>
      </c>
      <c r="J707" s="2" t="s">
        <v>43</v>
      </c>
    </row>
    <row r="708" spans="1:10" x14ac:dyDescent="0.35">
      <c r="A708" s="1">
        <v>45148</v>
      </c>
      <c r="B708" s="2" t="s">
        <v>31</v>
      </c>
      <c r="C708" s="2" t="s">
        <v>16</v>
      </c>
      <c r="D708" s="2" t="s">
        <v>30</v>
      </c>
      <c r="E708" s="2" t="s">
        <v>32</v>
      </c>
      <c r="F708">
        <v>321</v>
      </c>
      <c r="G708">
        <v>187</v>
      </c>
      <c r="H708">
        <v>60027</v>
      </c>
      <c r="I708">
        <v>6319.4589999999998</v>
      </c>
      <c r="J708" s="2" t="s">
        <v>43</v>
      </c>
    </row>
    <row r="709" spans="1:10" x14ac:dyDescent="0.35">
      <c r="A709" s="1">
        <v>45149</v>
      </c>
      <c r="B709" s="2" t="s">
        <v>19</v>
      </c>
      <c r="C709" s="2" t="s">
        <v>29</v>
      </c>
      <c r="D709" s="2" t="s">
        <v>17</v>
      </c>
      <c r="E709" s="2" t="s">
        <v>35</v>
      </c>
      <c r="F709">
        <v>167</v>
      </c>
      <c r="G709">
        <v>450</v>
      </c>
      <c r="H709">
        <v>75150</v>
      </c>
      <c r="I709">
        <v>15397.1639</v>
      </c>
      <c r="J709" s="2" t="s">
        <v>43</v>
      </c>
    </row>
    <row r="710" spans="1:10" x14ac:dyDescent="0.35">
      <c r="A710" s="1">
        <v>45149</v>
      </c>
      <c r="B710" s="2" t="s">
        <v>34</v>
      </c>
      <c r="C710" s="2" t="s">
        <v>16</v>
      </c>
      <c r="D710" s="2" t="s">
        <v>30</v>
      </c>
      <c r="E710" s="2" t="s">
        <v>13</v>
      </c>
      <c r="F710">
        <v>533</v>
      </c>
      <c r="G710">
        <v>136</v>
      </c>
      <c r="H710">
        <v>72488</v>
      </c>
      <c r="I710">
        <v>16973.6499</v>
      </c>
      <c r="J710" s="2" t="s">
        <v>43</v>
      </c>
    </row>
    <row r="711" spans="1:10" x14ac:dyDescent="0.35">
      <c r="A711" s="1">
        <v>45150</v>
      </c>
      <c r="B711" s="2" t="s">
        <v>10</v>
      </c>
      <c r="C711" s="2" t="s">
        <v>23</v>
      </c>
      <c r="D711" s="2" t="s">
        <v>12</v>
      </c>
      <c r="E711" s="2" t="s">
        <v>28</v>
      </c>
      <c r="F711">
        <v>898</v>
      </c>
      <c r="G711">
        <v>406</v>
      </c>
      <c r="H711">
        <v>364588</v>
      </c>
      <c r="I711">
        <v>90638.644700000004</v>
      </c>
      <c r="J711" s="2" t="s">
        <v>43</v>
      </c>
    </row>
    <row r="712" spans="1:10" x14ac:dyDescent="0.35">
      <c r="A712" s="1">
        <v>45150</v>
      </c>
      <c r="B712" s="2" t="s">
        <v>10</v>
      </c>
      <c r="C712" s="2" t="s">
        <v>29</v>
      </c>
      <c r="D712" s="2" t="s">
        <v>17</v>
      </c>
      <c r="E712" s="2" t="s">
        <v>35</v>
      </c>
      <c r="F712">
        <v>754</v>
      </c>
      <c r="G712">
        <v>423</v>
      </c>
      <c r="H712">
        <v>318942</v>
      </c>
      <c r="I712">
        <v>39803.529499999997</v>
      </c>
      <c r="J712" s="2" t="s">
        <v>43</v>
      </c>
    </row>
    <row r="713" spans="1:10" x14ac:dyDescent="0.35">
      <c r="A713" s="1">
        <v>45151</v>
      </c>
      <c r="B713" s="2" t="s">
        <v>10</v>
      </c>
      <c r="C713" s="2" t="s">
        <v>20</v>
      </c>
      <c r="D713" s="2" t="s">
        <v>12</v>
      </c>
      <c r="E713" s="2" t="s">
        <v>18</v>
      </c>
      <c r="F713">
        <v>94</v>
      </c>
      <c r="G713">
        <v>283</v>
      </c>
      <c r="H713">
        <v>26602</v>
      </c>
      <c r="I713">
        <v>3705.0153</v>
      </c>
      <c r="J713" s="2" t="s">
        <v>43</v>
      </c>
    </row>
    <row r="714" spans="1:10" x14ac:dyDescent="0.35">
      <c r="A714" s="1">
        <v>45151</v>
      </c>
      <c r="B714" s="2" t="s">
        <v>15</v>
      </c>
      <c r="C714" s="2" t="s">
        <v>20</v>
      </c>
      <c r="D714" s="2" t="s">
        <v>12</v>
      </c>
      <c r="E714" s="2" t="s">
        <v>24</v>
      </c>
      <c r="F714">
        <v>978</v>
      </c>
      <c r="G714">
        <v>163</v>
      </c>
      <c r="H714">
        <v>159414</v>
      </c>
      <c r="I714">
        <v>15542.067300000001</v>
      </c>
      <c r="J714" s="2" t="s">
        <v>43</v>
      </c>
    </row>
    <row r="715" spans="1:10" x14ac:dyDescent="0.35">
      <c r="A715" s="1">
        <v>45151</v>
      </c>
      <c r="B715" s="2" t="s">
        <v>36</v>
      </c>
      <c r="C715" s="2" t="s">
        <v>23</v>
      </c>
      <c r="D715" s="2" t="s">
        <v>17</v>
      </c>
      <c r="E715" s="2" t="s">
        <v>35</v>
      </c>
      <c r="F715">
        <v>292</v>
      </c>
      <c r="G715">
        <v>461</v>
      </c>
      <c r="H715">
        <v>134612</v>
      </c>
      <c r="I715">
        <v>30725.065600000002</v>
      </c>
      <c r="J715" s="2" t="s">
        <v>43</v>
      </c>
    </row>
    <row r="716" spans="1:10" x14ac:dyDescent="0.35">
      <c r="A716" s="1">
        <v>45152</v>
      </c>
      <c r="B716" s="2" t="s">
        <v>31</v>
      </c>
      <c r="C716" s="2" t="s">
        <v>27</v>
      </c>
      <c r="D716" s="2" t="s">
        <v>30</v>
      </c>
      <c r="E716" s="2" t="s">
        <v>24</v>
      </c>
      <c r="F716">
        <v>362</v>
      </c>
      <c r="G716">
        <v>467</v>
      </c>
      <c r="H716">
        <v>169054</v>
      </c>
      <c r="I716">
        <v>24704.7621</v>
      </c>
      <c r="J716" s="2" t="s">
        <v>43</v>
      </c>
    </row>
    <row r="717" spans="1:10" x14ac:dyDescent="0.35">
      <c r="A717" s="1">
        <v>45152</v>
      </c>
      <c r="B717" s="2" t="s">
        <v>10</v>
      </c>
      <c r="C717" s="2" t="s">
        <v>23</v>
      </c>
      <c r="D717" s="2" t="s">
        <v>30</v>
      </c>
      <c r="E717" s="2" t="s">
        <v>28</v>
      </c>
      <c r="F717">
        <v>639</v>
      </c>
      <c r="G717">
        <v>170</v>
      </c>
      <c r="H717">
        <v>108630</v>
      </c>
      <c r="I717">
        <v>23055.984700000001</v>
      </c>
      <c r="J717" s="2" t="s">
        <v>43</v>
      </c>
    </row>
    <row r="718" spans="1:10" x14ac:dyDescent="0.35">
      <c r="A718" s="1">
        <v>45152</v>
      </c>
      <c r="B718" s="2" t="s">
        <v>10</v>
      </c>
      <c r="C718" s="2" t="s">
        <v>20</v>
      </c>
      <c r="D718" s="2" t="s">
        <v>12</v>
      </c>
      <c r="E718" s="2" t="s">
        <v>22</v>
      </c>
      <c r="F718">
        <v>946</v>
      </c>
      <c r="G718">
        <v>396</v>
      </c>
      <c r="H718">
        <v>374616</v>
      </c>
      <c r="I718">
        <v>40247.733800000002</v>
      </c>
      <c r="J718" s="2" t="s">
        <v>43</v>
      </c>
    </row>
    <row r="719" spans="1:10" x14ac:dyDescent="0.35">
      <c r="A719" s="1">
        <v>45153</v>
      </c>
      <c r="B719" s="2" t="s">
        <v>25</v>
      </c>
      <c r="C719" s="2" t="s">
        <v>20</v>
      </c>
      <c r="D719" s="2" t="s">
        <v>12</v>
      </c>
      <c r="E719" s="2" t="s">
        <v>18</v>
      </c>
      <c r="F719">
        <v>205</v>
      </c>
      <c r="G719">
        <v>157</v>
      </c>
      <c r="H719">
        <v>32185</v>
      </c>
      <c r="I719">
        <v>6374.0953</v>
      </c>
      <c r="J719" s="2" t="s">
        <v>43</v>
      </c>
    </row>
    <row r="720" spans="1:10" x14ac:dyDescent="0.35">
      <c r="A720" s="1">
        <v>45153</v>
      </c>
      <c r="B720" s="2" t="s">
        <v>19</v>
      </c>
      <c r="C720" s="2" t="s">
        <v>11</v>
      </c>
      <c r="D720" s="2" t="s">
        <v>17</v>
      </c>
      <c r="E720" s="2" t="s">
        <v>33</v>
      </c>
      <c r="F720">
        <v>803</v>
      </c>
      <c r="G720">
        <v>103</v>
      </c>
      <c r="H720">
        <v>82709</v>
      </c>
      <c r="I720">
        <v>18619.554400000001</v>
      </c>
      <c r="J720" s="2" t="s">
        <v>43</v>
      </c>
    </row>
    <row r="721" spans="1:10" x14ac:dyDescent="0.35">
      <c r="A721" s="1">
        <v>45153</v>
      </c>
      <c r="B721" s="2" t="s">
        <v>31</v>
      </c>
      <c r="C721" s="2" t="s">
        <v>16</v>
      </c>
      <c r="D721" s="2" t="s">
        <v>21</v>
      </c>
      <c r="E721" s="2" t="s">
        <v>13</v>
      </c>
      <c r="F721">
        <v>882</v>
      </c>
      <c r="G721">
        <v>364</v>
      </c>
      <c r="H721">
        <v>321048</v>
      </c>
      <c r="I721">
        <v>35277.180200000003</v>
      </c>
      <c r="J721" s="2" t="s">
        <v>43</v>
      </c>
    </row>
    <row r="722" spans="1:10" x14ac:dyDescent="0.35">
      <c r="A722" s="1">
        <v>45153</v>
      </c>
      <c r="B722" s="2" t="s">
        <v>10</v>
      </c>
      <c r="C722" s="2" t="s">
        <v>16</v>
      </c>
      <c r="D722" s="2" t="s">
        <v>12</v>
      </c>
      <c r="E722" s="2" t="s">
        <v>24</v>
      </c>
      <c r="F722">
        <v>97</v>
      </c>
      <c r="G722">
        <v>211</v>
      </c>
      <c r="H722">
        <v>20467</v>
      </c>
      <c r="I722">
        <v>4786.1378000000004</v>
      </c>
      <c r="J722" s="2" t="s">
        <v>43</v>
      </c>
    </row>
    <row r="723" spans="1:10" x14ac:dyDescent="0.35">
      <c r="A723" s="1">
        <v>45153</v>
      </c>
      <c r="B723" s="2" t="s">
        <v>34</v>
      </c>
      <c r="C723" s="2" t="s">
        <v>20</v>
      </c>
      <c r="D723" s="2" t="s">
        <v>30</v>
      </c>
      <c r="E723" s="2" t="s">
        <v>35</v>
      </c>
      <c r="F723">
        <v>773</v>
      </c>
      <c r="G723">
        <v>310</v>
      </c>
      <c r="H723">
        <v>239630</v>
      </c>
      <c r="I723">
        <v>28927.250899999999</v>
      </c>
      <c r="J723" s="2" t="s">
        <v>43</v>
      </c>
    </row>
    <row r="724" spans="1:10" x14ac:dyDescent="0.35">
      <c r="A724" s="1">
        <v>45153</v>
      </c>
      <c r="B724" s="2" t="s">
        <v>15</v>
      </c>
      <c r="C724" s="2" t="s">
        <v>11</v>
      </c>
      <c r="D724" s="2" t="s">
        <v>12</v>
      </c>
      <c r="E724" s="2" t="s">
        <v>35</v>
      </c>
      <c r="F724">
        <v>134</v>
      </c>
      <c r="G724">
        <v>411</v>
      </c>
      <c r="H724">
        <v>55074</v>
      </c>
      <c r="I724">
        <v>10465.4673</v>
      </c>
      <c r="J724" s="2" t="s">
        <v>43</v>
      </c>
    </row>
    <row r="725" spans="1:10" x14ac:dyDescent="0.35">
      <c r="A725" s="1">
        <v>45154</v>
      </c>
      <c r="B725" s="2" t="s">
        <v>26</v>
      </c>
      <c r="C725" s="2" t="s">
        <v>29</v>
      </c>
      <c r="D725" s="2" t="s">
        <v>12</v>
      </c>
      <c r="E725" s="2" t="s">
        <v>13</v>
      </c>
      <c r="F725">
        <v>960</v>
      </c>
      <c r="G725">
        <v>173</v>
      </c>
      <c r="H725">
        <v>166080</v>
      </c>
      <c r="I725">
        <v>21116.224999999999</v>
      </c>
      <c r="J725" s="2" t="s">
        <v>43</v>
      </c>
    </row>
    <row r="726" spans="1:10" x14ac:dyDescent="0.35">
      <c r="A726" s="1">
        <v>45154</v>
      </c>
      <c r="B726" s="2" t="s">
        <v>10</v>
      </c>
      <c r="C726" s="2" t="s">
        <v>29</v>
      </c>
      <c r="D726" s="2" t="s">
        <v>30</v>
      </c>
      <c r="E726" s="2" t="s">
        <v>33</v>
      </c>
      <c r="F726">
        <v>770</v>
      </c>
      <c r="G726">
        <v>265</v>
      </c>
      <c r="H726">
        <v>204050</v>
      </c>
      <c r="I726">
        <v>37311.616699999999</v>
      </c>
      <c r="J726" s="2" t="s">
        <v>43</v>
      </c>
    </row>
    <row r="727" spans="1:10" x14ac:dyDescent="0.35">
      <c r="A727" s="1">
        <v>45155</v>
      </c>
      <c r="B727" s="2" t="s">
        <v>19</v>
      </c>
      <c r="C727" s="2" t="s">
        <v>27</v>
      </c>
      <c r="D727" s="2" t="s">
        <v>12</v>
      </c>
      <c r="E727" s="2" t="s">
        <v>33</v>
      </c>
      <c r="F727">
        <v>85</v>
      </c>
      <c r="G727">
        <v>105</v>
      </c>
      <c r="H727">
        <v>8925</v>
      </c>
      <c r="I727">
        <v>2126.8582000000001</v>
      </c>
      <c r="J727" s="2" t="s">
        <v>43</v>
      </c>
    </row>
    <row r="728" spans="1:10" x14ac:dyDescent="0.35">
      <c r="A728" s="1">
        <v>45156</v>
      </c>
      <c r="B728" s="2" t="s">
        <v>34</v>
      </c>
      <c r="C728" s="2" t="s">
        <v>11</v>
      </c>
      <c r="D728" s="2" t="s">
        <v>17</v>
      </c>
      <c r="E728" s="2" t="s">
        <v>13</v>
      </c>
      <c r="F728">
        <v>132</v>
      </c>
      <c r="G728">
        <v>419</v>
      </c>
      <c r="H728">
        <v>55308</v>
      </c>
      <c r="I728">
        <v>9551.777</v>
      </c>
      <c r="J728" s="2" t="s">
        <v>43</v>
      </c>
    </row>
    <row r="729" spans="1:10" x14ac:dyDescent="0.35">
      <c r="A729" s="1">
        <v>45156</v>
      </c>
      <c r="B729" s="2" t="s">
        <v>26</v>
      </c>
      <c r="C729" s="2" t="s">
        <v>11</v>
      </c>
      <c r="D729" s="2" t="s">
        <v>30</v>
      </c>
      <c r="E729" s="2" t="s">
        <v>32</v>
      </c>
      <c r="F729">
        <v>699</v>
      </c>
      <c r="G729">
        <v>408</v>
      </c>
      <c r="H729">
        <v>285192</v>
      </c>
      <c r="I729">
        <v>33873.657200000001</v>
      </c>
      <c r="J729" s="2" t="s">
        <v>43</v>
      </c>
    </row>
    <row r="730" spans="1:10" x14ac:dyDescent="0.35">
      <c r="A730" s="1">
        <v>45156</v>
      </c>
      <c r="B730" s="2" t="s">
        <v>25</v>
      </c>
      <c r="C730" s="2" t="s">
        <v>27</v>
      </c>
      <c r="D730" s="2" t="s">
        <v>12</v>
      </c>
      <c r="E730" s="2" t="s">
        <v>18</v>
      </c>
      <c r="F730">
        <v>388</v>
      </c>
      <c r="G730">
        <v>448</v>
      </c>
      <c r="H730">
        <v>173824</v>
      </c>
      <c r="I730">
        <v>32411.837299999999</v>
      </c>
      <c r="J730" s="2" t="s">
        <v>43</v>
      </c>
    </row>
    <row r="731" spans="1:10" x14ac:dyDescent="0.35">
      <c r="A731" s="1">
        <v>45157</v>
      </c>
      <c r="B731" s="2" t="s">
        <v>31</v>
      </c>
      <c r="C731" s="2" t="s">
        <v>20</v>
      </c>
      <c r="D731" s="2" t="s">
        <v>21</v>
      </c>
      <c r="E731" s="2" t="s">
        <v>28</v>
      </c>
      <c r="F731">
        <v>577</v>
      </c>
      <c r="G731">
        <v>473</v>
      </c>
      <c r="H731">
        <v>272921</v>
      </c>
      <c r="I731">
        <v>27672.1636</v>
      </c>
      <c r="J731" s="2" t="s">
        <v>43</v>
      </c>
    </row>
    <row r="732" spans="1:10" x14ac:dyDescent="0.35">
      <c r="A732" s="1">
        <v>45157</v>
      </c>
      <c r="B732" s="2" t="s">
        <v>26</v>
      </c>
      <c r="C732" s="2" t="s">
        <v>23</v>
      </c>
      <c r="D732" s="2" t="s">
        <v>21</v>
      </c>
      <c r="E732" s="2" t="s">
        <v>33</v>
      </c>
      <c r="F732">
        <v>986</v>
      </c>
      <c r="G732">
        <v>156</v>
      </c>
      <c r="H732">
        <v>153816</v>
      </c>
      <c r="I732">
        <v>22773.271100000002</v>
      </c>
      <c r="J732" s="2" t="s">
        <v>43</v>
      </c>
    </row>
    <row r="733" spans="1:10" x14ac:dyDescent="0.35">
      <c r="A733" s="1">
        <v>45157</v>
      </c>
      <c r="B733" s="2" t="s">
        <v>26</v>
      </c>
      <c r="C733" s="2" t="s">
        <v>20</v>
      </c>
      <c r="D733" s="2" t="s">
        <v>21</v>
      </c>
      <c r="E733" s="2" t="s">
        <v>24</v>
      </c>
      <c r="F733">
        <v>649</v>
      </c>
      <c r="G733">
        <v>172</v>
      </c>
      <c r="H733">
        <v>111628</v>
      </c>
      <c r="I733">
        <v>10994.832700000001</v>
      </c>
      <c r="J733" s="2" t="s">
        <v>43</v>
      </c>
    </row>
    <row r="734" spans="1:10" x14ac:dyDescent="0.35">
      <c r="A734" s="1">
        <v>45157</v>
      </c>
      <c r="B734" s="2" t="s">
        <v>34</v>
      </c>
      <c r="C734" s="2" t="s">
        <v>23</v>
      </c>
      <c r="D734" s="2" t="s">
        <v>21</v>
      </c>
      <c r="E734" s="2" t="s">
        <v>35</v>
      </c>
      <c r="F734">
        <v>155</v>
      </c>
      <c r="G734">
        <v>295</v>
      </c>
      <c r="H734">
        <v>45725</v>
      </c>
      <c r="I734">
        <v>4525.7799000000005</v>
      </c>
      <c r="J734" s="2" t="s">
        <v>43</v>
      </c>
    </row>
    <row r="735" spans="1:10" x14ac:dyDescent="0.35">
      <c r="A735" s="1">
        <v>45158</v>
      </c>
      <c r="B735" s="2" t="s">
        <v>15</v>
      </c>
      <c r="C735" s="2" t="s">
        <v>11</v>
      </c>
      <c r="D735" s="2" t="s">
        <v>21</v>
      </c>
      <c r="E735" s="2" t="s">
        <v>13</v>
      </c>
      <c r="F735">
        <v>124</v>
      </c>
      <c r="G735">
        <v>312</v>
      </c>
      <c r="H735">
        <v>38688</v>
      </c>
      <c r="I735">
        <v>6435.1495999999997</v>
      </c>
      <c r="J735" s="2" t="s">
        <v>43</v>
      </c>
    </row>
    <row r="736" spans="1:10" x14ac:dyDescent="0.35">
      <c r="A736" s="1">
        <v>45158</v>
      </c>
      <c r="B736" s="2" t="s">
        <v>26</v>
      </c>
      <c r="C736" s="2" t="s">
        <v>11</v>
      </c>
      <c r="D736" s="2" t="s">
        <v>17</v>
      </c>
      <c r="E736" s="2" t="s">
        <v>28</v>
      </c>
      <c r="F736">
        <v>501</v>
      </c>
      <c r="G736">
        <v>252</v>
      </c>
      <c r="H736">
        <v>126252</v>
      </c>
      <c r="I736">
        <v>23391.242900000001</v>
      </c>
      <c r="J736" s="2" t="s">
        <v>43</v>
      </c>
    </row>
    <row r="737" spans="1:10" x14ac:dyDescent="0.35">
      <c r="A737" s="1">
        <v>45158</v>
      </c>
      <c r="B737" s="2" t="s">
        <v>36</v>
      </c>
      <c r="C737" s="2" t="s">
        <v>29</v>
      </c>
      <c r="D737" s="2" t="s">
        <v>30</v>
      </c>
      <c r="E737" s="2" t="s">
        <v>35</v>
      </c>
      <c r="F737">
        <v>98</v>
      </c>
      <c r="G737">
        <v>324</v>
      </c>
      <c r="H737">
        <v>31752</v>
      </c>
      <c r="I737">
        <v>2919.7932999999998</v>
      </c>
      <c r="J737" s="2" t="s">
        <v>43</v>
      </c>
    </row>
    <row r="738" spans="1:10" x14ac:dyDescent="0.35">
      <c r="A738" s="1">
        <v>45159</v>
      </c>
      <c r="B738" s="2" t="s">
        <v>31</v>
      </c>
      <c r="C738" s="2" t="s">
        <v>27</v>
      </c>
      <c r="D738" s="2" t="s">
        <v>12</v>
      </c>
      <c r="E738" s="2" t="s">
        <v>13</v>
      </c>
      <c r="F738">
        <v>793</v>
      </c>
      <c r="G738">
        <v>262</v>
      </c>
      <c r="H738">
        <v>207766</v>
      </c>
      <c r="I738">
        <v>49885.981899999999</v>
      </c>
      <c r="J738" s="2" t="s">
        <v>43</v>
      </c>
    </row>
    <row r="739" spans="1:10" x14ac:dyDescent="0.35">
      <c r="A739" s="1">
        <v>45159</v>
      </c>
      <c r="B739" s="2" t="s">
        <v>34</v>
      </c>
      <c r="C739" s="2" t="s">
        <v>29</v>
      </c>
      <c r="D739" s="2" t="s">
        <v>17</v>
      </c>
      <c r="E739" s="2" t="s">
        <v>35</v>
      </c>
      <c r="F739">
        <v>698</v>
      </c>
      <c r="G739">
        <v>201</v>
      </c>
      <c r="H739">
        <v>140298</v>
      </c>
      <c r="I739">
        <v>13676.031000000001</v>
      </c>
      <c r="J739" s="2" t="s">
        <v>43</v>
      </c>
    </row>
    <row r="740" spans="1:10" x14ac:dyDescent="0.35">
      <c r="A740" s="1">
        <v>45159</v>
      </c>
      <c r="B740" s="2" t="s">
        <v>25</v>
      </c>
      <c r="C740" s="2" t="s">
        <v>27</v>
      </c>
      <c r="D740" s="2" t="s">
        <v>30</v>
      </c>
      <c r="E740" s="2" t="s">
        <v>18</v>
      </c>
      <c r="F740">
        <v>427</v>
      </c>
      <c r="G740">
        <v>245</v>
      </c>
      <c r="H740">
        <v>104615</v>
      </c>
      <c r="I740">
        <v>24363.863000000001</v>
      </c>
      <c r="J740" s="2" t="s">
        <v>43</v>
      </c>
    </row>
    <row r="741" spans="1:10" x14ac:dyDescent="0.35">
      <c r="A741" s="1">
        <v>45159</v>
      </c>
      <c r="B741" s="2" t="s">
        <v>10</v>
      </c>
      <c r="C741" s="2" t="s">
        <v>11</v>
      </c>
      <c r="D741" s="2" t="s">
        <v>17</v>
      </c>
      <c r="E741" s="2" t="s">
        <v>28</v>
      </c>
      <c r="F741">
        <v>764</v>
      </c>
      <c r="G741">
        <v>480</v>
      </c>
      <c r="H741">
        <v>366720</v>
      </c>
      <c r="I741">
        <v>70080.9859</v>
      </c>
      <c r="J741" s="2" t="s">
        <v>43</v>
      </c>
    </row>
    <row r="742" spans="1:10" x14ac:dyDescent="0.35">
      <c r="A742" s="1">
        <v>45160</v>
      </c>
      <c r="B742" s="2" t="s">
        <v>34</v>
      </c>
      <c r="C742" s="2" t="s">
        <v>11</v>
      </c>
      <c r="D742" s="2" t="s">
        <v>12</v>
      </c>
      <c r="E742" s="2" t="s">
        <v>18</v>
      </c>
      <c r="F742">
        <v>610</v>
      </c>
      <c r="G742">
        <v>466</v>
      </c>
      <c r="H742">
        <v>284260</v>
      </c>
      <c r="I742">
        <v>60657.092499999999</v>
      </c>
      <c r="J742" s="2" t="s">
        <v>43</v>
      </c>
    </row>
    <row r="743" spans="1:10" x14ac:dyDescent="0.35">
      <c r="A743" s="1">
        <v>45161</v>
      </c>
      <c r="B743" s="2" t="s">
        <v>31</v>
      </c>
      <c r="C743" s="2" t="s">
        <v>29</v>
      </c>
      <c r="D743" s="2" t="s">
        <v>30</v>
      </c>
      <c r="E743" s="2" t="s">
        <v>13</v>
      </c>
      <c r="F743">
        <v>945</v>
      </c>
      <c r="G743">
        <v>211</v>
      </c>
      <c r="H743">
        <v>199395</v>
      </c>
      <c r="I743">
        <v>26366.236700000001</v>
      </c>
      <c r="J743" s="2" t="s">
        <v>43</v>
      </c>
    </row>
    <row r="744" spans="1:10" x14ac:dyDescent="0.35">
      <c r="A744" s="1">
        <v>45161</v>
      </c>
      <c r="B744" s="2" t="s">
        <v>15</v>
      </c>
      <c r="C744" s="2" t="s">
        <v>27</v>
      </c>
      <c r="D744" s="2" t="s">
        <v>30</v>
      </c>
      <c r="E744" s="2" t="s">
        <v>28</v>
      </c>
      <c r="F744">
        <v>519</v>
      </c>
      <c r="G744">
        <v>265</v>
      </c>
      <c r="H744">
        <v>137535</v>
      </c>
      <c r="I744">
        <v>13069.167299999999</v>
      </c>
      <c r="J744" s="2" t="s">
        <v>43</v>
      </c>
    </row>
    <row r="745" spans="1:10" x14ac:dyDescent="0.35">
      <c r="A745" s="1">
        <v>45161</v>
      </c>
      <c r="B745" s="2" t="s">
        <v>31</v>
      </c>
      <c r="C745" s="2" t="s">
        <v>20</v>
      </c>
      <c r="D745" s="2" t="s">
        <v>30</v>
      </c>
      <c r="E745" s="2" t="s">
        <v>13</v>
      </c>
      <c r="F745">
        <v>851</v>
      </c>
      <c r="G745">
        <v>287</v>
      </c>
      <c r="H745">
        <v>244237</v>
      </c>
      <c r="I745">
        <v>26736.959500000001</v>
      </c>
      <c r="J745" s="2" t="s">
        <v>43</v>
      </c>
    </row>
    <row r="746" spans="1:10" x14ac:dyDescent="0.35">
      <c r="A746" s="1">
        <v>45161</v>
      </c>
      <c r="B746" s="2" t="s">
        <v>10</v>
      </c>
      <c r="C746" s="2" t="s">
        <v>29</v>
      </c>
      <c r="D746" s="2" t="s">
        <v>21</v>
      </c>
      <c r="E746" s="2" t="s">
        <v>28</v>
      </c>
      <c r="F746">
        <v>883</v>
      </c>
      <c r="G746">
        <v>131</v>
      </c>
      <c r="H746">
        <v>115673</v>
      </c>
      <c r="I746">
        <v>24829.051500000001</v>
      </c>
      <c r="J746" s="2" t="s">
        <v>43</v>
      </c>
    </row>
    <row r="747" spans="1:10" x14ac:dyDescent="0.35">
      <c r="A747" s="1">
        <v>45161</v>
      </c>
      <c r="B747" s="2" t="s">
        <v>19</v>
      </c>
      <c r="C747" s="2" t="s">
        <v>20</v>
      </c>
      <c r="D747" s="2" t="s">
        <v>17</v>
      </c>
      <c r="E747" s="2" t="s">
        <v>33</v>
      </c>
      <c r="F747">
        <v>874</v>
      </c>
      <c r="G747">
        <v>370</v>
      </c>
      <c r="H747">
        <v>323380</v>
      </c>
      <c r="I747">
        <v>43778.917699999998</v>
      </c>
      <c r="J747" s="2" t="s">
        <v>43</v>
      </c>
    </row>
    <row r="748" spans="1:10" x14ac:dyDescent="0.35">
      <c r="A748" s="1">
        <v>45161</v>
      </c>
      <c r="B748" s="2" t="s">
        <v>31</v>
      </c>
      <c r="C748" s="2" t="s">
        <v>29</v>
      </c>
      <c r="D748" s="2" t="s">
        <v>17</v>
      </c>
      <c r="E748" s="2" t="s">
        <v>28</v>
      </c>
      <c r="F748">
        <v>897</v>
      </c>
      <c r="G748">
        <v>389</v>
      </c>
      <c r="H748">
        <v>348933</v>
      </c>
      <c r="I748">
        <v>38224.271000000001</v>
      </c>
      <c r="J748" s="2" t="s">
        <v>43</v>
      </c>
    </row>
    <row r="749" spans="1:10" x14ac:dyDescent="0.35">
      <c r="A749" s="1">
        <v>45162</v>
      </c>
      <c r="B749" s="2" t="s">
        <v>26</v>
      </c>
      <c r="C749" s="2" t="s">
        <v>23</v>
      </c>
      <c r="D749" s="2" t="s">
        <v>17</v>
      </c>
      <c r="E749" s="2" t="s">
        <v>28</v>
      </c>
      <c r="F749">
        <v>613</v>
      </c>
      <c r="G749">
        <v>481</v>
      </c>
      <c r="H749">
        <v>294853</v>
      </c>
      <c r="I749">
        <v>68519.792100000006</v>
      </c>
      <c r="J749" s="2" t="s">
        <v>43</v>
      </c>
    </row>
    <row r="750" spans="1:10" x14ac:dyDescent="0.35">
      <c r="A750" s="1">
        <v>45162</v>
      </c>
      <c r="B750" s="2" t="s">
        <v>31</v>
      </c>
      <c r="C750" s="2" t="s">
        <v>29</v>
      </c>
      <c r="D750" s="2" t="s">
        <v>21</v>
      </c>
      <c r="E750" s="2" t="s">
        <v>35</v>
      </c>
      <c r="F750">
        <v>254</v>
      </c>
      <c r="G750">
        <v>168</v>
      </c>
      <c r="H750">
        <v>42672</v>
      </c>
      <c r="I750">
        <v>7905.4677000000001</v>
      </c>
      <c r="J750" s="2" t="s">
        <v>43</v>
      </c>
    </row>
    <row r="751" spans="1:10" x14ac:dyDescent="0.35">
      <c r="A751" s="1">
        <v>45162</v>
      </c>
      <c r="B751" s="2" t="s">
        <v>25</v>
      </c>
      <c r="C751" s="2" t="s">
        <v>29</v>
      </c>
      <c r="D751" s="2" t="s">
        <v>12</v>
      </c>
      <c r="E751" s="2" t="s">
        <v>32</v>
      </c>
      <c r="F751">
        <v>135</v>
      </c>
      <c r="G751">
        <v>120</v>
      </c>
      <c r="H751">
        <v>16200</v>
      </c>
      <c r="I751">
        <v>2671.7480999999998</v>
      </c>
      <c r="J751" s="2" t="s">
        <v>43</v>
      </c>
    </row>
    <row r="752" spans="1:10" x14ac:dyDescent="0.35">
      <c r="A752" s="1">
        <v>45163</v>
      </c>
      <c r="B752" s="2" t="s">
        <v>19</v>
      </c>
      <c r="C752" s="2" t="s">
        <v>11</v>
      </c>
      <c r="D752" s="2" t="s">
        <v>21</v>
      </c>
      <c r="E752" s="2" t="s">
        <v>13</v>
      </c>
      <c r="F752">
        <v>346</v>
      </c>
      <c r="G752">
        <v>163</v>
      </c>
      <c r="H752">
        <v>56398</v>
      </c>
      <c r="I752">
        <v>9503.1740000000009</v>
      </c>
      <c r="J752" s="2" t="s">
        <v>43</v>
      </c>
    </row>
    <row r="753" spans="1:10" x14ac:dyDescent="0.35">
      <c r="A753" s="1">
        <v>45163</v>
      </c>
      <c r="B753" s="2" t="s">
        <v>19</v>
      </c>
      <c r="C753" s="2" t="s">
        <v>20</v>
      </c>
      <c r="D753" s="2" t="s">
        <v>21</v>
      </c>
      <c r="E753" s="2" t="s">
        <v>13</v>
      </c>
      <c r="F753">
        <v>119</v>
      </c>
      <c r="G753">
        <v>417</v>
      </c>
      <c r="H753">
        <v>49623</v>
      </c>
      <c r="I753">
        <v>5905.0429999999997</v>
      </c>
      <c r="J753" s="2" t="s">
        <v>43</v>
      </c>
    </row>
    <row r="754" spans="1:10" x14ac:dyDescent="0.35">
      <c r="A754" s="1">
        <v>45164</v>
      </c>
      <c r="B754" s="2" t="s">
        <v>31</v>
      </c>
      <c r="C754" s="2" t="s">
        <v>27</v>
      </c>
      <c r="D754" s="2" t="s">
        <v>17</v>
      </c>
      <c r="E754" s="2" t="s">
        <v>28</v>
      </c>
      <c r="F754">
        <v>198</v>
      </c>
      <c r="G754">
        <v>135</v>
      </c>
      <c r="H754">
        <v>26730</v>
      </c>
      <c r="I754">
        <v>4187.1378999999997</v>
      </c>
      <c r="J754" s="2" t="s">
        <v>43</v>
      </c>
    </row>
    <row r="755" spans="1:10" x14ac:dyDescent="0.35">
      <c r="A755" s="1">
        <v>45164</v>
      </c>
      <c r="B755" s="2" t="s">
        <v>26</v>
      </c>
      <c r="C755" s="2" t="s">
        <v>20</v>
      </c>
      <c r="D755" s="2" t="s">
        <v>12</v>
      </c>
      <c r="E755" s="2" t="s">
        <v>35</v>
      </c>
      <c r="F755">
        <v>410</v>
      </c>
      <c r="G755">
        <v>385</v>
      </c>
      <c r="H755">
        <v>157850</v>
      </c>
      <c r="I755">
        <v>21509.647799999999</v>
      </c>
      <c r="J755" s="2" t="s">
        <v>43</v>
      </c>
    </row>
    <row r="756" spans="1:10" x14ac:dyDescent="0.35">
      <c r="A756" s="1">
        <v>45164</v>
      </c>
      <c r="B756" s="2" t="s">
        <v>19</v>
      </c>
      <c r="C756" s="2" t="s">
        <v>20</v>
      </c>
      <c r="D756" s="2" t="s">
        <v>12</v>
      </c>
      <c r="E756" s="2" t="s">
        <v>28</v>
      </c>
      <c r="F756">
        <v>706</v>
      </c>
      <c r="G756">
        <v>494</v>
      </c>
      <c r="H756">
        <v>348764</v>
      </c>
      <c r="I756">
        <v>54522.606899999999</v>
      </c>
      <c r="J756" s="2" t="s">
        <v>43</v>
      </c>
    </row>
    <row r="757" spans="1:10" x14ac:dyDescent="0.35">
      <c r="A757" s="1">
        <v>45165</v>
      </c>
      <c r="B757" s="2" t="s">
        <v>19</v>
      </c>
      <c r="C757" s="2" t="s">
        <v>16</v>
      </c>
      <c r="D757" s="2" t="s">
        <v>30</v>
      </c>
      <c r="E757" s="2" t="s">
        <v>32</v>
      </c>
      <c r="F757">
        <v>734</v>
      </c>
      <c r="G757">
        <v>409</v>
      </c>
      <c r="H757">
        <v>300206</v>
      </c>
      <c r="I757">
        <v>37886.200900000003</v>
      </c>
      <c r="J757" s="2" t="s">
        <v>43</v>
      </c>
    </row>
    <row r="758" spans="1:10" x14ac:dyDescent="0.35">
      <c r="A758" s="1">
        <v>45165</v>
      </c>
      <c r="B758" s="2" t="s">
        <v>36</v>
      </c>
      <c r="C758" s="2" t="s">
        <v>27</v>
      </c>
      <c r="D758" s="2" t="s">
        <v>12</v>
      </c>
      <c r="E758" s="2" t="s">
        <v>33</v>
      </c>
      <c r="F758">
        <v>576</v>
      </c>
      <c r="G758">
        <v>475</v>
      </c>
      <c r="H758">
        <v>273600</v>
      </c>
      <c r="I758">
        <v>43504.001300000004</v>
      </c>
      <c r="J758" s="2" t="s">
        <v>43</v>
      </c>
    </row>
    <row r="759" spans="1:10" x14ac:dyDescent="0.35">
      <c r="A759" s="1">
        <v>45168</v>
      </c>
      <c r="B759" s="2" t="s">
        <v>36</v>
      </c>
      <c r="C759" s="2" t="s">
        <v>29</v>
      </c>
      <c r="D759" s="2" t="s">
        <v>21</v>
      </c>
      <c r="E759" s="2" t="s">
        <v>35</v>
      </c>
      <c r="F759">
        <v>410</v>
      </c>
      <c r="G759">
        <v>452</v>
      </c>
      <c r="H759">
        <v>185320</v>
      </c>
      <c r="I759">
        <v>36674.340100000001</v>
      </c>
      <c r="J759" s="2" t="s">
        <v>43</v>
      </c>
    </row>
    <row r="760" spans="1:10" x14ac:dyDescent="0.35">
      <c r="A760" s="1">
        <v>45168</v>
      </c>
      <c r="B760" s="2" t="s">
        <v>10</v>
      </c>
      <c r="C760" s="2" t="s">
        <v>29</v>
      </c>
      <c r="D760" s="2" t="s">
        <v>21</v>
      </c>
      <c r="E760" s="2" t="s">
        <v>35</v>
      </c>
      <c r="F760">
        <v>833</v>
      </c>
      <c r="G760">
        <v>478</v>
      </c>
      <c r="H760">
        <v>398174</v>
      </c>
      <c r="I760">
        <v>62073.612999999998</v>
      </c>
      <c r="J760" s="2" t="s">
        <v>43</v>
      </c>
    </row>
    <row r="761" spans="1:10" x14ac:dyDescent="0.35">
      <c r="A761" s="1">
        <v>45168</v>
      </c>
      <c r="B761" s="2" t="s">
        <v>36</v>
      </c>
      <c r="C761" s="2" t="s">
        <v>16</v>
      </c>
      <c r="D761" s="2" t="s">
        <v>21</v>
      </c>
      <c r="E761" s="2" t="s">
        <v>35</v>
      </c>
      <c r="F761">
        <v>704</v>
      </c>
      <c r="G761">
        <v>499</v>
      </c>
      <c r="H761">
        <v>351296</v>
      </c>
      <c r="I761">
        <v>72817.695099999997</v>
      </c>
      <c r="J761" s="2" t="s">
        <v>43</v>
      </c>
    </row>
    <row r="762" spans="1:10" x14ac:dyDescent="0.35">
      <c r="A762" s="1">
        <v>45168</v>
      </c>
      <c r="B762" s="2" t="s">
        <v>34</v>
      </c>
      <c r="C762" s="2" t="s">
        <v>23</v>
      </c>
      <c r="D762" s="2" t="s">
        <v>30</v>
      </c>
      <c r="E762" s="2" t="s">
        <v>32</v>
      </c>
      <c r="F762">
        <v>172</v>
      </c>
      <c r="G762">
        <v>142</v>
      </c>
      <c r="H762">
        <v>24424</v>
      </c>
      <c r="I762">
        <v>3201.8852999999999</v>
      </c>
      <c r="J762" s="2" t="s">
        <v>43</v>
      </c>
    </row>
    <row r="763" spans="1:10" x14ac:dyDescent="0.35">
      <c r="A763" s="1">
        <v>45168</v>
      </c>
      <c r="B763" s="2" t="s">
        <v>25</v>
      </c>
      <c r="C763" s="2" t="s">
        <v>20</v>
      </c>
      <c r="D763" s="2" t="s">
        <v>30</v>
      </c>
      <c r="E763" s="2" t="s">
        <v>22</v>
      </c>
      <c r="F763">
        <v>180</v>
      </c>
      <c r="G763">
        <v>375</v>
      </c>
      <c r="H763">
        <v>67500</v>
      </c>
      <c r="I763">
        <v>12359.8802</v>
      </c>
      <c r="J763" s="2" t="s">
        <v>43</v>
      </c>
    </row>
    <row r="764" spans="1:10" x14ac:dyDescent="0.35">
      <c r="A764" s="1">
        <v>45168</v>
      </c>
      <c r="B764" s="2" t="s">
        <v>19</v>
      </c>
      <c r="C764" s="2" t="s">
        <v>27</v>
      </c>
      <c r="D764" s="2" t="s">
        <v>17</v>
      </c>
      <c r="E764" s="2" t="s">
        <v>24</v>
      </c>
      <c r="F764">
        <v>122</v>
      </c>
      <c r="G764">
        <v>332</v>
      </c>
      <c r="H764">
        <v>40504</v>
      </c>
      <c r="I764">
        <v>9756.8026000000009</v>
      </c>
      <c r="J764" s="2" t="s">
        <v>43</v>
      </c>
    </row>
    <row r="765" spans="1:10" x14ac:dyDescent="0.35">
      <c r="A765" s="1">
        <v>45168</v>
      </c>
      <c r="B765" s="2" t="s">
        <v>15</v>
      </c>
      <c r="C765" s="2" t="s">
        <v>11</v>
      </c>
      <c r="D765" s="2" t="s">
        <v>30</v>
      </c>
      <c r="E765" s="2" t="s">
        <v>28</v>
      </c>
      <c r="F765">
        <v>531</v>
      </c>
      <c r="G765">
        <v>453</v>
      </c>
      <c r="H765">
        <v>240543</v>
      </c>
      <c r="I765">
        <v>59339.735000000001</v>
      </c>
      <c r="J765" s="2" t="s">
        <v>43</v>
      </c>
    </row>
    <row r="766" spans="1:10" x14ac:dyDescent="0.35">
      <c r="A766" s="1">
        <v>45169</v>
      </c>
      <c r="B766" s="2" t="s">
        <v>10</v>
      </c>
      <c r="C766" s="2" t="s">
        <v>27</v>
      </c>
      <c r="D766" s="2" t="s">
        <v>12</v>
      </c>
      <c r="E766" s="2" t="s">
        <v>13</v>
      </c>
      <c r="F766">
        <v>499</v>
      </c>
      <c r="G766">
        <v>245</v>
      </c>
      <c r="H766">
        <v>122255</v>
      </c>
      <c r="I766">
        <v>29681.342100000002</v>
      </c>
      <c r="J766" s="2" t="s">
        <v>43</v>
      </c>
    </row>
    <row r="767" spans="1:10" x14ac:dyDescent="0.35">
      <c r="A767" s="1">
        <v>45169</v>
      </c>
      <c r="B767" s="2" t="s">
        <v>25</v>
      </c>
      <c r="C767" s="2" t="s">
        <v>23</v>
      </c>
      <c r="D767" s="2" t="s">
        <v>12</v>
      </c>
      <c r="E767" s="2" t="s">
        <v>35</v>
      </c>
      <c r="F767">
        <v>876</v>
      </c>
      <c r="G767">
        <v>403</v>
      </c>
      <c r="H767">
        <v>353028</v>
      </c>
      <c r="I767">
        <v>30303.35</v>
      </c>
      <c r="J767" s="2" t="s">
        <v>43</v>
      </c>
    </row>
    <row r="768" spans="1:10" x14ac:dyDescent="0.35">
      <c r="A768" s="1">
        <v>45170</v>
      </c>
      <c r="B768" s="2" t="s">
        <v>36</v>
      </c>
      <c r="C768" s="2" t="s">
        <v>20</v>
      </c>
      <c r="D768" s="2" t="s">
        <v>30</v>
      </c>
      <c r="E768" s="2" t="s">
        <v>28</v>
      </c>
      <c r="F768">
        <v>79</v>
      </c>
      <c r="G768">
        <v>352</v>
      </c>
      <c r="H768">
        <v>27808</v>
      </c>
      <c r="I768">
        <v>3759.1415999999999</v>
      </c>
      <c r="J768" s="2" t="s">
        <v>44</v>
      </c>
    </row>
    <row r="769" spans="1:10" x14ac:dyDescent="0.35">
      <c r="A769" s="1">
        <v>45170</v>
      </c>
      <c r="B769" s="2" t="s">
        <v>25</v>
      </c>
      <c r="C769" s="2" t="s">
        <v>29</v>
      </c>
      <c r="D769" s="2" t="s">
        <v>21</v>
      </c>
      <c r="E769" s="2" t="s">
        <v>18</v>
      </c>
      <c r="F769">
        <v>139</v>
      </c>
      <c r="G769">
        <v>334</v>
      </c>
      <c r="H769">
        <v>46426</v>
      </c>
      <c r="I769">
        <v>9931.5033999999996</v>
      </c>
      <c r="J769" s="2" t="s">
        <v>44</v>
      </c>
    </row>
    <row r="770" spans="1:10" x14ac:dyDescent="0.35">
      <c r="A770" s="1">
        <v>45171</v>
      </c>
      <c r="B770" s="2" t="s">
        <v>36</v>
      </c>
      <c r="C770" s="2" t="s">
        <v>27</v>
      </c>
      <c r="D770" s="2" t="s">
        <v>21</v>
      </c>
      <c r="E770" s="2" t="s">
        <v>33</v>
      </c>
      <c r="F770">
        <v>136</v>
      </c>
      <c r="G770">
        <v>317</v>
      </c>
      <c r="H770">
        <v>43112</v>
      </c>
      <c r="I770">
        <v>5796.1486000000004</v>
      </c>
      <c r="J770" s="2" t="s">
        <v>44</v>
      </c>
    </row>
    <row r="771" spans="1:10" x14ac:dyDescent="0.35">
      <c r="A771" s="1">
        <v>45171</v>
      </c>
      <c r="B771" s="2" t="s">
        <v>31</v>
      </c>
      <c r="C771" s="2" t="s">
        <v>11</v>
      </c>
      <c r="D771" s="2" t="s">
        <v>12</v>
      </c>
      <c r="E771" s="2" t="s">
        <v>35</v>
      </c>
      <c r="F771">
        <v>142</v>
      </c>
      <c r="G771">
        <v>395</v>
      </c>
      <c r="H771">
        <v>56090</v>
      </c>
      <c r="I771">
        <v>10298.454299999999</v>
      </c>
      <c r="J771" s="2" t="s">
        <v>44</v>
      </c>
    </row>
    <row r="772" spans="1:10" x14ac:dyDescent="0.35">
      <c r="A772" s="1">
        <v>45171</v>
      </c>
      <c r="B772" s="2" t="s">
        <v>10</v>
      </c>
      <c r="C772" s="2" t="s">
        <v>23</v>
      </c>
      <c r="D772" s="2" t="s">
        <v>21</v>
      </c>
      <c r="E772" s="2" t="s">
        <v>33</v>
      </c>
      <c r="F772">
        <v>436</v>
      </c>
      <c r="G772">
        <v>318</v>
      </c>
      <c r="H772">
        <v>138648</v>
      </c>
      <c r="I772">
        <v>26176.7166</v>
      </c>
      <c r="J772" s="2" t="s">
        <v>44</v>
      </c>
    </row>
    <row r="773" spans="1:10" x14ac:dyDescent="0.35">
      <c r="A773" s="1">
        <v>45171</v>
      </c>
      <c r="B773" s="2" t="s">
        <v>10</v>
      </c>
      <c r="C773" s="2" t="s">
        <v>27</v>
      </c>
      <c r="D773" s="2" t="s">
        <v>21</v>
      </c>
      <c r="E773" s="2" t="s">
        <v>35</v>
      </c>
      <c r="F773">
        <v>980</v>
      </c>
      <c r="G773">
        <v>268</v>
      </c>
      <c r="H773">
        <v>262640</v>
      </c>
      <c r="I773">
        <v>55161.369899999998</v>
      </c>
      <c r="J773" s="2" t="s">
        <v>44</v>
      </c>
    </row>
    <row r="774" spans="1:10" x14ac:dyDescent="0.35">
      <c r="A774" s="1">
        <v>45171</v>
      </c>
      <c r="B774" s="2" t="s">
        <v>19</v>
      </c>
      <c r="C774" s="2" t="s">
        <v>29</v>
      </c>
      <c r="D774" s="2" t="s">
        <v>30</v>
      </c>
      <c r="E774" s="2" t="s">
        <v>35</v>
      </c>
      <c r="F774">
        <v>166</v>
      </c>
      <c r="G774">
        <v>304</v>
      </c>
      <c r="H774">
        <v>50464</v>
      </c>
      <c r="I774">
        <v>5814.5050000000001</v>
      </c>
      <c r="J774" s="2" t="s">
        <v>44</v>
      </c>
    </row>
    <row r="775" spans="1:10" x14ac:dyDescent="0.35">
      <c r="A775" s="1">
        <v>45172</v>
      </c>
      <c r="B775" s="2" t="s">
        <v>19</v>
      </c>
      <c r="C775" s="2" t="s">
        <v>29</v>
      </c>
      <c r="D775" s="2" t="s">
        <v>17</v>
      </c>
      <c r="E775" s="2" t="s">
        <v>24</v>
      </c>
      <c r="F775">
        <v>328</v>
      </c>
      <c r="G775">
        <v>188</v>
      </c>
      <c r="H775">
        <v>61664</v>
      </c>
      <c r="I775">
        <v>9350.1558000000005</v>
      </c>
      <c r="J775" s="2" t="s">
        <v>44</v>
      </c>
    </row>
    <row r="776" spans="1:10" x14ac:dyDescent="0.35">
      <c r="A776" s="1">
        <v>45172</v>
      </c>
      <c r="B776" s="2" t="s">
        <v>19</v>
      </c>
      <c r="C776" s="2" t="s">
        <v>11</v>
      </c>
      <c r="D776" s="2" t="s">
        <v>21</v>
      </c>
      <c r="E776" s="2" t="s">
        <v>22</v>
      </c>
      <c r="F776">
        <v>937</v>
      </c>
      <c r="G776">
        <v>295</v>
      </c>
      <c r="H776">
        <v>276415</v>
      </c>
      <c r="I776">
        <v>30054.6662</v>
      </c>
      <c r="J776" s="2" t="s">
        <v>44</v>
      </c>
    </row>
    <row r="777" spans="1:10" x14ac:dyDescent="0.35">
      <c r="A777" s="1">
        <v>45172</v>
      </c>
      <c r="B777" s="2" t="s">
        <v>10</v>
      </c>
      <c r="C777" s="2" t="s">
        <v>11</v>
      </c>
      <c r="D777" s="2" t="s">
        <v>21</v>
      </c>
      <c r="E777" s="2" t="s">
        <v>32</v>
      </c>
      <c r="F777">
        <v>264</v>
      </c>
      <c r="G777">
        <v>419</v>
      </c>
      <c r="H777">
        <v>110616</v>
      </c>
      <c r="I777">
        <v>26087.2156</v>
      </c>
      <c r="J777" s="2" t="s">
        <v>44</v>
      </c>
    </row>
    <row r="778" spans="1:10" x14ac:dyDescent="0.35">
      <c r="A778" s="1">
        <v>45173</v>
      </c>
      <c r="B778" s="2" t="s">
        <v>31</v>
      </c>
      <c r="C778" s="2" t="s">
        <v>29</v>
      </c>
      <c r="D778" s="2" t="s">
        <v>12</v>
      </c>
      <c r="E778" s="2" t="s">
        <v>28</v>
      </c>
      <c r="F778">
        <v>948</v>
      </c>
      <c r="G778">
        <v>266</v>
      </c>
      <c r="H778">
        <v>252168</v>
      </c>
      <c r="I778">
        <v>29215.129000000001</v>
      </c>
      <c r="J778" s="2" t="s">
        <v>44</v>
      </c>
    </row>
    <row r="779" spans="1:10" x14ac:dyDescent="0.35">
      <c r="A779" s="1">
        <v>45173</v>
      </c>
      <c r="B779" s="2" t="s">
        <v>10</v>
      </c>
      <c r="C779" s="2" t="s">
        <v>27</v>
      </c>
      <c r="D779" s="2" t="s">
        <v>12</v>
      </c>
      <c r="E779" s="2" t="s">
        <v>32</v>
      </c>
      <c r="F779">
        <v>968</v>
      </c>
      <c r="G779">
        <v>212</v>
      </c>
      <c r="H779">
        <v>205216</v>
      </c>
      <c r="I779">
        <v>17508.235799999999</v>
      </c>
      <c r="J779" s="2" t="s">
        <v>44</v>
      </c>
    </row>
    <row r="780" spans="1:10" x14ac:dyDescent="0.35">
      <c r="A780" s="1">
        <v>45173</v>
      </c>
      <c r="B780" s="2" t="s">
        <v>26</v>
      </c>
      <c r="C780" s="2" t="s">
        <v>23</v>
      </c>
      <c r="D780" s="2" t="s">
        <v>30</v>
      </c>
      <c r="E780" s="2" t="s">
        <v>32</v>
      </c>
      <c r="F780">
        <v>909</v>
      </c>
      <c r="G780">
        <v>408</v>
      </c>
      <c r="H780">
        <v>370872</v>
      </c>
      <c r="I780">
        <v>60566.078399999999</v>
      </c>
      <c r="J780" s="2" t="s">
        <v>44</v>
      </c>
    </row>
    <row r="781" spans="1:10" x14ac:dyDescent="0.35">
      <c r="A781" s="1">
        <v>45173</v>
      </c>
      <c r="B781" s="2" t="s">
        <v>25</v>
      </c>
      <c r="C781" s="2" t="s">
        <v>11</v>
      </c>
      <c r="D781" s="2" t="s">
        <v>17</v>
      </c>
      <c r="E781" s="2" t="s">
        <v>13</v>
      </c>
      <c r="F781">
        <v>467</v>
      </c>
      <c r="G781">
        <v>332</v>
      </c>
      <c r="H781">
        <v>155044</v>
      </c>
      <c r="I781">
        <v>25233.796999999999</v>
      </c>
      <c r="J781" s="2" t="s">
        <v>44</v>
      </c>
    </row>
    <row r="782" spans="1:10" x14ac:dyDescent="0.35">
      <c r="A782" s="1">
        <v>45174</v>
      </c>
      <c r="B782" s="2" t="s">
        <v>15</v>
      </c>
      <c r="C782" s="2" t="s">
        <v>11</v>
      </c>
      <c r="D782" s="2" t="s">
        <v>30</v>
      </c>
      <c r="E782" s="2" t="s">
        <v>32</v>
      </c>
      <c r="F782">
        <v>713</v>
      </c>
      <c r="G782">
        <v>351</v>
      </c>
      <c r="H782">
        <v>250263</v>
      </c>
      <c r="I782">
        <v>48291.019699999997</v>
      </c>
      <c r="J782" s="2" t="s">
        <v>44</v>
      </c>
    </row>
    <row r="783" spans="1:10" x14ac:dyDescent="0.35">
      <c r="A783" s="1">
        <v>45174</v>
      </c>
      <c r="B783" s="2" t="s">
        <v>10</v>
      </c>
      <c r="C783" s="2" t="s">
        <v>29</v>
      </c>
      <c r="D783" s="2" t="s">
        <v>12</v>
      </c>
      <c r="E783" s="2" t="s">
        <v>32</v>
      </c>
      <c r="F783">
        <v>581</v>
      </c>
      <c r="G783">
        <v>227</v>
      </c>
      <c r="H783">
        <v>131887</v>
      </c>
      <c r="I783">
        <v>20103.027300000002</v>
      </c>
      <c r="J783" s="2" t="s">
        <v>44</v>
      </c>
    </row>
    <row r="784" spans="1:10" x14ac:dyDescent="0.35">
      <c r="A784" s="1">
        <v>45175</v>
      </c>
      <c r="B784" s="2" t="s">
        <v>10</v>
      </c>
      <c r="C784" s="2" t="s">
        <v>16</v>
      </c>
      <c r="D784" s="2" t="s">
        <v>17</v>
      </c>
      <c r="E784" s="2" t="s">
        <v>28</v>
      </c>
      <c r="F784">
        <v>104</v>
      </c>
      <c r="G784">
        <v>156</v>
      </c>
      <c r="H784">
        <v>16224</v>
      </c>
      <c r="I784">
        <v>2890.1772999999998</v>
      </c>
      <c r="J784" s="2" t="s">
        <v>44</v>
      </c>
    </row>
    <row r="785" spans="1:10" x14ac:dyDescent="0.35">
      <c r="A785" s="1">
        <v>45175</v>
      </c>
      <c r="B785" s="2" t="s">
        <v>34</v>
      </c>
      <c r="C785" s="2" t="s">
        <v>20</v>
      </c>
      <c r="D785" s="2" t="s">
        <v>30</v>
      </c>
      <c r="E785" s="2" t="s">
        <v>35</v>
      </c>
      <c r="F785">
        <v>389</v>
      </c>
      <c r="G785">
        <v>254</v>
      </c>
      <c r="H785">
        <v>98806</v>
      </c>
      <c r="I785">
        <v>15670.344999999999</v>
      </c>
      <c r="J785" s="2" t="s">
        <v>44</v>
      </c>
    </row>
    <row r="786" spans="1:10" x14ac:dyDescent="0.35">
      <c r="A786" s="1">
        <v>45176</v>
      </c>
      <c r="B786" s="2" t="s">
        <v>36</v>
      </c>
      <c r="C786" s="2" t="s">
        <v>27</v>
      </c>
      <c r="D786" s="2" t="s">
        <v>21</v>
      </c>
      <c r="E786" s="2" t="s">
        <v>28</v>
      </c>
      <c r="F786">
        <v>576</v>
      </c>
      <c r="G786">
        <v>122</v>
      </c>
      <c r="H786">
        <v>70272</v>
      </c>
      <c r="I786">
        <v>17004.051800000001</v>
      </c>
      <c r="J786" s="2" t="s">
        <v>44</v>
      </c>
    </row>
    <row r="787" spans="1:10" x14ac:dyDescent="0.35">
      <c r="A787" s="1">
        <v>45176</v>
      </c>
      <c r="B787" s="2" t="s">
        <v>26</v>
      </c>
      <c r="C787" s="2" t="s">
        <v>11</v>
      </c>
      <c r="D787" s="2" t="s">
        <v>17</v>
      </c>
      <c r="E787" s="2" t="s">
        <v>32</v>
      </c>
      <c r="F787">
        <v>319</v>
      </c>
      <c r="G787">
        <v>297</v>
      </c>
      <c r="H787">
        <v>94743</v>
      </c>
      <c r="I787">
        <v>21927.868900000001</v>
      </c>
      <c r="J787" s="2" t="s">
        <v>44</v>
      </c>
    </row>
    <row r="788" spans="1:10" x14ac:dyDescent="0.35">
      <c r="A788" s="1">
        <v>45176</v>
      </c>
      <c r="B788" s="2" t="s">
        <v>25</v>
      </c>
      <c r="C788" s="2" t="s">
        <v>23</v>
      </c>
      <c r="D788" s="2" t="s">
        <v>30</v>
      </c>
      <c r="E788" s="2" t="s">
        <v>24</v>
      </c>
      <c r="F788">
        <v>201</v>
      </c>
      <c r="G788">
        <v>245</v>
      </c>
      <c r="H788">
        <v>49245</v>
      </c>
      <c r="I788">
        <v>11434.728499999999</v>
      </c>
      <c r="J788" s="2" t="s">
        <v>44</v>
      </c>
    </row>
    <row r="789" spans="1:10" x14ac:dyDescent="0.35">
      <c r="A789" s="1">
        <v>45177</v>
      </c>
      <c r="B789" s="2" t="s">
        <v>25</v>
      </c>
      <c r="C789" s="2" t="s">
        <v>16</v>
      </c>
      <c r="D789" s="2" t="s">
        <v>21</v>
      </c>
      <c r="E789" s="2" t="s">
        <v>18</v>
      </c>
      <c r="F789">
        <v>399</v>
      </c>
      <c r="G789">
        <v>491</v>
      </c>
      <c r="H789">
        <v>195909</v>
      </c>
      <c r="I789">
        <v>47320.3894</v>
      </c>
      <c r="J789" s="2" t="s">
        <v>44</v>
      </c>
    </row>
    <row r="790" spans="1:10" x14ac:dyDescent="0.35">
      <c r="A790" s="1">
        <v>45177</v>
      </c>
      <c r="B790" s="2" t="s">
        <v>31</v>
      </c>
      <c r="C790" s="2" t="s">
        <v>11</v>
      </c>
      <c r="D790" s="2" t="s">
        <v>17</v>
      </c>
      <c r="E790" s="2" t="s">
        <v>32</v>
      </c>
      <c r="F790">
        <v>62</v>
      </c>
      <c r="G790">
        <v>239</v>
      </c>
      <c r="H790">
        <v>14818</v>
      </c>
      <c r="I790">
        <v>3226.2658999999999</v>
      </c>
      <c r="J790" s="2" t="s">
        <v>44</v>
      </c>
    </row>
    <row r="791" spans="1:10" x14ac:dyDescent="0.35">
      <c r="A791" s="1">
        <v>45177</v>
      </c>
      <c r="B791" s="2" t="s">
        <v>31</v>
      </c>
      <c r="C791" s="2" t="s">
        <v>27</v>
      </c>
      <c r="D791" s="2" t="s">
        <v>30</v>
      </c>
      <c r="E791" s="2" t="s">
        <v>24</v>
      </c>
      <c r="F791">
        <v>648</v>
      </c>
      <c r="G791">
        <v>301</v>
      </c>
      <c r="H791">
        <v>195048</v>
      </c>
      <c r="I791">
        <v>36777.737000000001</v>
      </c>
      <c r="J791" s="2" t="s">
        <v>44</v>
      </c>
    </row>
    <row r="792" spans="1:10" x14ac:dyDescent="0.35">
      <c r="A792" s="1">
        <v>45179</v>
      </c>
      <c r="B792" s="2" t="s">
        <v>31</v>
      </c>
      <c r="C792" s="2" t="s">
        <v>27</v>
      </c>
      <c r="D792" s="2" t="s">
        <v>30</v>
      </c>
      <c r="E792" s="2" t="s">
        <v>18</v>
      </c>
      <c r="F792">
        <v>95</v>
      </c>
      <c r="G792">
        <v>468</v>
      </c>
      <c r="H792">
        <v>44460</v>
      </c>
      <c r="I792">
        <v>8103.3190000000004</v>
      </c>
      <c r="J792" s="2" t="s">
        <v>44</v>
      </c>
    </row>
    <row r="793" spans="1:10" x14ac:dyDescent="0.35">
      <c r="A793" s="1">
        <v>45179</v>
      </c>
      <c r="B793" s="2" t="s">
        <v>26</v>
      </c>
      <c r="C793" s="2" t="s">
        <v>23</v>
      </c>
      <c r="D793" s="2" t="s">
        <v>21</v>
      </c>
      <c r="E793" s="2" t="s">
        <v>24</v>
      </c>
      <c r="F793">
        <v>197</v>
      </c>
      <c r="G793">
        <v>402</v>
      </c>
      <c r="H793">
        <v>79194</v>
      </c>
      <c r="I793">
        <v>15732.357599999999</v>
      </c>
      <c r="J793" s="2" t="s">
        <v>44</v>
      </c>
    </row>
    <row r="794" spans="1:10" x14ac:dyDescent="0.35">
      <c r="A794" s="1">
        <v>45179</v>
      </c>
      <c r="B794" s="2" t="s">
        <v>19</v>
      </c>
      <c r="C794" s="2" t="s">
        <v>23</v>
      </c>
      <c r="D794" s="2" t="s">
        <v>21</v>
      </c>
      <c r="E794" s="2" t="s">
        <v>24</v>
      </c>
      <c r="F794">
        <v>536</v>
      </c>
      <c r="G794">
        <v>315</v>
      </c>
      <c r="H794">
        <v>168840</v>
      </c>
      <c r="I794">
        <v>29742.516</v>
      </c>
      <c r="J794" s="2" t="s">
        <v>44</v>
      </c>
    </row>
    <row r="795" spans="1:10" x14ac:dyDescent="0.35">
      <c r="A795" s="1">
        <v>45180</v>
      </c>
      <c r="B795" s="2" t="s">
        <v>36</v>
      </c>
      <c r="C795" s="2" t="s">
        <v>29</v>
      </c>
      <c r="D795" s="2" t="s">
        <v>21</v>
      </c>
      <c r="E795" s="2" t="s">
        <v>33</v>
      </c>
      <c r="F795">
        <v>981</v>
      </c>
      <c r="G795">
        <v>301</v>
      </c>
      <c r="H795">
        <v>295281</v>
      </c>
      <c r="I795">
        <v>39817.6783</v>
      </c>
      <c r="J795" s="2" t="s">
        <v>44</v>
      </c>
    </row>
    <row r="796" spans="1:10" x14ac:dyDescent="0.35">
      <c r="A796" s="1">
        <v>45180</v>
      </c>
      <c r="B796" s="2" t="s">
        <v>10</v>
      </c>
      <c r="C796" s="2" t="s">
        <v>23</v>
      </c>
      <c r="D796" s="2" t="s">
        <v>17</v>
      </c>
      <c r="E796" s="2" t="s">
        <v>22</v>
      </c>
      <c r="F796">
        <v>233</v>
      </c>
      <c r="G796">
        <v>343</v>
      </c>
      <c r="H796">
        <v>79919</v>
      </c>
      <c r="I796">
        <v>14753.480799999999</v>
      </c>
      <c r="J796" s="2" t="s">
        <v>44</v>
      </c>
    </row>
    <row r="797" spans="1:10" x14ac:dyDescent="0.35">
      <c r="A797" s="1">
        <v>45180</v>
      </c>
      <c r="B797" s="2" t="s">
        <v>19</v>
      </c>
      <c r="C797" s="2" t="s">
        <v>16</v>
      </c>
      <c r="D797" s="2" t="s">
        <v>17</v>
      </c>
      <c r="E797" s="2" t="s">
        <v>18</v>
      </c>
      <c r="F797">
        <v>862</v>
      </c>
      <c r="G797">
        <v>272</v>
      </c>
      <c r="H797">
        <v>234464</v>
      </c>
      <c r="I797">
        <v>39417.204599999997</v>
      </c>
      <c r="J797" s="2" t="s">
        <v>44</v>
      </c>
    </row>
    <row r="798" spans="1:10" x14ac:dyDescent="0.35">
      <c r="A798" s="1">
        <v>45180</v>
      </c>
      <c r="B798" s="2" t="s">
        <v>10</v>
      </c>
      <c r="C798" s="2" t="s">
        <v>29</v>
      </c>
      <c r="D798" s="2" t="s">
        <v>17</v>
      </c>
      <c r="E798" s="2" t="s">
        <v>13</v>
      </c>
      <c r="F798">
        <v>246</v>
      </c>
      <c r="G798">
        <v>222</v>
      </c>
      <c r="H798">
        <v>54612</v>
      </c>
      <c r="I798">
        <v>13545.461300000001</v>
      </c>
      <c r="J798" s="2" t="s">
        <v>44</v>
      </c>
    </row>
    <row r="799" spans="1:10" x14ac:dyDescent="0.35">
      <c r="A799" s="1">
        <v>45180</v>
      </c>
      <c r="B799" s="2" t="s">
        <v>36</v>
      </c>
      <c r="C799" s="2" t="s">
        <v>11</v>
      </c>
      <c r="D799" s="2" t="s">
        <v>21</v>
      </c>
      <c r="E799" s="2" t="s">
        <v>35</v>
      </c>
      <c r="F799">
        <v>966</v>
      </c>
      <c r="G799">
        <v>401</v>
      </c>
      <c r="H799">
        <v>387366</v>
      </c>
      <c r="I799">
        <v>40055.172500000001</v>
      </c>
      <c r="J799" s="2" t="s">
        <v>44</v>
      </c>
    </row>
    <row r="800" spans="1:10" x14ac:dyDescent="0.35">
      <c r="A800" s="1">
        <v>45180</v>
      </c>
      <c r="B800" s="2" t="s">
        <v>10</v>
      </c>
      <c r="C800" s="2" t="s">
        <v>29</v>
      </c>
      <c r="D800" s="2" t="s">
        <v>17</v>
      </c>
      <c r="E800" s="2" t="s">
        <v>22</v>
      </c>
      <c r="F800">
        <v>835</v>
      </c>
      <c r="G800">
        <v>339</v>
      </c>
      <c r="H800">
        <v>283065</v>
      </c>
      <c r="I800">
        <v>46416.385900000001</v>
      </c>
      <c r="J800" s="2" t="s">
        <v>44</v>
      </c>
    </row>
    <row r="801" spans="1:10" x14ac:dyDescent="0.35">
      <c r="A801" s="1">
        <v>45182</v>
      </c>
      <c r="B801" s="2" t="s">
        <v>15</v>
      </c>
      <c r="C801" s="2" t="s">
        <v>11</v>
      </c>
      <c r="D801" s="2" t="s">
        <v>12</v>
      </c>
      <c r="E801" s="2" t="s">
        <v>13</v>
      </c>
      <c r="F801">
        <v>989</v>
      </c>
      <c r="G801">
        <v>288</v>
      </c>
      <c r="H801">
        <v>284832</v>
      </c>
      <c r="I801">
        <v>65265.732100000001</v>
      </c>
      <c r="J801" s="2" t="s">
        <v>44</v>
      </c>
    </row>
    <row r="802" spans="1:10" x14ac:dyDescent="0.35">
      <c r="A802" s="1">
        <v>45182</v>
      </c>
      <c r="B802" s="2" t="s">
        <v>34</v>
      </c>
      <c r="C802" s="2" t="s">
        <v>16</v>
      </c>
      <c r="D802" s="2" t="s">
        <v>30</v>
      </c>
      <c r="E802" s="2" t="s">
        <v>24</v>
      </c>
      <c r="F802">
        <v>725</v>
      </c>
      <c r="G802">
        <v>167</v>
      </c>
      <c r="H802">
        <v>121075</v>
      </c>
      <c r="I802">
        <v>17759.546300000002</v>
      </c>
      <c r="J802" s="2" t="s">
        <v>44</v>
      </c>
    </row>
    <row r="803" spans="1:10" x14ac:dyDescent="0.35">
      <c r="A803" s="1">
        <v>45182</v>
      </c>
      <c r="B803" s="2" t="s">
        <v>15</v>
      </c>
      <c r="C803" s="2" t="s">
        <v>11</v>
      </c>
      <c r="D803" s="2" t="s">
        <v>12</v>
      </c>
      <c r="E803" s="2" t="s">
        <v>13</v>
      </c>
      <c r="F803">
        <v>377</v>
      </c>
      <c r="G803">
        <v>112</v>
      </c>
      <c r="H803">
        <v>42224</v>
      </c>
      <c r="I803">
        <v>5630.1644999999999</v>
      </c>
      <c r="J803" s="2" t="s">
        <v>44</v>
      </c>
    </row>
    <row r="804" spans="1:10" x14ac:dyDescent="0.35">
      <c r="A804" s="1">
        <v>45183</v>
      </c>
      <c r="B804" s="2" t="s">
        <v>10</v>
      </c>
      <c r="C804" s="2" t="s">
        <v>23</v>
      </c>
      <c r="D804" s="2" t="s">
        <v>17</v>
      </c>
      <c r="E804" s="2" t="s">
        <v>18</v>
      </c>
      <c r="F804">
        <v>392</v>
      </c>
      <c r="G804">
        <v>196</v>
      </c>
      <c r="H804">
        <v>76832</v>
      </c>
      <c r="I804">
        <v>12214.5728</v>
      </c>
      <c r="J804" s="2" t="s">
        <v>44</v>
      </c>
    </row>
    <row r="805" spans="1:10" x14ac:dyDescent="0.35">
      <c r="A805" s="1">
        <v>45184</v>
      </c>
      <c r="B805" s="2" t="s">
        <v>36</v>
      </c>
      <c r="C805" s="2" t="s">
        <v>27</v>
      </c>
      <c r="D805" s="2" t="s">
        <v>21</v>
      </c>
      <c r="E805" s="2" t="s">
        <v>13</v>
      </c>
      <c r="F805">
        <v>351</v>
      </c>
      <c r="G805">
        <v>202</v>
      </c>
      <c r="H805">
        <v>70902</v>
      </c>
      <c r="I805">
        <v>6251.0263000000004</v>
      </c>
      <c r="J805" s="2" t="s">
        <v>44</v>
      </c>
    </row>
    <row r="806" spans="1:10" x14ac:dyDescent="0.35">
      <c r="A806" s="1">
        <v>45184</v>
      </c>
      <c r="B806" s="2" t="s">
        <v>15</v>
      </c>
      <c r="C806" s="2" t="s">
        <v>20</v>
      </c>
      <c r="D806" s="2" t="s">
        <v>17</v>
      </c>
      <c r="E806" s="2" t="s">
        <v>24</v>
      </c>
      <c r="F806">
        <v>477</v>
      </c>
      <c r="G806">
        <v>176</v>
      </c>
      <c r="H806">
        <v>83952</v>
      </c>
      <c r="I806">
        <v>13474.6445</v>
      </c>
      <c r="J806" s="2" t="s">
        <v>44</v>
      </c>
    </row>
    <row r="807" spans="1:10" x14ac:dyDescent="0.35">
      <c r="A807" s="1">
        <v>45184</v>
      </c>
      <c r="B807" s="2" t="s">
        <v>25</v>
      </c>
      <c r="C807" s="2" t="s">
        <v>11</v>
      </c>
      <c r="D807" s="2" t="s">
        <v>17</v>
      </c>
      <c r="E807" s="2" t="s">
        <v>32</v>
      </c>
      <c r="F807">
        <v>295</v>
      </c>
      <c r="G807">
        <v>218</v>
      </c>
      <c r="H807">
        <v>64310</v>
      </c>
      <c r="I807">
        <v>12688.583199999999</v>
      </c>
      <c r="J807" s="2" t="s">
        <v>44</v>
      </c>
    </row>
    <row r="808" spans="1:10" x14ac:dyDescent="0.35">
      <c r="A808" s="1">
        <v>45185</v>
      </c>
      <c r="B808" s="2" t="s">
        <v>19</v>
      </c>
      <c r="C808" s="2" t="s">
        <v>23</v>
      </c>
      <c r="D808" s="2" t="s">
        <v>12</v>
      </c>
      <c r="E808" s="2" t="s">
        <v>35</v>
      </c>
      <c r="F808">
        <v>351</v>
      </c>
      <c r="G808">
        <v>108</v>
      </c>
      <c r="H808">
        <v>37908</v>
      </c>
      <c r="I808">
        <v>5718.1279999999997</v>
      </c>
      <c r="J808" s="2" t="s">
        <v>44</v>
      </c>
    </row>
    <row r="809" spans="1:10" x14ac:dyDescent="0.35">
      <c r="A809" s="1">
        <v>45185</v>
      </c>
      <c r="B809" s="2" t="s">
        <v>10</v>
      </c>
      <c r="C809" s="2" t="s">
        <v>11</v>
      </c>
      <c r="D809" s="2" t="s">
        <v>30</v>
      </c>
      <c r="E809" s="2" t="s">
        <v>33</v>
      </c>
      <c r="F809">
        <v>283</v>
      </c>
      <c r="G809">
        <v>337</v>
      </c>
      <c r="H809">
        <v>95371</v>
      </c>
      <c r="I809">
        <v>15445.917799999999</v>
      </c>
      <c r="J809" s="2" t="s">
        <v>44</v>
      </c>
    </row>
    <row r="810" spans="1:10" x14ac:dyDescent="0.35">
      <c r="A810" s="1">
        <v>45185</v>
      </c>
      <c r="B810" s="2" t="s">
        <v>19</v>
      </c>
      <c r="C810" s="2" t="s">
        <v>27</v>
      </c>
      <c r="D810" s="2" t="s">
        <v>21</v>
      </c>
      <c r="E810" s="2" t="s">
        <v>13</v>
      </c>
      <c r="F810">
        <v>85</v>
      </c>
      <c r="G810">
        <v>276</v>
      </c>
      <c r="H810">
        <v>23460</v>
      </c>
      <c r="I810">
        <v>5073.116</v>
      </c>
      <c r="J810" s="2" t="s">
        <v>44</v>
      </c>
    </row>
    <row r="811" spans="1:10" x14ac:dyDescent="0.35">
      <c r="A811" s="1">
        <v>45186</v>
      </c>
      <c r="B811" s="2" t="s">
        <v>15</v>
      </c>
      <c r="C811" s="2" t="s">
        <v>29</v>
      </c>
      <c r="D811" s="2" t="s">
        <v>12</v>
      </c>
      <c r="E811" s="2" t="s">
        <v>13</v>
      </c>
      <c r="F811">
        <v>523</v>
      </c>
      <c r="G811">
        <v>433</v>
      </c>
      <c r="H811">
        <v>226459</v>
      </c>
      <c r="I811">
        <v>50568.273999999998</v>
      </c>
      <c r="J811" s="2" t="s">
        <v>44</v>
      </c>
    </row>
    <row r="812" spans="1:10" x14ac:dyDescent="0.35">
      <c r="A812" s="1">
        <v>45186</v>
      </c>
      <c r="B812" s="2" t="s">
        <v>10</v>
      </c>
      <c r="C812" s="2" t="s">
        <v>11</v>
      </c>
      <c r="D812" s="2" t="s">
        <v>12</v>
      </c>
      <c r="E812" s="2" t="s">
        <v>35</v>
      </c>
      <c r="F812">
        <v>666</v>
      </c>
      <c r="G812">
        <v>217</v>
      </c>
      <c r="H812">
        <v>144522</v>
      </c>
      <c r="I812">
        <v>24888.869299999998</v>
      </c>
      <c r="J812" s="2" t="s">
        <v>44</v>
      </c>
    </row>
    <row r="813" spans="1:10" x14ac:dyDescent="0.35">
      <c r="A813" s="1">
        <v>45187</v>
      </c>
      <c r="B813" s="2" t="s">
        <v>26</v>
      </c>
      <c r="C813" s="2" t="s">
        <v>20</v>
      </c>
      <c r="D813" s="2" t="s">
        <v>30</v>
      </c>
      <c r="E813" s="2" t="s">
        <v>22</v>
      </c>
      <c r="F813">
        <v>99</v>
      </c>
      <c r="G813">
        <v>376</v>
      </c>
      <c r="H813">
        <v>37224</v>
      </c>
      <c r="I813">
        <v>3607.3877000000002</v>
      </c>
      <c r="J813" s="2" t="s">
        <v>44</v>
      </c>
    </row>
    <row r="814" spans="1:10" x14ac:dyDescent="0.35">
      <c r="A814" s="1">
        <v>45187</v>
      </c>
      <c r="B814" s="2" t="s">
        <v>26</v>
      </c>
      <c r="C814" s="2" t="s">
        <v>16</v>
      </c>
      <c r="D814" s="2" t="s">
        <v>17</v>
      </c>
      <c r="E814" s="2" t="s">
        <v>32</v>
      </c>
      <c r="F814">
        <v>555</v>
      </c>
      <c r="G814">
        <v>493</v>
      </c>
      <c r="H814">
        <v>273615</v>
      </c>
      <c r="I814">
        <v>32252.959999999999</v>
      </c>
      <c r="J814" s="2" t="s">
        <v>44</v>
      </c>
    </row>
    <row r="815" spans="1:10" x14ac:dyDescent="0.35">
      <c r="A815" s="1">
        <v>45187</v>
      </c>
      <c r="B815" s="2" t="s">
        <v>26</v>
      </c>
      <c r="C815" s="2" t="s">
        <v>27</v>
      </c>
      <c r="D815" s="2" t="s">
        <v>17</v>
      </c>
      <c r="E815" s="2" t="s">
        <v>28</v>
      </c>
      <c r="F815">
        <v>750</v>
      </c>
      <c r="G815">
        <v>443</v>
      </c>
      <c r="H815">
        <v>332250</v>
      </c>
      <c r="I815">
        <v>35230.186600000001</v>
      </c>
      <c r="J815" s="2" t="s">
        <v>44</v>
      </c>
    </row>
    <row r="816" spans="1:10" x14ac:dyDescent="0.35">
      <c r="A816" s="1">
        <v>45187</v>
      </c>
      <c r="B816" s="2" t="s">
        <v>31</v>
      </c>
      <c r="C816" s="2" t="s">
        <v>16</v>
      </c>
      <c r="D816" s="2" t="s">
        <v>17</v>
      </c>
      <c r="E816" s="2" t="s">
        <v>35</v>
      </c>
      <c r="F816">
        <v>601</v>
      </c>
      <c r="G816">
        <v>135</v>
      </c>
      <c r="H816">
        <v>81135</v>
      </c>
      <c r="I816">
        <v>6964.8388999999997</v>
      </c>
      <c r="J816" s="2" t="s">
        <v>44</v>
      </c>
    </row>
    <row r="817" spans="1:10" x14ac:dyDescent="0.35">
      <c r="A817" s="1">
        <v>45187</v>
      </c>
      <c r="B817" s="2" t="s">
        <v>31</v>
      </c>
      <c r="C817" s="2" t="s">
        <v>27</v>
      </c>
      <c r="D817" s="2" t="s">
        <v>21</v>
      </c>
      <c r="E817" s="2" t="s">
        <v>28</v>
      </c>
      <c r="F817">
        <v>612</v>
      </c>
      <c r="G817">
        <v>337</v>
      </c>
      <c r="H817">
        <v>206244</v>
      </c>
      <c r="I817">
        <v>36773.955600000001</v>
      </c>
      <c r="J817" s="2" t="s">
        <v>44</v>
      </c>
    </row>
    <row r="818" spans="1:10" x14ac:dyDescent="0.35">
      <c r="A818" s="1">
        <v>45188</v>
      </c>
      <c r="B818" s="2" t="s">
        <v>36</v>
      </c>
      <c r="C818" s="2" t="s">
        <v>27</v>
      </c>
      <c r="D818" s="2" t="s">
        <v>12</v>
      </c>
      <c r="E818" s="2" t="s">
        <v>13</v>
      </c>
      <c r="F818">
        <v>646</v>
      </c>
      <c r="G818">
        <v>151</v>
      </c>
      <c r="H818">
        <v>97546</v>
      </c>
      <c r="I818">
        <v>15086.3105</v>
      </c>
      <c r="J818" s="2" t="s">
        <v>44</v>
      </c>
    </row>
    <row r="819" spans="1:10" x14ac:dyDescent="0.35">
      <c r="A819" s="1">
        <v>45188</v>
      </c>
      <c r="B819" s="2" t="s">
        <v>15</v>
      </c>
      <c r="C819" s="2" t="s">
        <v>29</v>
      </c>
      <c r="D819" s="2" t="s">
        <v>17</v>
      </c>
      <c r="E819" s="2" t="s">
        <v>32</v>
      </c>
      <c r="F819">
        <v>583</v>
      </c>
      <c r="G819">
        <v>215</v>
      </c>
      <c r="H819">
        <v>125345</v>
      </c>
      <c r="I819">
        <v>26665.941800000001</v>
      </c>
      <c r="J819" s="2" t="s">
        <v>44</v>
      </c>
    </row>
    <row r="820" spans="1:10" x14ac:dyDescent="0.35">
      <c r="A820" s="1">
        <v>45188</v>
      </c>
      <c r="B820" s="2" t="s">
        <v>26</v>
      </c>
      <c r="C820" s="2" t="s">
        <v>16</v>
      </c>
      <c r="D820" s="2" t="s">
        <v>30</v>
      </c>
      <c r="E820" s="2" t="s">
        <v>33</v>
      </c>
      <c r="F820">
        <v>378</v>
      </c>
      <c r="G820">
        <v>147</v>
      </c>
      <c r="H820">
        <v>55566</v>
      </c>
      <c r="I820">
        <v>11240.933300000001</v>
      </c>
      <c r="J820" s="2" t="s">
        <v>44</v>
      </c>
    </row>
    <row r="821" spans="1:10" x14ac:dyDescent="0.35">
      <c r="A821" s="1">
        <v>45188</v>
      </c>
      <c r="B821" s="2" t="s">
        <v>15</v>
      </c>
      <c r="C821" s="2" t="s">
        <v>23</v>
      </c>
      <c r="D821" s="2" t="s">
        <v>21</v>
      </c>
      <c r="E821" s="2" t="s">
        <v>18</v>
      </c>
      <c r="F821">
        <v>882</v>
      </c>
      <c r="G821">
        <v>281</v>
      </c>
      <c r="H821">
        <v>247842</v>
      </c>
      <c r="I821">
        <v>44374.200700000001</v>
      </c>
      <c r="J821" s="2" t="s">
        <v>44</v>
      </c>
    </row>
    <row r="822" spans="1:10" x14ac:dyDescent="0.35">
      <c r="A822" s="1">
        <v>45188</v>
      </c>
      <c r="B822" s="2" t="s">
        <v>19</v>
      </c>
      <c r="C822" s="2" t="s">
        <v>20</v>
      </c>
      <c r="D822" s="2" t="s">
        <v>12</v>
      </c>
      <c r="E822" s="2" t="s">
        <v>24</v>
      </c>
      <c r="F822">
        <v>424</v>
      </c>
      <c r="G822">
        <v>430</v>
      </c>
      <c r="H822">
        <v>182320</v>
      </c>
      <c r="I822">
        <v>42627.089399999997</v>
      </c>
      <c r="J822" s="2" t="s">
        <v>44</v>
      </c>
    </row>
    <row r="823" spans="1:10" x14ac:dyDescent="0.35">
      <c r="A823" s="1">
        <v>45189</v>
      </c>
      <c r="B823" s="2" t="s">
        <v>15</v>
      </c>
      <c r="C823" s="2" t="s">
        <v>16</v>
      </c>
      <c r="D823" s="2" t="s">
        <v>21</v>
      </c>
      <c r="E823" s="2" t="s">
        <v>24</v>
      </c>
      <c r="F823">
        <v>593</v>
      </c>
      <c r="G823">
        <v>469</v>
      </c>
      <c r="H823">
        <v>278117</v>
      </c>
      <c r="I823">
        <v>64748.262199999997</v>
      </c>
      <c r="J823" s="2" t="s">
        <v>44</v>
      </c>
    </row>
    <row r="824" spans="1:10" x14ac:dyDescent="0.35">
      <c r="A824" s="1">
        <v>45189</v>
      </c>
      <c r="B824" s="2" t="s">
        <v>10</v>
      </c>
      <c r="C824" s="2" t="s">
        <v>27</v>
      </c>
      <c r="D824" s="2" t="s">
        <v>12</v>
      </c>
      <c r="E824" s="2" t="s">
        <v>33</v>
      </c>
      <c r="F824">
        <v>988</v>
      </c>
      <c r="G824">
        <v>465</v>
      </c>
      <c r="H824">
        <v>459420</v>
      </c>
      <c r="I824">
        <v>53176.980499999998</v>
      </c>
      <c r="J824" s="2" t="s">
        <v>44</v>
      </c>
    </row>
    <row r="825" spans="1:10" x14ac:dyDescent="0.35">
      <c r="A825" s="1">
        <v>45189</v>
      </c>
      <c r="B825" s="2" t="s">
        <v>19</v>
      </c>
      <c r="C825" s="2" t="s">
        <v>20</v>
      </c>
      <c r="D825" s="2" t="s">
        <v>17</v>
      </c>
      <c r="E825" s="2" t="s">
        <v>35</v>
      </c>
      <c r="F825">
        <v>367</v>
      </c>
      <c r="G825">
        <v>447</v>
      </c>
      <c r="H825">
        <v>164049</v>
      </c>
      <c r="I825">
        <v>40578.892099999997</v>
      </c>
      <c r="J825" s="2" t="s">
        <v>44</v>
      </c>
    </row>
    <row r="826" spans="1:10" x14ac:dyDescent="0.35">
      <c r="A826" s="1">
        <v>45190</v>
      </c>
      <c r="B826" s="2" t="s">
        <v>31</v>
      </c>
      <c r="C826" s="2" t="s">
        <v>20</v>
      </c>
      <c r="D826" s="2" t="s">
        <v>21</v>
      </c>
      <c r="E826" s="2" t="s">
        <v>13</v>
      </c>
      <c r="F826">
        <v>889</v>
      </c>
      <c r="G826">
        <v>242</v>
      </c>
      <c r="H826">
        <v>215138</v>
      </c>
      <c r="I826">
        <v>52134.416599999997</v>
      </c>
      <c r="J826" s="2" t="s">
        <v>44</v>
      </c>
    </row>
    <row r="827" spans="1:10" x14ac:dyDescent="0.35">
      <c r="A827" s="1">
        <v>45190</v>
      </c>
      <c r="B827" s="2" t="s">
        <v>15</v>
      </c>
      <c r="C827" s="2" t="s">
        <v>23</v>
      </c>
      <c r="D827" s="2" t="s">
        <v>30</v>
      </c>
      <c r="E827" s="2" t="s">
        <v>32</v>
      </c>
      <c r="F827">
        <v>797</v>
      </c>
      <c r="G827">
        <v>276</v>
      </c>
      <c r="H827">
        <v>219972</v>
      </c>
      <c r="I827">
        <v>30631.189600000002</v>
      </c>
      <c r="J827" s="2" t="s">
        <v>44</v>
      </c>
    </row>
    <row r="828" spans="1:10" x14ac:dyDescent="0.35">
      <c r="A828" s="1">
        <v>45191</v>
      </c>
      <c r="B828" s="2" t="s">
        <v>26</v>
      </c>
      <c r="C828" s="2" t="s">
        <v>11</v>
      </c>
      <c r="D828" s="2" t="s">
        <v>30</v>
      </c>
      <c r="E828" s="2" t="s">
        <v>33</v>
      </c>
      <c r="F828">
        <v>952</v>
      </c>
      <c r="G828">
        <v>396</v>
      </c>
      <c r="H828">
        <v>376992</v>
      </c>
      <c r="I828">
        <v>44141.897499999999</v>
      </c>
      <c r="J828" s="2" t="s">
        <v>44</v>
      </c>
    </row>
    <row r="829" spans="1:10" x14ac:dyDescent="0.35">
      <c r="A829" s="1">
        <v>45191</v>
      </c>
      <c r="B829" s="2" t="s">
        <v>26</v>
      </c>
      <c r="C829" s="2" t="s">
        <v>20</v>
      </c>
      <c r="D829" s="2" t="s">
        <v>30</v>
      </c>
      <c r="E829" s="2" t="s">
        <v>24</v>
      </c>
      <c r="F829">
        <v>736</v>
      </c>
      <c r="G829">
        <v>430</v>
      </c>
      <c r="H829">
        <v>316480</v>
      </c>
      <c r="I829">
        <v>36081.368799999997</v>
      </c>
      <c r="J829" s="2" t="s">
        <v>44</v>
      </c>
    </row>
    <row r="830" spans="1:10" x14ac:dyDescent="0.35">
      <c r="A830" s="1">
        <v>45191</v>
      </c>
      <c r="B830" s="2" t="s">
        <v>36</v>
      </c>
      <c r="C830" s="2" t="s">
        <v>16</v>
      </c>
      <c r="D830" s="2" t="s">
        <v>12</v>
      </c>
      <c r="E830" s="2" t="s">
        <v>28</v>
      </c>
      <c r="F830">
        <v>567</v>
      </c>
      <c r="G830">
        <v>355</v>
      </c>
      <c r="H830">
        <v>201285</v>
      </c>
      <c r="I830">
        <v>21704.690600000002</v>
      </c>
      <c r="J830" s="2" t="s">
        <v>44</v>
      </c>
    </row>
    <row r="831" spans="1:10" x14ac:dyDescent="0.35">
      <c r="A831" s="1">
        <v>45192</v>
      </c>
      <c r="B831" s="2" t="s">
        <v>26</v>
      </c>
      <c r="C831" s="2" t="s">
        <v>23</v>
      </c>
      <c r="D831" s="2" t="s">
        <v>17</v>
      </c>
      <c r="E831" s="2" t="s">
        <v>22</v>
      </c>
      <c r="F831">
        <v>118</v>
      </c>
      <c r="G831">
        <v>450</v>
      </c>
      <c r="H831">
        <v>53100</v>
      </c>
      <c r="I831">
        <v>12200.874299999999</v>
      </c>
      <c r="J831" s="2" t="s">
        <v>44</v>
      </c>
    </row>
    <row r="832" spans="1:10" x14ac:dyDescent="0.35">
      <c r="A832" s="1">
        <v>45192</v>
      </c>
      <c r="B832" s="2" t="s">
        <v>34</v>
      </c>
      <c r="C832" s="2" t="s">
        <v>29</v>
      </c>
      <c r="D832" s="2" t="s">
        <v>30</v>
      </c>
      <c r="E832" s="2" t="s">
        <v>35</v>
      </c>
      <c r="F832">
        <v>246</v>
      </c>
      <c r="G832">
        <v>253</v>
      </c>
      <c r="H832">
        <v>62238</v>
      </c>
      <c r="I832">
        <v>8823.1695999999993</v>
      </c>
      <c r="J832" s="2" t="s">
        <v>44</v>
      </c>
    </row>
    <row r="833" spans="1:10" x14ac:dyDescent="0.35">
      <c r="A833" s="1">
        <v>45192</v>
      </c>
      <c r="B833" s="2" t="s">
        <v>34</v>
      </c>
      <c r="C833" s="2" t="s">
        <v>11</v>
      </c>
      <c r="D833" s="2" t="s">
        <v>30</v>
      </c>
      <c r="E833" s="2" t="s">
        <v>32</v>
      </c>
      <c r="F833">
        <v>275</v>
      </c>
      <c r="G833">
        <v>164</v>
      </c>
      <c r="H833">
        <v>45100</v>
      </c>
      <c r="I833">
        <v>7069.7412999999997</v>
      </c>
      <c r="J833" s="2" t="s">
        <v>44</v>
      </c>
    </row>
    <row r="834" spans="1:10" x14ac:dyDescent="0.35">
      <c r="A834" s="1">
        <v>45193</v>
      </c>
      <c r="B834" s="2" t="s">
        <v>36</v>
      </c>
      <c r="C834" s="2" t="s">
        <v>16</v>
      </c>
      <c r="D834" s="2" t="s">
        <v>12</v>
      </c>
      <c r="E834" s="2" t="s">
        <v>33</v>
      </c>
      <c r="F834">
        <v>628</v>
      </c>
      <c r="G834">
        <v>252</v>
      </c>
      <c r="H834">
        <v>158256</v>
      </c>
      <c r="I834">
        <v>24629.857400000001</v>
      </c>
      <c r="J834" s="2" t="s">
        <v>44</v>
      </c>
    </row>
    <row r="835" spans="1:10" x14ac:dyDescent="0.35">
      <c r="A835" s="1">
        <v>45193</v>
      </c>
      <c r="B835" s="2" t="s">
        <v>25</v>
      </c>
      <c r="C835" s="2" t="s">
        <v>29</v>
      </c>
      <c r="D835" s="2" t="s">
        <v>21</v>
      </c>
      <c r="E835" s="2" t="s">
        <v>13</v>
      </c>
      <c r="F835">
        <v>790</v>
      </c>
      <c r="G835">
        <v>342</v>
      </c>
      <c r="H835">
        <v>270180</v>
      </c>
      <c r="I835">
        <v>62671.302799999998</v>
      </c>
      <c r="J835" s="2" t="s">
        <v>44</v>
      </c>
    </row>
    <row r="836" spans="1:10" x14ac:dyDescent="0.35">
      <c r="A836" s="1">
        <v>45194</v>
      </c>
      <c r="B836" s="2" t="s">
        <v>26</v>
      </c>
      <c r="C836" s="2" t="s">
        <v>11</v>
      </c>
      <c r="D836" s="2" t="s">
        <v>12</v>
      </c>
      <c r="E836" s="2" t="s">
        <v>24</v>
      </c>
      <c r="F836">
        <v>322</v>
      </c>
      <c r="G836">
        <v>263</v>
      </c>
      <c r="H836">
        <v>84686</v>
      </c>
      <c r="I836">
        <v>10415.314399999999</v>
      </c>
      <c r="J836" s="2" t="s">
        <v>44</v>
      </c>
    </row>
    <row r="837" spans="1:10" x14ac:dyDescent="0.35">
      <c r="A837" s="1">
        <v>45194</v>
      </c>
      <c r="B837" s="2" t="s">
        <v>31</v>
      </c>
      <c r="C837" s="2" t="s">
        <v>23</v>
      </c>
      <c r="D837" s="2" t="s">
        <v>30</v>
      </c>
      <c r="E837" s="2" t="s">
        <v>32</v>
      </c>
      <c r="F837">
        <v>719</v>
      </c>
      <c r="G837">
        <v>239</v>
      </c>
      <c r="H837">
        <v>171841</v>
      </c>
      <c r="I837">
        <v>27836.007699999998</v>
      </c>
      <c r="J837" s="2" t="s">
        <v>44</v>
      </c>
    </row>
    <row r="838" spans="1:10" x14ac:dyDescent="0.35">
      <c r="A838" s="1">
        <v>45194</v>
      </c>
      <c r="B838" s="2" t="s">
        <v>15</v>
      </c>
      <c r="C838" s="2" t="s">
        <v>11</v>
      </c>
      <c r="D838" s="2" t="s">
        <v>12</v>
      </c>
      <c r="E838" s="2" t="s">
        <v>32</v>
      </c>
      <c r="F838">
        <v>343</v>
      </c>
      <c r="G838">
        <v>265</v>
      </c>
      <c r="H838">
        <v>90895</v>
      </c>
      <c r="I838">
        <v>12441.2372</v>
      </c>
      <c r="J838" s="2" t="s">
        <v>44</v>
      </c>
    </row>
    <row r="839" spans="1:10" x14ac:dyDescent="0.35">
      <c r="A839" s="1">
        <v>45194</v>
      </c>
      <c r="B839" s="2" t="s">
        <v>25</v>
      </c>
      <c r="C839" s="2" t="s">
        <v>23</v>
      </c>
      <c r="D839" s="2" t="s">
        <v>30</v>
      </c>
      <c r="E839" s="2" t="s">
        <v>35</v>
      </c>
      <c r="F839">
        <v>559</v>
      </c>
      <c r="G839">
        <v>356</v>
      </c>
      <c r="H839">
        <v>199004</v>
      </c>
      <c r="I839">
        <v>32780.107799999998</v>
      </c>
      <c r="J839" s="2" t="s">
        <v>44</v>
      </c>
    </row>
    <row r="840" spans="1:10" x14ac:dyDescent="0.35">
      <c r="A840" s="1">
        <v>45194</v>
      </c>
      <c r="B840" s="2" t="s">
        <v>10</v>
      </c>
      <c r="C840" s="2" t="s">
        <v>20</v>
      </c>
      <c r="D840" s="2" t="s">
        <v>17</v>
      </c>
      <c r="E840" s="2" t="s">
        <v>24</v>
      </c>
      <c r="F840">
        <v>571</v>
      </c>
      <c r="G840">
        <v>493</v>
      </c>
      <c r="H840">
        <v>281503</v>
      </c>
      <c r="I840">
        <v>44404.290999999997</v>
      </c>
      <c r="J840" s="2" t="s">
        <v>44</v>
      </c>
    </row>
    <row r="841" spans="1:10" x14ac:dyDescent="0.35">
      <c r="A841" s="1">
        <v>45195</v>
      </c>
      <c r="B841" s="2" t="s">
        <v>15</v>
      </c>
      <c r="C841" s="2" t="s">
        <v>27</v>
      </c>
      <c r="D841" s="2" t="s">
        <v>17</v>
      </c>
      <c r="E841" s="2" t="s">
        <v>28</v>
      </c>
      <c r="F841">
        <v>938</v>
      </c>
      <c r="G841">
        <v>401</v>
      </c>
      <c r="H841">
        <v>376138</v>
      </c>
      <c r="I841">
        <v>61110.660799999998</v>
      </c>
      <c r="J841" s="2" t="s">
        <v>44</v>
      </c>
    </row>
    <row r="842" spans="1:10" x14ac:dyDescent="0.35">
      <c r="A842" s="1">
        <v>45195</v>
      </c>
      <c r="B842" s="2" t="s">
        <v>36</v>
      </c>
      <c r="C842" s="2" t="s">
        <v>23</v>
      </c>
      <c r="D842" s="2" t="s">
        <v>21</v>
      </c>
      <c r="E842" s="2" t="s">
        <v>32</v>
      </c>
      <c r="F842">
        <v>640</v>
      </c>
      <c r="G842">
        <v>462</v>
      </c>
      <c r="H842">
        <v>295680</v>
      </c>
      <c r="I842">
        <v>37061.064200000001</v>
      </c>
      <c r="J842" s="2" t="s">
        <v>44</v>
      </c>
    </row>
    <row r="843" spans="1:10" x14ac:dyDescent="0.35">
      <c r="A843" s="1">
        <v>45196</v>
      </c>
      <c r="B843" s="2" t="s">
        <v>19</v>
      </c>
      <c r="C843" s="2" t="s">
        <v>11</v>
      </c>
      <c r="D843" s="2" t="s">
        <v>17</v>
      </c>
      <c r="E843" s="2" t="s">
        <v>33</v>
      </c>
      <c r="F843">
        <v>756</v>
      </c>
      <c r="G843">
        <v>421</v>
      </c>
      <c r="H843">
        <v>318276</v>
      </c>
      <c r="I843">
        <v>49284.818299999999</v>
      </c>
      <c r="J843" s="2" t="s">
        <v>44</v>
      </c>
    </row>
    <row r="844" spans="1:10" x14ac:dyDescent="0.35">
      <c r="A844" s="1">
        <v>45196</v>
      </c>
      <c r="B844" s="2" t="s">
        <v>26</v>
      </c>
      <c r="C844" s="2" t="s">
        <v>11</v>
      </c>
      <c r="D844" s="2" t="s">
        <v>21</v>
      </c>
      <c r="E844" s="2" t="s">
        <v>35</v>
      </c>
      <c r="F844">
        <v>831</v>
      </c>
      <c r="G844">
        <v>276</v>
      </c>
      <c r="H844">
        <v>229356</v>
      </c>
      <c r="I844">
        <v>18393.851900000001</v>
      </c>
      <c r="J844" s="2" t="s">
        <v>44</v>
      </c>
    </row>
    <row r="845" spans="1:10" x14ac:dyDescent="0.35">
      <c r="A845" s="1">
        <v>45196</v>
      </c>
      <c r="B845" s="2" t="s">
        <v>15</v>
      </c>
      <c r="C845" s="2" t="s">
        <v>23</v>
      </c>
      <c r="D845" s="2" t="s">
        <v>30</v>
      </c>
      <c r="E845" s="2" t="s">
        <v>35</v>
      </c>
      <c r="F845">
        <v>346</v>
      </c>
      <c r="G845">
        <v>315</v>
      </c>
      <c r="H845">
        <v>108990</v>
      </c>
      <c r="I845">
        <v>10756.9283</v>
      </c>
      <c r="J845" s="2" t="s">
        <v>44</v>
      </c>
    </row>
    <row r="846" spans="1:10" x14ac:dyDescent="0.35">
      <c r="A846" s="1">
        <v>45196</v>
      </c>
      <c r="B846" s="2" t="s">
        <v>34</v>
      </c>
      <c r="C846" s="2" t="s">
        <v>16</v>
      </c>
      <c r="D846" s="2" t="s">
        <v>21</v>
      </c>
      <c r="E846" s="2" t="s">
        <v>32</v>
      </c>
      <c r="F846">
        <v>281</v>
      </c>
      <c r="G846">
        <v>224</v>
      </c>
      <c r="H846">
        <v>62944</v>
      </c>
      <c r="I846">
        <v>5547.1778999999997</v>
      </c>
      <c r="J846" s="2" t="s">
        <v>44</v>
      </c>
    </row>
    <row r="847" spans="1:10" x14ac:dyDescent="0.35">
      <c r="A847" s="1">
        <v>45196</v>
      </c>
      <c r="B847" s="2" t="s">
        <v>31</v>
      </c>
      <c r="C847" s="2" t="s">
        <v>23</v>
      </c>
      <c r="D847" s="2" t="s">
        <v>30</v>
      </c>
      <c r="E847" s="2" t="s">
        <v>35</v>
      </c>
      <c r="F847">
        <v>578</v>
      </c>
      <c r="G847">
        <v>318</v>
      </c>
      <c r="H847">
        <v>183804</v>
      </c>
      <c r="I847">
        <v>19071.8861</v>
      </c>
      <c r="J847" s="2" t="s">
        <v>44</v>
      </c>
    </row>
    <row r="848" spans="1:10" x14ac:dyDescent="0.35">
      <c r="A848" s="1">
        <v>45197</v>
      </c>
      <c r="B848" s="2" t="s">
        <v>19</v>
      </c>
      <c r="C848" s="2" t="s">
        <v>23</v>
      </c>
      <c r="D848" s="2" t="s">
        <v>12</v>
      </c>
      <c r="E848" s="2" t="s">
        <v>35</v>
      </c>
      <c r="F848">
        <v>744</v>
      </c>
      <c r="G848">
        <v>211</v>
      </c>
      <c r="H848">
        <v>156984</v>
      </c>
      <c r="I848">
        <v>39078.265299999999</v>
      </c>
      <c r="J848" s="2" t="s">
        <v>44</v>
      </c>
    </row>
    <row r="849" spans="1:10" x14ac:dyDescent="0.35">
      <c r="A849" s="1">
        <v>45198</v>
      </c>
      <c r="B849" s="2" t="s">
        <v>26</v>
      </c>
      <c r="C849" s="2" t="s">
        <v>11</v>
      </c>
      <c r="D849" s="2" t="s">
        <v>17</v>
      </c>
      <c r="E849" s="2" t="s">
        <v>18</v>
      </c>
      <c r="F849">
        <v>400</v>
      </c>
      <c r="G849">
        <v>301</v>
      </c>
      <c r="H849">
        <v>120400</v>
      </c>
      <c r="I849">
        <v>15579.575699999999</v>
      </c>
      <c r="J849" s="2" t="s">
        <v>44</v>
      </c>
    </row>
    <row r="850" spans="1:10" x14ac:dyDescent="0.35">
      <c r="A850" s="1">
        <v>45198</v>
      </c>
      <c r="B850" s="2" t="s">
        <v>36</v>
      </c>
      <c r="C850" s="2" t="s">
        <v>29</v>
      </c>
      <c r="D850" s="2" t="s">
        <v>17</v>
      </c>
      <c r="E850" s="2" t="s">
        <v>18</v>
      </c>
      <c r="F850">
        <v>823</v>
      </c>
      <c r="G850">
        <v>371</v>
      </c>
      <c r="H850">
        <v>305333</v>
      </c>
      <c r="I850">
        <v>64295.142</v>
      </c>
      <c r="J850" s="2" t="s">
        <v>44</v>
      </c>
    </row>
    <row r="851" spans="1:10" x14ac:dyDescent="0.35">
      <c r="A851" s="1">
        <v>45198</v>
      </c>
      <c r="B851" s="2" t="s">
        <v>34</v>
      </c>
      <c r="C851" s="2" t="s">
        <v>20</v>
      </c>
      <c r="D851" s="2" t="s">
        <v>17</v>
      </c>
      <c r="E851" s="2" t="s">
        <v>24</v>
      </c>
      <c r="F851">
        <v>879</v>
      </c>
      <c r="G851">
        <v>242</v>
      </c>
      <c r="H851">
        <v>212718</v>
      </c>
      <c r="I851">
        <v>21245.275600000001</v>
      </c>
      <c r="J851" s="2" t="s">
        <v>44</v>
      </c>
    </row>
    <row r="852" spans="1:10" x14ac:dyDescent="0.35">
      <c r="A852" s="1">
        <v>45198</v>
      </c>
      <c r="B852" s="2" t="s">
        <v>15</v>
      </c>
      <c r="C852" s="2" t="s">
        <v>16</v>
      </c>
      <c r="D852" s="2" t="s">
        <v>17</v>
      </c>
      <c r="E852" s="2" t="s">
        <v>24</v>
      </c>
      <c r="F852">
        <v>652</v>
      </c>
      <c r="G852">
        <v>445</v>
      </c>
      <c r="H852">
        <v>290140</v>
      </c>
      <c r="I852">
        <v>58232.853199999998</v>
      </c>
      <c r="J852" s="2" t="s">
        <v>44</v>
      </c>
    </row>
    <row r="853" spans="1:10" x14ac:dyDescent="0.35">
      <c r="A853" s="1">
        <v>45199</v>
      </c>
      <c r="B853" s="2" t="s">
        <v>19</v>
      </c>
      <c r="C853" s="2" t="s">
        <v>29</v>
      </c>
      <c r="D853" s="2" t="s">
        <v>12</v>
      </c>
      <c r="E853" s="2" t="s">
        <v>13</v>
      </c>
      <c r="F853">
        <v>524</v>
      </c>
      <c r="G853">
        <v>226</v>
      </c>
      <c r="H853">
        <v>118424</v>
      </c>
      <c r="I853">
        <v>15708.225200000001</v>
      </c>
      <c r="J853" s="2" t="s">
        <v>44</v>
      </c>
    </row>
    <row r="854" spans="1:10" x14ac:dyDescent="0.35">
      <c r="A854" s="1">
        <v>45199</v>
      </c>
      <c r="B854" s="2" t="s">
        <v>34</v>
      </c>
      <c r="C854" s="2" t="s">
        <v>23</v>
      </c>
      <c r="D854" s="2" t="s">
        <v>12</v>
      </c>
      <c r="E854" s="2" t="s">
        <v>24</v>
      </c>
      <c r="F854">
        <v>807</v>
      </c>
      <c r="G854">
        <v>303</v>
      </c>
      <c r="H854">
        <v>244521</v>
      </c>
      <c r="I854">
        <v>29405.190999999999</v>
      </c>
      <c r="J854" s="2" t="s">
        <v>44</v>
      </c>
    </row>
    <row r="855" spans="1:10" x14ac:dyDescent="0.35">
      <c r="A855" s="1">
        <v>45199</v>
      </c>
      <c r="B855" s="2" t="s">
        <v>36</v>
      </c>
      <c r="C855" s="2" t="s">
        <v>29</v>
      </c>
      <c r="D855" s="2" t="s">
        <v>12</v>
      </c>
      <c r="E855" s="2" t="s">
        <v>24</v>
      </c>
      <c r="F855">
        <v>70</v>
      </c>
      <c r="G855">
        <v>438</v>
      </c>
      <c r="H855">
        <v>30660</v>
      </c>
      <c r="I855">
        <v>5410.1985000000004</v>
      </c>
      <c r="J855" s="2" t="s">
        <v>44</v>
      </c>
    </row>
    <row r="856" spans="1:10" x14ac:dyDescent="0.35">
      <c r="A856" s="1">
        <v>45199</v>
      </c>
      <c r="B856" s="2" t="s">
        <v>31</v>
      </c>
      <c r="C856" s="2" t="s">
        <v>11</v>
      </c>
      <c r="D856" s="2" t="s">
        <v>17</v>
      </c>
      <c r="E856" s="2" t="s">
        <v>13</v>
      </c>
      <c r="F856">
        <v>390</v>
      </c>
      <c r="G856">
        <v>286</v>
      </c>
      <c r="H856">
        <v>111540</v>
      </c>
      <c r="I856">
        <v>20110.237300000001</v>
      </c>
      <c r="J856" s="2" t="s">
        <v>44</v>
      </c>
    </row>
    <row r="857" spans="1:10" x14ac:dyDescent="0.35">
      <c r="A857" s="1">
        <v>45200</v>
      </c>
      <c r="B857" s="2" t="s">
        <v>25</v>
      </c>
      <c r="C857" s="2" t="s">
        <v>29</v>
      </c>
      <c r="D857" s="2" t="s">
        <v>17</v>
      </c>
      <c r="E857" s="2" t="s">
        <v>18</v>
      </c>
      <c r="F857">
        <v>239</v>
      </c>
      <c r="G857">
        <v>327</v>
      </c>
      <c r="H857">
        <v>78153</v>
      </c>
      <c r="I857">
        <v>14352.8729</v>
      </c>
      <c r="J857" s="2" t="s">
        <v>45</v>
      </c>
    </row>
    <row r="858" spans="1:10" x14ac:dyDescent="0.35">
      <c r="A858" s="1">
        <v>45200</v>
      </c>
      <c r="B858" s="2" t="s">
        <v>26</v>
      </c>
      <c r="C858" s="2" t="s">
        <v>16</v>
      </c>
      <c r="D858" s="2" t="s">
        <v>30</v>
      </c>
      <c r="E858" s="2" t="s">
        <v>13</v>
      </c>
      <c r="F858">
        <v>760</v>
      </c>
      <c r="G858">
        <v>419</v>
      </c>
      <c r="H858">
        <v>318440</v>
      </c>
      <c r="I858">
        <v>27000.937999999998</v>
      </c>
      <c r="J858" s="2" t="s">
        <v>45</v>
      </c>
    </row>
    <row r="859" spans="1:10" x14ac:dyDescent="0.35">
      <c r="A859" s="1">
        <v>45200</v>
      </c>
      <c r="B859" s="2" t="s">
        <v>34</v>
      </c>
      <c r="C859" s="2" t="s">
        <v>16</v>
      </c>
      <c r="D859" s="2" t="s">
        <v>12</v>
      </c>
      <c r="E859" s="2" t="s">
        <v>13</v>
      </c>
      <c r="F859">
        <v>679</v>
      </c>
      <c r="G859">
        <v>300</v>
      </c>
      <c r="H859">
        <v>203700</v>
      </c>
      <c r="I859">
        <v>47095.244400000003</v>
      </c>
      <c r="J859" s="2" t="s">
        <v>45</v>
      </c>
    </row>
    <row r="860" spans="1:10" x14ac:dyDescent="0.35">
      <c r="A860" s="1">
        <v>45200</v>
      </c>
      <c r="B860" s="2" t="s">
        <v>10</v>
      </c>
      <c r="C860" s="2" t="s">
        <v>20</v>
      </c>
      <c r="D860" s="2" t="s">
        <v>17</v>
      </c>
      <c r="E860" s="2" t="s">
        <v>24</v>
      </c>
      <c r="F860">
        <v>963</v>
      </c>
      <c r="G860">
        <v>376</v>
      </c>
      <c r="H860">
        <v>362088</v>
      </c>
      <c r="I860">
        <v>57660.400500000003</v>
      </c>
      <c r="J860" s="2" t="s">
        <v>45</v>
      </c>
    </row>
    <row r="861" spans="1:10" x14ac:dyDescent="0.35">
      <c r="A861" s="1">
        <v>45201</v>
      </c>
      <c r="B861" s="2" t="s">
        <v>31</v>
      </c>
      <c r="C861" s="2" t="s">
        <v>11</v>
      </c>
      <c r="D861" s="2" t="s">
        <v>21</v>
      </c>
      <c r="E861" s="2" t="s">
        <v>33</v>
      </c>
      <c r="F861">
        <v>420</v>
      </c>
      <c r="G861">
        <v>381</v>
      </c>
      <c r="H861">
        <v>160020</v>
      </c>
      <c r="I861">
        <v>15027.4727</v>
      </c>
      <c r="J861" s="2" t="s">
        <v>45</v>
      </c>
    </row>
    <row r="862" spans="1:10" x14ac:dyDescent="0.35">
      <c r="A862" s="1">
        <v>45201</v>
      </c>
      <c r="B862" s="2" t="s">
        <v>34</v>
      </c>
      <c r="C862" s="2" t="s">
        <v>20</v>
      </c>
      <c r="D862" s="2" t="s">
        <v>30</v>
      </c>
      <c r="E862" s="2" t="s">
        <v>33</v>
      </c>
      <c r="F862">
        <v>248</v>
      </c>
      <c r="G862">
        <v>317</v>
      </c>
      <c r="H862">
        <v>78616</v>
      </c>
      <c r="I862">
        <v>17516.025000000001</v>
      </c>
      <c r="J862" s="2" t="s">
        <v>45</v>
      </c>
    </row>
    <row r="863" spans="1:10" x14ac:dyDescent="0.35">
      <c r="A863" s="1">
        <v>45202</v>
      </c>
      <c r="B863" s="2" t="s">
        <v>36</v>
      </c>
      <c r="C863" s="2" t="s">
        <v>11</v>
      </c>
      <c r="D863" s="2" t="s">
        <v>17</v>
      </c>
      <c r="E863" s="2" t="s">
        <v>32</v>
      </c>
      <c r="F863">
        <v>874</v>
      </c>
      <c r="G863">
        <v>235</v>
      </c>
      <c r="H863">
        <v>205390</v>
      </c>
      <c r="I863">
        <v>36743.702299999997</v>
      </c>
      <c r="J863" s="2" t="s">
        <v>45</v>
      </c>
    </row>
    <row r="864" spans="1:10" x14ac:dyDescent="0.35">
      <c r="A864" s="1">
        <v>45203</v>
      </c>
      <c r="B864" s="2" t="s">
        <v>36</v>
      </c>
      <c r="C864" s="2" t="s">
        <v>27</v>
      </c>
      <c r="D864" s="2" t="s">
        <v>21</v>
      </c>
      <c r="E864" s="2" t="s">
        <v>35</v>
      </c>
      <c r="F864">
        <v>967</v>
      </c>
      <c r="G864">
        <v>465</v>
      </c>
      <c r="H864">
        <v>449655</v>
      </c>
      <c r="I864">
        <v>101095.1366</v>
      </c>
      <c r="J864" s="2" t="s">
        <v>45</v>
      </c>
    </row>
    <row r="865" spans="1:10" x14ac:dyDescent="0.35">
      <c r="A865" s="1">
        <v>45203</v>
      </c>
      <c r="B865" s="2" t="s">
        <v>15</v>
      </c>
      <c r="C865" s="2" t="s">
        <v>16</v>
      </c>
      <c r="D865" s="2" t="s">
        <v>21</v>
      </c>
      <c r="E865" s="2" t="s">
        <v>32</v>
      </c>
      <c r="F865">
        <v>963</v>
      </c>
      <c r="G865">
        <v>412</v>
      </c>
      <c r="H865">
        <v>396756</v>
      </c>
      <c r="I865">
        <v>39992.519800000002</v>
      </c>
      <c r="J865" s="2" t="s">
        <v>45</v>
      </c>
    </row>
    <row r="866" spans="1:10" x14ac:dyDescent="0.35">
      <c r="A866" s="1">
        <v>45203</v>
      </c>
      <c r="B866" s="2" t="s">
        <v>26</v>
      </c>
      <c r="C866" s="2" t="s">
        <v>11</v>
      </c>
      <c r="D866" s="2" t="s">
        <v>21</v>
      </c>
      <c r="E866" s="2" t="s">
        <v>18</v>
      </c>
      <c r="F866">
        <v>710</v>
      </c>
      <c r="G866">
        <v>315</v>
      </c>
      <c r="H866">
        <v>223650</v>
      </c>
      <c r="I866">
        <v>52015.394099999998</v>
      </c>
      <c r="J866" s="2" t="s">
        <v>45</v>
      </c>
    </row>
    <row r="867" spans="1:10" x14ac:dyDescent="0.35">
      <c r="A867" s="1">
        <v>45203</v>
      </c>
      <c r="B867" s="2" t="s">
        <v>31</v>
      </c>
      <c r="C867" s="2" t="s">
        <v>27</v>
      </c>
      <c r="D867" s="2" t="s">
        <v>21</v>
      </c>
      <c r="E867" s="2" t="s">
        <v>28</v>
      </c>
      <c r="F867">
        <v>953</v>
      </c>
      <c r="G867">
        <v>113</v>
      </c>
      <c r="H867">
        <v>107689</v>
      </c>
      <c r="I867">
        <v>10614.2055</v>
      </c>
      <c r="J867" s="2" t="s">
        <v>45</v>
      </c>
    </row>
    <row r="868" spans="1:10" x14ac:dyDescent="0.35">
      <c r="A868" s="1">
        <v>45203</v>
      </c>
      <c r="B868" s="2" t="s">
        <v>19</v>
      </c>
      <c r="C868" s="2" t="s">
        <v>20</v>
      </c>
      <c r="D868" s="2" t="s">
        <v>17</v>
      </c>
      <c r="E868" s="2" t="s">
        <v>32</v>
      </c>
      <c r="F868">
        <v>654</v>
      </c>
      <c r="G868">
        <v>475</v>
      </c>
      <c r="H868">
        <v>310650</v>
      </c>
      <c r="I868">
        <v>68696.986300000004</v>
      </c>
      <c r="J868" s="2" t="s">
        <v>45</v>
      </c>
    </row>
    <row r="869" spans="1:10" x14ac:dyDescent="0.35">
      <c r="A869" s="1">
        <v>45203</v>
      </c>
      <c r="B869" s="2" t="s">
        <v>10</v>
      </c>
      <c r="C869" s="2" t="s">
        <v>16</v>
      </c>
      <c r="D869" s="2" t="s">
        <v>30</v>
      </c>
      <c r="E869" s="2" t="s">
        <v>33</v>
      </c>
      <c r="F869">
        <v>83</v>
      </c>
      <c r="G869">
        <v>434</v>
      </c>
      <c r="H869">
        <v>36022</v>
      </c>
      <c r="I869">
        <v>5830.8190000000004</v>
      </c>
      <c r="J869" s="2" t="s">
        <v>45</v>
      </c>
    </row>
    <row r="870" spans="1:10" x14ac:dyDescent="0.35">
      <c r="A870" s="1">
        <v>45203</v>
      </c>
      <c r="B870" s="2" t="s">
        <v>15</v>
      </c>
      <c r="C870" s="2" t="s">
        <v>23</v>
      </c>
      <c r="D870" s="2" t="s">
        <v>21</v>
      </c>
      <c r="E870" s="2" t="s">
        <v>28</v>
      </c>
      <c r="F870">
        <v>575</v>
      </c>
      <c r="G870">
        <v>457</v>
      </c>
      <c r="H870">
        <v>262775</v>
      </c>
      <c r="I870">
        <v>52842.8796</v>
      </c>
      <c r="J870" s="2" t="s">
        <v>45</v>
      </c>
    </row>
    <row r="871" spans="1:10" x14ac:dyDescent="0.35">
      <c r="A871" s="1">
        <v>45203</v>
      </c>
      <c r="B871" s="2" t="s">
        <v>36</v>
      </c>
      <c r="C871" s="2" t="s">
        <v>11</v>
      </c>
      <c r="D871" s="2" t="s">
        <v>21</v>
      </c>
      <c r="E871" s="2" t="s">
        <v>28</v>
      </c>
      <c r="F871">
        <v>586</v>
      </c>
      <c r="G871">
        <v>261</v>
      </c>
      <c r="H871">
        <v>152946</v>
      </c>
      <c r="I871">
        <v>37215.7552</v>
      </c>
      <c r="J871" s="2" t="s">
        <v>45</v>
      </c>
    </row>
    <row r="872" spans="1:10" x14ac:dyDescent="0.35">
      <c r="A872" s="1">
        <v>45204</v>
      </c>
      <c r="B872" s="2" t="s">
        <v>25</v>
      </c>
      <c r="C872" s="2" t="s">
        <v>11</v>
      </c>
      <c r="D872" s="2" t="s">
        <v>12</v>
      </c>
      <c r="E872" s="2" t="s">
        <v>33</v>
      </c>
      <c r="F872">
        <v>989</v>
      </c>
      <c r="G872">
        <v>224</v>
      </c>
      <c r="H872">
        <v>221536</v>
      </c>
      <c r="I872">
        <v>37726.680500000002</v>
      </c>
      <c r="J872" s="2" t="s">
        <v>45</v>
      </c>
    </row>
    <row r="873" spans="1:10" x14ac:dyDescent="0.35">
      <c r="A873" s="1">
        <v>45204</v>
      </c>
      <c r="B873" s="2" t="s">
        <v>19</v>
      </c>
      <c r="C873" s="2" t="s">
        <v>29</v>
      </c>
      <c r="D873" s="2" t="s">
        <v>21</v>
      </c>
      <c r="E873" s="2" t="s">
        <v>18</v>
      </c>
      <c r="F873">
        <v>295</v>
      </c>
      <c r="G873">
        <v>269</v>
      </c>
      <c r="H873">
        <v>79355</v>
      </c>
      <c r="I873">
        <v>15303.6513</v>
      </c>
      <c r="J873" s="2" t="s">
        <v>45</v>
      </c>
    </row>
    <row r="874" spans="1:10" x14ac:dyDescent="0.35">
      <c r="A874" s="1">
        <v>45204</v>
      </c>
      <c r="B874" s="2" t="s">
        <v>25</v>
      </c>
      <c r="C874" s="2" t="s">
        <v>23</v>
      </c>
      <c r="D874" s="2" t="s">
        <v>21</v>
      </c>
      <c r="E874" s="2" t="s">
        <v>24</v>
      </c>
      <c r="F874">
        <v>472</v>
      </c>
      <c r="G874">
        <v>181</v>
      </c>
      <c r="H874">
        <v>85432</v>
      </c>
      <c r="I874">
        <v>17710.224300000002</v>
      </c>
      <c r="J874" s="2" t="s">
        <v>45</v>
      </c>
    </row>
    <row r="875" spans="1:10" x14ac:dyDescent="0.35">
      <c r="A875" s="1">
        <v>45205</v>
      </c>
      <c r="B875" s="2" t="s">
        <v>31</v>
      </c>
      <c r="C875" s="2" t="s">
        <v>20</v>
      </c>
      <c r="D875" s="2" t="s">
        <v>12</v>
      </c>
      <c r="E875" s="2" t="s">
        <v>22</v>
      </c>
      <c r="F875">
        <v>733</v>
      </c>
      <c r="G875">
        <v>252</v>
      </c>
      <c r="H875">
        <v>184716</v>
      </c>
      <c r="I875">
        <v>16626.106599999999</v>
      </c>
      <c r="J875" s="2" t="s">
        <v>45</v>
      </c>
    </row>
    <row r="876" spans="1:10" x14ac:dyDescent="0.35">
      <c r="A876" s="1">
        <v>45205</v>
      </c>
      <c r="B876" s="2" t="s">
        <v>10</v>
      </c>
      <c r="C876" s="2" t="s">
        <v>16</v>
      </c>
      <c r="D876" s="2" t="s">
        <v>30</v>
      </c>
      <c r="E876" s="2" t="s">
        <v>32</v>
      </c>
      <c r="F876">
        <v>636</v>
      </c>
      <c r="G876">
        <v>338</v>
      </c>
      <c r="H876">
        <v>214968</v>
      </c>
      <c r="I876">
        <v>40993.519800000002</v>
      </c>
      <c r="J876" s="2" t="s">
        <v>45</v>
      </c>
    </row>
    <row r="877" spans="1:10" x14ac:dyDescent="0.35">
      <c r="A877" s="1">
        <v>45205</v>
      </c>
      <c r="B877" s="2" t="s">
        <v>36</v>
      </c>
      <c r="C877" s="2" t="s">
        <v>16</v>
      </c>
      <c r="D877" s="2" t="s">
        <v>30</v>
      </c>
      <c r="E877" s="2" t="s">
        <v>35</v>
      </c>
      <c r="F877">
        <v>671</v>
      </c>
      <c r="G877">
        <v>375</v>
      </c>
      <c r="H877">
        <v>251625</v>
      </c>
      <c r="I877">
        <v>22264.702600000001</v>
      </c>
      <c r="J877" s="2" t="s">
        <v>45</v>
      </c>
    </row>
    <row r="878" spans="1:10" x14ac:dyDescent="0.35">
      <c r="A878" s="1">
        <v>45206</v>
      </c>
      <c r="B878" s="2" t="s">
        <v>15</v>
      </c>
      <c r="C878" s="2" t="s">
        <v>20</v>
      </c>
      <c r="D878" s="2" t="s">
        <v>17</v>
      </c>
      <c r="E878" s="2" t="s">
        <v>13</v>
      </c>
      <c r="F878">
        <v>668</v>
      </c>
      <c r="G878">
        <v>433</v>
      </c>
      <c r="H878">
        <v>289244</v>
      </c>
      <c r="I878">
        <v>39194.197</v>
      </c>
      <c r="J878" s="2" t="s">
        <v>45</v>
      </c>
    </row>
    <row r="879" spans="1:10" x14ac:dyDescent="0.35">
      <c r="A879" s="1">
        <v>45206</v>
      </c>
      <c r="B879" s="2" t="s">
        <v>25</v>
      </c>
      <c r="C879" s="2" t="s">
        <v>20</v>
      </c>
      <c r="D879" s="2" t="s">
        <v>21</v>
      </c>
      <c r="E879" s="2" t="s">
        <v>33</v>
      </c>
      <c r="F879">
        <v>243</v>
      </c>
      <c r="G879">
        <v>376</v>
      </c>
      <c r="H879">
        <v>91368</v>
      </c>
      <c r="I879">
        <v>18708.162499999999</v>
      </c>
      <c r="J879" s="2" t="s">
        <v>45</v>
      </c>
    </row>
    <row r="880" spans="1:10" x14ac:dyDescent="0.35">
      <c r="A880" s="1">
        <v>45207</v>
      </c>
      <c r="B880" s="2" t="s">
        <v>10</v>
      </c>
      <c r="C880" s="2" t="s">
        <v>29</v>
      </c>
      <c r="D880" s="2" t="s">
        <v>21</v>
      </c>
      <c r="E880" s="2" t="s">
        <v>22</v>
      </c>
      <c r="F880">
        <v>369</v>
      </c>
      <c r="G880">
        <v>442</v>
      </c>
      <c r="H880">
        <v>163098</v>
      </c>
      <c r="I880">
        <v>33676.2454</v>
      </c>
      <c r="J880" s="2" t="s">
        <v>45</v>
      </c>
    </row>
    <row r="881" spans="1:10" x14ac:dyDescent="0.35">
      <c r="A881" s="1">
        <v>45207</v>
      </c>
      <c r="B881" s="2" t="s">
        <v>36</v>
      </c>
      <c r="C881" s="2" t="s">
        <v>29</v>
      </c>
      <c r="D881" s="2" t="s">
        <v>30</v>
      </c>
      <c r="E881" s="2" t="s">
        <v>28</v>
      </c>
      <c r="F881">
        <v>972</v>
      </c>
      <c r="G881">
        <v>459</v>
      </c>
      <c r="H881">
        <v>446148</v>
      </c>
      <c r="I881">
        <v>61242.7065</v>
      </c>
      <c r="J881" s="2" t="s">
        <v>45</v>
      </c>
    </row>
    <row r="882" spans="1:10" x14ac:dyDescent="0.35">
      <c r="A882" s="1">
        <v>45208</v>
      </c>
      <c r="B882" s="2" t="s">
        <v>10</v>
      </c>
      <c r="C882" s="2" t="s">
        <v>16</v>
      </c>
      <c r="D882" s="2" t="s">
        <v>12</v>
      </c>
      <c r="E882" s="2" t="s">
        <v>13</v>
      </c>
      <c r="F882">
        <v>399</v>
      </c>
      <c r="G882">
        <v>257</v>
      </c>
      <c r="H882">
        <v>102543</v>
      </c>
      <c r="I882">
        <v>9299.0725000000002</v>
      </c>
      <c r="J882" s="2" t="s">
        <v>45</v>
      </c>
    </row>
    <row r="883" spans="1:10" x14ac:dyDescent="0.35">
      <c r="A883" s="1">
        <v>45208</v>
      </c>
      <c r="B883" s="2" t="s">
        <v>36</v>
      </c>
      <c r="C883" s="2" t="s">
        <v>27</v>
      </c>
      <c r="D883" s="2" t="s">
        <v>17</v>
      </c>
      <c r="E883" s="2" t="s">
        <v>33</v>
      </c>
      <c r="F883">
        <v>399</v>
      </c>
      <c r="G883">
        <v>241</v>
      </c>
      <c r="H883">
        <v>96159</v>
      </c>
      <c r="I883">
        <v>11740.5291</v>
      </c>
      <c r="J883" s="2" t="s">
        <v>45</v>
      </c>
    </row>
    <row r="884" spans="1:10" x14ac:dyDescent="0.35">
      <c r="A884" s="1">
        <v>45209</v>
      </c>
      <c r="B884" s="2" t="s">
        <v>15</v>
      </c>
      <c r="C884" s="2" t="s">
        <v>11</v>
      </c>
      <c r="D884" s="2" t="s">
        <v>30</v>
      </c>
      <c r="E884" s="2" t="s">
        <v>33</v>
      </c>
      <c r="F884">
        <v>638</v>
      </c>
      <c r="G884">
        <v>280</v>
      </c>
      <c r="H884">
        <v>178640</v>
      </c>
      <c r="I884">
        <v>27991.777399999999</v>
      </c>
      <c r="J884" s="2" t="s">
        <v>45</v>
      </c>
    </row>
    <row r="885" spans="1:10" x14ac:dyDescent="0.35">
      <c r="A885" s="1">
        <v>45209</v>
      </c>
      <c r="B885" s="2" t="s">
        <v>15</v>
      </c>
      <c r="C885" s="2" t="s">
        <v>11</v>
      </c>
      <c r="D885" s="2" t="s">
        <v>30</v>
      </c>
      <c r="E885" s="2" t="s">
        <v>28</v>
      </c>
      <c r="F885">
        <v>204</v>
      </c>
      <c r="G885">
        <v>176</v>
      </c>
      <c r="H885">
        <v>35904</v>
      </c>
      <c r="I885">
        <v>7207.4805999999999</v>
      </c>
      <c r="J885" s="2" t="s">
        <v>45</v>
      </c>
    </row>
    <row r="886" spans="1:10" x14ac:dyDescent="0.35">
      <c r="A886" s="1">
        <v>45209</v>
      </c>
      <c r="B886" s="2" t="s">
        <v>26</v>
      </c>
      <c r="C886" s="2" t="s">
        <v>11</v>
      </c>
      <c r="D886" s="2" t="s">
        <v>21</v>
      </c>
      <c r="E886" s="2" t="s">
        <v>35</v>
      </c>
      <c r="F886">
        <v>813</v>
      </c>
      <c r="G886">
        <v>465</v>
      </c>
      <c r="H886">
        <v>378045</v>
      </c>
      <c r="I886">
        <v>91127.2307</v>
      </c>
      <c r="J886" s="2" t="s">
        <v>45</v>
      </c>
    </row>
    <row r="887" spans="1:10" x14ac:dyDescent="0.35">
      <c r="A887" s="1">
        <v>45209</v>
      </c>
      <c r="B887" s="2" t="s">
        <v>31</v>
      </c>
      <c r="C887" s="2" t="s">
        <v>29</v>
      </c>
      <c r="D887" s="2" t="s">
        <v>21</v>
      </c>
      <c r="E887" s="2" t="s">
        <v>28</v>
      </c>
      <c r="F887">
        <v>424</v>
      </c>
      <c r="G887">
        <v>272</v>
      </c>
      <c r="H887">
        <v>115328</v>
      </c>
      <c r="I887">
        <v>25619.299599999998</v>
      </c>
      <c r="J887" s="2" t="s">
        <v>45</v>
      </c>
    </row>
    <row r="888" spans="1:10" x14ac:dyDescent="0.35">
      <c r="A888" s="1">
        <v>45209</v>
      </c>
      <c r="B888" s="2" t="s">
        <v>26</v>
      </c>
      <c r="C888" s="2" t="s">
        <v>16</v>
      </c>
      <c r="D888" s="2" t="s">
        <v>17</v>
      </c>
      <c r="E888" s="2" t="s">
        <v>13</v>
      </c>
      <c r="F888">
        <v>614</v>
      </c>
      <c r="G888">
        <v>333</v>
      </c>
      <c r="H888">
        <v>204462</v>
      </c>
      <c r="I888">
        <v>36900.090900000003</v>
      </c>
      <c r="J888" s="2" t="s">
        <v>45</v>
      </c>
    </row>
    <row r="889" spans="1:10" x14ac:dyDescent="0.35">
      <c r="A889" s="1">
        <v>45210</v>
      </c>
      <c r="B889" s="2" t="s">
        <v>15</v>
      </c>
      <c r="C889" s="2" t="s">
        <v>16</v>
      </c>
      <c r="D889" s="2" t="s">
        <v>17</v>
      </c>
      <c r="E889" s="2" t="s">
        <v>24</v>
      </c>
      <c r="F889">
        <v>797</v>
      </c>
      <c r="G889">
        <v>232</v>
      </c>
      <c r="H889">
        <v>184904</v>
      </c>
      <c r="I889">
        <v>21119.899300000001</v>
      </c>
      <c r="J889" s="2" t="s">
        <v>45</v>
      </c>
    </row>
    <row r="890" spans="1:10" x14ac:dyDescent="0.35">
      <c r="A890" s="1">
        <v>45210</v>
      </c>
      <c r="B890" s="2" t="s">
        <v>34</v>
      </c>
      <c r="C890" s="2" t="s">
        <v>11</v>
      </c>
      <c r="D890" s="2" t="s">
        <v>12</v>
      </c>
      <c r="E890" s="2" t="s">
        <v>28</v>
      </c>
      <c r="F890">
        <v>386</v>
      </c>
      <c r="G890">
        <v>236</v>
      </c>
      <c r="H890">
        <v>91096</v>
      </c>
      <c r="I890">
        <v>22410.182799999999</v>
      </c>
      <c r="J890" s="2" t="s">
        <v>45</v>
      </c>
    </row>
    <row r="891" spans="1:10" x14ac:dyDescent="0.35">
      <c r="A891" s="1">
        <v>45210</v>
      </c>
      <c r="B891" s="2" t="s">
        <v>15</v>
      </c>
      <c r="C891" s="2" t="s">
        <v>29</v>
      </c>
      <c r="D891" s="2" t="s">
        <v>30</v>
      </c>
      <c r="E891" s="2" t="s">
        <v>24</v>
      </c>
      <c r="F891">
        <v>184</v>
      </c>
      <c r="G891">
        <v>249</v>
      </c>
      <c r="H891">
        <v>45816</v>
      </c>
      <c r="I891">
        <v>6537.2959000000001</v>
      </c>
      <c r="J891" s="2" t="s">
        <v>45</v>
      </c>
    </row>
    <row r="892" spans="1:10" x14ac:dyDescent="0.35">
      <c r="A892" s="1">
        <v>45211</v>
      </c>
      <c r="B892" s="2" t="s">
        <v>36</v>
      </c>
      <c r="C892" s="2" t="s">
        <v>23</v>
      </c>
      <c r="D892" s="2" t="s">
        <v>21</v>
      </c>
      <c r="E892" s="2" t="s">
        <v>28</v>
      </c>
      <c r="F892">
        <v>198</v>
      </c>
      <c r="G892">
        <v>253</v>
      </c>
      <c r="H892">
        <v>50094</v>
      </c>
      <c r="I892">
        <v>4712.0623999999998</v>
      </c>
      <c r="J892" s="2" t="s">
        <v>45</v>
      </c>
    </row>
    <row r="893" spans="1:10" x14ac:dyDescent="0.35">
      <c r="A893" s="1">
        <v>45211</v>
      </c>
      <c r="B893" s="2" t="s">
        <v>25</v>
      </c>
      <c r="C893" s="2" t="s">
        <v>11</v>
      </c>
      <c r="D893" s="2" t="s">
        <v>12</v>
      </c>
      <c r="E893" s="2" t="s">
        <v>22</v>
      </c>
      <c r="F893">
        <v>166</v>
      </c>
      <c r="G893">
        <v>221</v>
      </c>
      <c r="H893">
        <v>36686</v>
      </c>
      <c r="I893">
        <v>6580.1315999999997</v>
      </c>
      <c r="J893" s="2" t="s">
        <v>45</v>
      </c>
    </row>
    <row r="894" spans="1:10" x14ac:dyDescent="0.35">
      <c r="A894" s="1">
        <v>45211</v>
      </c>
      <c r="B894" s="2" t="s">
        <v>19</v>
      </c>
      <c r="C894" s="2" t="s">
        <v>16</v>
      </c>
      <c r="D894" s="2" t="s">
        <v>17</v>
      </c>
      <c r="E894" s="2" t="s">
        <v>35</v>
      </c>
      <c r="F894">
        <v>776</v>
      </c>
      <c r="G894">
        <v>245</v>
      </c>
      <c r="H894">
        <v>190120</v>
      </c>
      <c r="I894">
        <v>33375.736499999999</v>
      </c>
      <c r="J894" s="2" t="s">
        <v>45</v>
      </c>
    </row>
    <row r="895" spans="1:10" x14ac:dyDescent="0.35">
      <c r="A895" s="1">
        <v>45211</v>
      </c>
      <c r="B895" s="2" t="s">
        <v>19</v>
      </c>
      <c r="C895" s="2" t="s">
        <v>20</v>
      </c>
      <c r="D895" s="2" t="s">
        <v>12</v>
      </c>
      <c r="E895" s="2" t="s">
        <v>22</v>
      </c>
      <c r="F895">
        <v>826</v>
      </c>
      <c r="G895">
        <v>349</v>
      </c>
      <c r="H895">
        <v>288274</v>
      </c>
      <c r="I895">
        <v>57723.990100000003</v>
      </c>
      <c r="J895" s="2" t="s">
        <v>45</v>
      </c>
    </row>
    <row r="896" spans="1:10" x14ac:dyDescent="0.35">
      <c r="A896" s="1">
        <v>45212</v>
      </c>
      <c r="B896" s="2" t="s">
        <v>25</v>
      </c>
      <c r="C896" s="2" t="s">
        <v>23</v>
      </c>
      <c r="D896" s="2" t="s">
        <v>12</v>
      </c>
      <c r="E896" s="2" t="s">
        <v>13</v>
      </c>
      <c r="F896">
        <v>75</v>
      </c>
      <c r="G896">
        <v>411</v>
      </c>
      <c r="H896">
        <v>30825</v>
      </c>
      <c r="I896">
        <v>2606.7109999999998</v>
      </c>
      <c r="J896" s="2" t="s">
        <v>45</v>
      </c>
    </row>
    <row r="897" spans="1:10" x14ac:dyDescent="0.35">
      <c r="A897" s="1">
        <v>45212</v>
      </c>
      <c r="B897" s="2" t="s">
        <v>34</v>
      </c>
      <c r="C897" s="2" t="s">
        <v>27</v>
      </c>
      <c r="D897" s="2" t="s">
        <v>12</v>
      </c>
      <c r="E897" s="2" t="s">
        <v>35</v>
      </c>
      <c r="F897">
        <v>733</v>
      </c>
      <c r="G897">
        <v>219</v>
      </c>
      <c r="H897">
        <v>160527</v>
      </c>
      <c r="I897">
        <v>39996.631699999998</v>
      </c>
      <c r="J897" s="2" t="s">
        <v>45</v>
      </c>
    </row>
    <row r="898" spans="1:10" x14ac:dyDescent="0.35">
      <c r="A898" s="1">
        <v>45212</v>
      </c>
      <c r="B898" s="2" t="s">
        <v>31</v>
      </c>
      <c r="C898" s="2" t="s">
        <v>27</v>
      </c>
      <c r="D898" s="2" t="s">
        <v>30</v>
      </c>
      <c r="E898" s="2" t="s">
        <v>33</v>
      </c>
      <c r="F898">
        <v>850</v>
      </c>
      <c r="G898">
        <v>347</v>
      </c>
      <c r="H898">
        <v>294950</v>
      </c>
      <c r="I898">
        <v>61539.693299999999</v>
      </c>
      <c r="J898" s="2" t="s">
        <v>45</v>
      </c>
    </row>
    <row r="899" spans="1:10" x14ac:dyDescent="0.35">
      <c r="A899" s="1">
        <v>45213</v>
      </c>
      <c r="B899" s="2" t="s">
        <v>10</v>
      </c>
      <c r="C899" s="2" t="s">
        <v>29</v>
      </c>
      <c r="D899" s="2" t="s">
        <v>30</v>
      </c>
      <c r="E899" s="2" t="s">
        <v>32</v>
      </c>
      <c r="F899">
        <v>868</v>
      </c>
      <c r="G899">
        <v>258</v>
      </c>
      <c r="H899">
        <v>223944</v>
      </c>
      <c r="I899">
        <v>31391.394400000001</v>
      </c>
      <c r="J899" s="2" t="s">
        <v>45</v>
      </c>
    </row>
    <row r="900" spans="1:10" x14ac:dyDescent="0.35">
      <c r="A900" s="1">
        <v>45213</v>
      </c>
      <c r="B900" s="2" t="s">
        <v>10</v>
      </c>
      <c r="C900" s="2" t="s">
        <v>29</v>
      </c>
      <c r="D900" s="2" t="s">
        <v>17</v>
      </c>
      <c r="E900" s="2" t="s">
        <v>24</v>
      </c>
      <c r="F900">
        <v>520</v>
      </c>
      <c r="G900">
        <v>466</v>
      </c>
      <c r="H900">
        <v>242320</v>
      </c>
      <c r="I900">
        <v>34074.513700000003</v>
      </c>
      <c r="J900" s="2" t="s">
        <v>45</v>
      </c>
    </row>
    <row r="901" spans="1:10" x14ac:dyDescent="0.35">
      <c r="A901" s="1">
        <v>45213</v>
      </c>
      <c r="B901" s="2" t="s">
        <v>36</v>
      </c>
      <c r="C901" s="2" t="s">
        <v>29</v>
      </c>
      <c r="D901" s="2" t="s">
        <v>21</v>
      </c>
      <c r="E901" s="2" t="s">
        <v>13</v>
      </c>
      <c r="F901">
        <v>628</v>
      </c>
      <c r="G901">
        <v>481</v>
      </c>
      <c r="H901">
        <v>302068</v>
      </c>
      <c r="I901">
        <v>65790.364700000006</v>
      </c>
      <c r="J901" s="2" t="s">
        <v>45</v>
      </c>
    </row>
    <row r="902" spans="1:10" x14ac:dyDescent="0.35">
      <c r="A902" s="1">
        <v>45213</v>
      </c>
      <c r="B902" s="2" t="s">
        <v>10</v>
      </c>
      <c r="C902" s="2" t="s">
        <v>16</v>
      </c>
      <c r="D902" s="2" t="s">
        <v>12</v>
      </c>
      <c r="E902" s="2" t="s">
        <v>28</v>
      </c>
      <c r="F902">
        <v>643</v>
      </c>
      <c r="G902">
        <v>148</v>
      </c>
      <c r="H902">
        <v>95164</v>
      </c>
      <c r="I902">
        <v>15819.928099999999</v>
      </c>
      <c r="J902" s="2" t="s">
        <v>45</v>
      </c>
    </row>
    <row r="903" spans="1:10" x14ac:dyDescent="0.35">
      <c r="A903" s="1">
        <v>45214</v>
      </c>
      <c r="B903" s="2" t="s">
        <v>31</v>
      </c>
      <c r="C903" s="2" t="s">
        <v>11</v>
      </c>
      <c r="D903" s="2" t="s">
        <v>12</v>
      </c>
      <c r="E903" s="2" t="s">
        <v>28</v>
      </c>
      <c r="F903">
        <v>278</v>
      </c>
      <c r="G903">
        <v>326</v>
      </c>
      <c r="H903">
        <v>90628</v>
      </c>
      <c r="I903">
        <v>12940.882</v>
      </c>
      <c r="J903" s="2" t="s">
        <v>45</v>
      </c>
    </row>
    <row r="904" spans="1:10" x14ac:dyDescent="0.35">
      <c r="A904" s="1">
        <v>45214</v>
      </c>
      <c r="B904" s="2" t="s">
        <v>36</v>
      </c>
      <c r="C904" s="2" t="s">
        <v>27</v>
      </c>
      <c r="D904" s="2" t="s">
        <v>30</v>
      </c>
      <c r="E904" s="2" t="s">
        <v>33</v>
      </c>
      <c r="F904">
        <v>892</v>
      </c>
      <c r="G904">
        <v>195</v>
      </c>
      <c r="H904">
        <v>173940</v>
      </c>
      <c r="I904">
        <v>31890.946</v>
      </c>
      <c r="J904" s="2" t="s">
        <v>45</v>
      </c>
    </row>
    <row r="905" spans="1:10" x14ac:dyDescent="0.35">
      <c r="A905" s="1">
        <v>45215</v>
      </c>
      <c r="B905" s="2" t="s">
        <v>34</v>
      </c>
      <c r="C905" s="2" t="s">
        <v>29</v>
      </c>
      <c r="D905" s="2" t="s">
        <v>17</v>
      </c>
      <c r="E905" s="2" t="s">
        <v>33</v>
      </c>
      <c r="F905">
        <v>936</v>
      </c>
      <c r="G905">
        <v>470</v>
      </c>
      <c r="H905">
        <v>439920</v>
      </c>
      <c r="I905">
        <v>73602.205000000002</v>
      </c>
      <c r="J905" s="2" t="s">
        <v>45</v>
      </c>
    </row>
    <row r="906" spans="1:10" x14ac:dyDescent="0.35">
      <c r="A906" s="1">
        <v>45215</v>
      </c>
      <c r="B906" s="2" t="s">
        <v>19</v>
      </c>
      <c r="C906" s="2" t="s">
        <v>27</v>
      </c>
      <c r="D906" s="2" t="s">
        <v>17</v>
      </c>
      <c r="E906" s="2" t="s">
        <v>24</v>
      </c>
      <c r="F906">
        <v>191</v>
      </c>
      <c r="G906">
        <v>478</v>
      </c>
      <c r="H906">
        <v>91298</v>
      </c>
      <c r="I906">
        <v>10586.3159</v>
      </c>
      <c r="J906" s="2" t="s">
        <v>45</v>
      </c>
    </row>
    <row r="907" spans="1:10" x14ac:dyDescent="0.35">
      <c r="A907" s="1">
        <v>45215</v>
      </c>
      <c r="B907" s="2" t="s">
        <v>10</v>
      </c>
      <c r="C907" s="2" t="s">
        <v>16</v>
      </c>
      <c r="D907" s="2" t="s">
        <v>30</v>
      </c>
      <c r="E907" s="2" t="s">
        <v>18</v>
      </c>
      <c r="F907">
        <v>905</v>
      </c>
      <c r="G907">
        <v>266</v>
      </c>
      <c r="H907">
        <v>240730</v>
      </c>
      <c r="I907">
        <v>25194.165400000002</v>
      </c>
      <c r="J907" s="2" t="s">
        <v>45</v>
      </c>
    </row>
    <row r="908" spans="1:10" x14ac:dyDescent="0.35">
      <c r="A908" s="1">
        <v>45215</v>
      </c>
      <c r="B908" s="2" t="s">
        <v>34</v>
      </c>
      <c r="C908" s="2" t="s">
        <v>11</v>
      </c>
      <c r="D908" s="2" t="s">
        <v>30</v>
      </c>
      <c r="E908" s="2" t="s">
        <v>32</v>
      </c>
      <c r="F908">
        <v>418</v>
      </c>
      <c r="G908">
        <v>410</v>
      </c>
      <c r="H908">
        <v>171380</v>
      </c>
      <c r="I908">
        <v>38606.064100000003</v>
      </c>
      <c r="J908" s="2" t="s">
        <v>45</v>
      </c>
    </row>
    <row r="909" spans="1:10" x14ac:dyDescent="0.35">
      <c r="A909" s="1">
        <v>45215</v>
      </c>
      <c r="B909" s="2" t="s">
        <v>36</v>
      </c>
      <c r="C909" s="2" t="s">
        <v>20</v>
      </c>
      <c r="D909" s="2" t="s">
        <v>12</v>
      </c>
      <c r="E909" s="2" t="s">
        <v>18</v>
      </c>
      <c r="F909">
        <v>123</v>
      </c>
      <c r="G909">
        <v>242</v>
      </c>
      <c r="H909">
        <v>29766</v>
      </c>
      <c r="I909">
        <v>4807.6395000000002</v>
      </c>
      <c r="J909" s="2" t="s">
        <v>45</v>
      </c>
    </row>
    <row r="910" spans="1:10" x14ac:dyDescent="0.35">
      <c r="A910" s="1">
        <v>45215</v>
      </c>
      <c r="B910" s="2" t="s">
        <v>26</v>
      </c>
      <c r="C910" s="2" t="s">
        <v>23</v>
      </c>
      <c r="D910" s="2" t="s">
        <v>21</v>
      </c>
      <c r="E910" s="2" t="s">
        <v>35</v>
      </c>
      <c r="F910">
        <v>332</v>
      </c>
      <c r="G910">
        <v>315</v>
      </c>
      <c r="H910">
        <v>104580</v>
      </c>
      <c r="I910">
        <v>14488.841200000001</v>
      </c>
      <c r="J910" s="2" t="s">
        <v>45</v>
      </c>
    </row>
    <row r="911" spans="1:10" x14ac:dyDescent="0.35">
      <c r="A911" s="1">
        <v>45216</v>
      </c>
      <c r="B911" s="2" t="s">
        <v>26</v>
      </c>
      <c r="C911" s="2" t="s">
        <v>27</v>
      </c>
      <c r="D911" s="2" t="s">
        <v>17</v>
      </c>
      <c r="E911" s="2" t="s">
        <v>32</v>
      </c>
      <c r="F911">
        <v>812</v>
      </c>
      <c r="G911">
        <v>147</v>
      </c>
      <c r="H911">
        <v>119364</v>
      </c>
      <c r="I911">
        <v>19297.290199999999</v>
      </c>
      <c r="J911" s="2" t="s">
        <v>45</v>
      </c>
    </row>
    <row r="912" spans="1:10" x14ac:dyDescent="0.35">
      <c r="A912" s="1">
        <v>45217</v>
      </c>
      <c r="B912" s="2" t="s">
        <v>15</v>
      </c>
      <c r="C912" s="2" t="s">
        <v>16</v>
      </c>
      <c r="D912" s="2" t="s">
        <v>17</v>
      </c>
      <c r="E912" s="2" t="s">
        <v>33</v>
      </c>
      <c r="F912">
        <v>525</v>
      </c>
      <c r="G912">
        <v>287</v>
      </c>
      <c r="H912">
        <v>150675</v>
      </c>
      <c r="I912">
        <v>30608.916799999999</v>
      </c>
      <c r="J912" s="2" t="s">
        <v>45</v>
      </c>
    </row>
    <row r="913" spans="1:10" x14ac:dyDescent="0.35">
      <c r="A913" s="1">
        <v>45217</v>
      </c>
      <c r="B913" s="2" t="s">
        <v>34</v>
      </c>
      <c r="C913" s="2" t="s">
        <v>16</v>
      </c>
      <c r="D913" s="2" t="s">
        <v>17</v>
      </c>
      <c r="E913" s="2" t="s">
        <v>18</v>
      </c>
      <c r="F913">
        <v>465</v>
      </c>
      <c r="G913">
        <v>188</v>
      </c>
      <c r="H913">
        <v>87420</v>
      </c>
      <c r="I913">
        <v>9227.4400999999998</v>
      </c>
      <c r="J913" s="2" t="s">
        <v>45</v>
      </c>
    </row>
    <row r="914" spans="1:10" x14ac:dyDescent="0.35">
      <c r="A914" s="1">
        <v>45218</v>
      </c>
      <c r="B914" s="2" t="s">
        <v>19</v>
      </c>
      <c r="C914" s="2" t="s">
        <v>11</v>
      </c>
      <c r="D914" s="2" t="s">
        <v>21</v>
      </c>
      <c r="E914" s="2" t="s">
        <v>22</v>
      </c>
      <c r="F914">
        <v>273</v>
      </c>
      <c r="G914">
        <v>145</v>
      </c>
      <c r="H914">
        <v>39585</v>
      </c>
      <c r="I914">
        <v>3929.4760999999999</v>
      </c>
      <c r="J914" s="2" t="s">
        <v>45</v>
      </c>
    </row>
    <row r="915" spans="1:10" x14ac:dyDescent="0.35">
      <c r="A915" s="1">
        <v>45219</v>
      </c>
      <c r="B915" s="2" t="s">
        <v>19</v>
      </c>
      <c r="C915" s="2" t="s">
        <v>27</v>
      </c>
      <c r="D915" s="2" t="s">
        <v>17</v>
      </c>
      <c r="E915" s="2" t="s">
        <v>13</v>
      </c>
      <c r="F915">
        <v>206</v>
      </c>
      <c r="G915">
        <v>171</v>
      </c>
      <c r="H915">
        <v>35226</v>
      </c>
      <c r="I915">
        <v>2890.6338999999998</v>
      </c>
      <c r="J915" s="2" t="s">
        <v>45</v>
      </c>
    </row>
    <row r="916" spans="1:10" x14ac:dyDescent="0.35">
      <c r="A916" s="1">
        <v>45219</v>
      </c>
      <c r="B916" s="2" t="s">
        <v>31</v>
      </c>
      <c r="C916" s="2" t="s">
        <v>29</v>
      </c>
      <c r="D916" s="2" t="s">
        <v>12</v>
      </c>
      <c r="E916" s="2" t="s">
        <v>18</v>
      </c>
      <c r="F916">
        <v>960</v>
      </c>
      <c r="G916">
        <v>122</v>
      </c>
      <c r="H916">
        <v>117120</v>
      </c>
      <c r="I916">
        <v>16950.6499</v>
      </c>
      <c r="J916" s="2" t="s">
        <v>45</v>
      </c>
    </row>
    <row r="917" spans="1:10" x14ac:dyDescent="0.35">
      <c r="A917" s="1">
        <v>45220</v>
      </c>
      <c r="B917" s="2" t="s">
        <v>36</v>
      </c>
      <c r="C917" s="2" t="s">
        <v>11</v>
      </c>
      <c r="D917" s="2" t="s">
        <v>30</v>
      </c>
      <c r="E917" s="2" t="s">
        <v>13</v>
      </c>
      <c r="F917">
        <v>277</v>
      </c>
      <c r="G917">
        <v>235</v>
      </c>
      <c r="H917">
        <v>65095</v>
      </c>
      <c r="I917">
        <v>8695.7595000000001</v>
      </c>
      <c r="J917" s="2" t="s">
        <v>45</v>
      </c>
    </row>
    <row r="918" spans="1:10" x14ac:dyDescent="0.35">
      <c r="A918" s="1">
        <v>45220</v>
      </c>
      <c r="B918" s="2" t="s">
        <v>10</v>
      </c>
      <c r="C918" s="2" t="s">
        <v>11</v>
      </c>
      <c r="D918" s="2" t="s">
        <v>17</v>
      </c>
      <c r="E918" s="2" t="s">
        <v>22</v>
      </c>
      <c r="F918">
        <v>965</v>
      </c>
      <c r="G918">
        <v>166</v>
      </c>
      <c r="H918">
        <v>160190</v>
      </c>
      <c r="I918">
        <v>13128.1664</v>
      </c>
      <c r="J918" s="2" t="s">
        <v>45</v>
      </c>
    </row>
    <row r="919" spans="1:10" x14ac:dyDescent="0.35">
      <c r="A919" s="1">
        <v>45221</v>
      </c>
      <c r="B919" s="2" t="s">
        <v>25</v>
      </c>
      <c r="C919" s="2" t="s">
        <v>11</v>
      </c>
      <c r="D919" s="2" t="s">
        <v>12</v>
      </c>
      <c r="E919" s="2" t="s">
        <v>28</v>
      </c>
      <c r="F919">
        <v>886</v>
      </c>
      <c r="G919">
        <v>283</v>
      </c>
      <c r="H919">
        <v>250738</v>
      </c>
      <c r="I919">
        <v>25895.298900000002</v>
      </c>
      <c r="J919" s="2" t="s">
        <v>45</v>
      </c>
    </row>
    <row r="920" spans="1:10" x14ac:dyDescent="0.35">
      <c r="A920" s="1">
        <v>45221</v>
      </c>
      <c r="B920" s="2" t="s">
        <v>19</v>
      </c>
      <c r="C920" s="2" t="s">
        <v>11</v>
      </c>
      <c r="D920" s="2" t="s">
        <v>17</v>
      </c>
      <c r="E920" s="2" t="s">
        <v>24</v>
      </c>
      <c r="F920">
        <v>853</v>
      </c>
      <c r="G920">
        <v>233</v>
      </c>
      <c r="H920">
        <v>198749</v>
      </c>
      <c r="I920">
        <v>48400.789199999999</v>
      </c>
      <c r="J920" s="2" t="s">
        <v>45</v>
      </c>
    </row>
    <row r="921" spans="1:10" x14ac:dyDescent="0.35">
      <c r="A921" s="1">
        <v>45221</v>
      </c>
      <c r="B921" s="2" t="s">
        <v>25</v>
      </c>
      <c r="C921" s="2" t="s">
        <v>11</v>
      </c>
      <c r="D921" s="2" t="s">
        <v>12</v>
      </c>
      <c r="E921" s="2" t="s">
        <v>24</v>
      </c>
      <c r="F921">
        <v>379</v>
      </c>
      <c r="G921">
        <v>445</v>
      </c>
      <c r="H921">
        <v>168655</v>
      </c>
      <c r="I921">
        <v>15454.8465</v>
      </c>
      <c r="J921" s="2" t="s">
        <v>45</v>
      </c>
    </row>
    <row r="922" spans="1:10" x14ac:dyDescent="0.35">
      <c r="A922" s="1">
        <v>45221</v>
      </c>
      <c r="B922" s="2" t="s">
        <v>34</v>
      </c>
      <c r="C922" s="2" t="s">
        <v>23</v>
      </c>
      <c r="D922" s="2" t="s">
        <v>12</v>
      </c>
      <c r="E922" s="2" t="s">
        <v>28</v>
      </c>
      <c r="F922">
        <v>972</v>
      </c>
      <c r="G922">
        <v>314</v>
      </c>
      <c r="H922">
        <v>305208</v>
      </c>
      <c r="I922">
        <v>71919.627600000007</v>
      </c>
      <c r="J922" s="2" t="s">
        <v>45</v>
      </c>
    </row>
    <row r="923" spans="1:10" x14ac:dyDescent="0.35">
      <c r="A923" s="1">
        <v>45221</v>
      </c>
      <c r="B923" s="2" t="s">
        <v>34</v>
      </c>
      <c r="C923" s="2" t="s">
        <v>11</v>
      </c>
      <c r="D923" s="2" t="s">
        <v>21</v>
      </c>
      <c r="E923" s="2" t="s">
        <v>33</v>
      </c>
      <c r="F923">
        <v>681</v>
      </c>
      <c r="G923">
        <v>344</v>
      </c>
      <c r="H923">
        <v>234264</v>
      </c>
      <c r="I923">
        <v>36587.877699999997</v>
      </c>
      <c r="J923" s="2" t="s">
        <v>45</v>
      </c>
    </row>
    <row r="924" spans="1:10" x14ac:dyDescent="0.35">
      <c r="A924" s="1">
        <v>45222</v>
      </c>
      <c r="B924" s="2" t="s">
        <v>31</v>
      </c>
      <c r="C924" s="2" t="s">
        <v>16</v>
      </c>
      <c r="D924" s="2" t="s">
        <v>21</v>
      </c>
      <c r="E924" s="2" t="s">
        <v>32</v>
      </c>
      <c r="F924">
        <v>445</v>
      </c>
      <c r="G924">
        <v>404</v>
      </c>
      <c r="H924">
        <v>179780</v>
      </c>
      <c r="I924">
        <v>32021.007099999999</v>
      </c>
      <c r="J924" s="2" t="s">
        <v>45</v>
      </c>
    </row>
    <row r="925" spans="1:10" x14ac:dyDescent="0.35">
      <c r="A925" s="1">
        <v>45222</v>
      </c>
      <c r="B925" s="2" t="s">
        <v>34</v>
      </c>
      <c r="C925" s="2" t="s">
        <v>16</v>
      </c>
      <c r="D925" s="2" t="s">
        <v>17</v>
      </c>
      <c r="E925" s="2" t="s">
        <v>33</v>
      </c>
      <c r="F925">
        <v>625</v>
      </c>
      <c r="G925">
        <v>368</v>
      </c>
      <c r="H925">
        <v>230000</v>
      </c>
      <c r="I925">
        <v>46894.534200000002</v>
      </c>
      <c r="J925" s="2" t="s">
        <v>45</v>
      </c>
    </row>
    <row r="926" spans="1:10" x14ac:dyDescent="0.35">
      <c r="A926" s="1">
        <v>45222</v>
      </c>
      <c r="B926" s="2" t="s">
        <v>10</v>
      </c>
      <c r="C926" s="2" t="s">
        <v>27</v>
      </c>
      <c r="D926" s="2" t="s">
        <v>17</v>
      </c>
      <c r="E926" s="2" t="s">
        <v>28</v>
      </c>
      <c r="F926">
        <v>166</v>
      </c>
      <c r="G926">
        <v>153</v>
      </c>
      <c r="H926">
        <v>25398</v>
      </c>
      <c r="I926">
        <v>5494.4479000000001</v>
      </c>
      <c r="J926" s="2" t="s">
        <v>45</v>
      </c>
    </row>
    <row r="927" spans="1:10" x14ac:dyDescent="0.35">
      <c r="A927" s="1">
        <v>45222</v>
      </c>
      <c r="B927" s="2" t="s">
        <v>15</v>
      </c>
      <c r="C927" s="2" t="s">
        <v>20</v>
      </c>
      <c r="D927" s="2" t="s">
        <v>17</v>
      </c>
      <c r="E927" s="2" t="s">
        <v>32</v>
      </c>
      <c r="F927">
        <v>615</v>
      </c>
      <c r="G927">
        <v>466</v>
      </c>
      <c r="H927">
        <v>286590</v>
      </c>
      <c r="I927">
        <v>42088.098400000003</v>
      </c>
      <c r="J927" s="2" t="s">
        <v>45</v>
      </c>
    </row>
    <row r="928" spans="1:10" x14ac:dyDescent="0.35">
      <c r="A928" s="1">
        <v>45222</v>
      </c>
      <c r="B928" s="2" t="s">
        <v>25</v>
      </c>
      <c r="C928" s="2" t="s">
        <v>27</v>
      </c>
      <c r="D928" s="2" t="s">
        <v>17</v>
      </c>
      <c r="E928" s="2" t="s">
        <v>33</v>
      </c>
      <c r="F928">
        <v>895</v>
      </c>
      <c r="G928">
        <v>200</v>
      </c>
      <c r="H928">
        <v>179000</v>
      </c>
      <c r="I928">
        <v>35611.457799999996</v>
      </c>
      <c r="J928" s="2" t="s">
        <v>45</v>
      </c>
    </row>
    <row r="929" spans="1:10" x14ac:dyDescent="0.35">
      <c r="A929" s="1">
        <v>45224</v>
      </c>
      <c r="B929" s="2" t="s">
        <v>31</v>
      </c>
      <c r="C929" s="2" t="s">
        <v>23</v>
      </c>
      <c r="D929" s="2" t="s">
        <v>12</v>
      </c>
      <c r="E929" s="2" t="s">
        <v>32</v>
      </c>
      <c r="F929">
        <v>359</v>
      </c>
      <c r="G929">
        <v>368</v>
      </c>
      <c r="H929">
        <v>132112</v>
      </c>
      <c r="I929">
        <v>13772.5947</v>
      </c>
      <c r="J929" s="2" t="s">
        <v>45</v>
      </c>
    </row>
    <row r="930" spans="1:10" x14ac:dyDescent="0.35">
      <c r="A930" s="1">
        <v>45225</v>
      </c>
      <c r="B930" s="2" t="s">
        <v>36</v>
      </c>
      <c r="C930" s="2" t="s">
        <v>20</v>
      </c>
      <c r="D930" s="2" t="s">
        <v>17</v>
      </c>
      <c r="E930" s="2" t="s">
        <v>22</v>
      </c>
      <c r="F930">
        <v>912</v>
      </c>
      <c r="G930">
        <v>326</v>
      </c>
      <c r="H930">
        <v>297312</v>
      </c>
      <c r="I930">
        <v>28324.7032</v>
      </c>
      <c r="J930" s="2" t="s">
        <v>45</v>
      </c>
    </row>
    <row r="931" spans="1:10" x14ac:dyDescent="0.35">
      <c r="A931" s="1">
        <v>45226</v>
      </c>
      <c r="B931" s="2" t="s">
        <v>25</v>
      </c>
      <c r="C931" s="2" t="s">
        <v>11</v>
      </c>
      <c r="D931" s="2" t="s">
        <v>30</v>
      </c>
      <c r="E931" s="2" t="s">
        <v>13</v>
      </c>
      <c r="F931">
        <v>597</v>
      </c>
      <c r="G931">
        <v>319</v>
      </c>
      <c r="H931">
        <v>190443</v>
      </c>
      <c r="I931">
        <v>39122.517699999997</v>
      </c>
      <c r="J931" s="2" t="s">
        <v>45</v>
      </c>
    </row>
    <row r="932" spans="1:10" x14ac:dyDescent="0.35">
      <c r="A932" s="1">
        <v>45227</v>
      </c>
      <c r="B932" s="2" t="s">
        <v>19</v>
      </c>
      <c r="C932" s="2" t="s">
        <v>23</v>
      </c>
      <c r="D932" s="2" t="s">
        <v>17</v>
      </c>
      <c r="E932" s="2" t="s">
        <v>18</v>
      </c>
      <c r="F932">
        <v>783</v>
      </c>
      <c r="G932">
        <v>409</v>
      </c>
      <c r="H932">
        <v>320247</v>
      </c>
      <c r="I932">
        <v>77677.183799999999</v>
      </c>
      <c r="J932" s="2" t="s">
        <v>45</v>
      </c>
    </row>
    <row r="933" spans="1:10" x14ac:dyDescent="0.35">
      <c r="A933" s="1">
        <v>45227</v>
      </c>
      <c r="B933" s="2" t="s">
        <v>10</v>
      </c>
      <c r="C933" s="2" t="s">
        <v>23</v>
      </c>
      <c r="D933" s="2" t="s">
        <v>12</v>
      </c>
      <c r="E933" s="2" t="s">
        <v>32</v>
      </c>
      <c r="F933">
        <v>101</v>
      </c>
      <c r="G933">
        <v>205</v>
      </c>
      <c r="H933">
        <v>20705</v>
      </c>
      <c r="I933">
        <v>3362.0774000000001</v>
      </c>
      <c r="J933" s="2" t="s">
        <v>45</v>
      </c>
    </row>
    <row r="934" spans="1:10" x14ac:dyDescent="0.35">
      <c r="A934" s="1">
        <v>45228</v>
      </c>
      <c r="B934" s="2" t="s">
        <v>19</v>
      </c>
      <c r="C934" s="2" t="s">
        <v>20</v>
      </c>
      <c r="D934" s="2" t="s">
        <v>12</v>
      </c>
      <c r="E934" s="2" t="s">
        <v>24</v>
      </c>
      <c r="F934">
        <v>653</v>
      </c>
      <c r="G934">
        <v>286</v>
      </c>
      <c r="H934">
        <v>186758</v>
      </c>
      <c r="I934">
        <v>41578.365400000002</v>
      </c>
      <c r="J934" s="2" t="s">
        <v>45</v>
      </c>
    </row>
    <row r="935" spans="1:10" x14ac:dyDescent="0.35">
      <c r="A935" s="1">
        <v>45228</v>
      </c>
      <c r="B935" s="2" t="s">
        <v>25</v>
      </c>
      <c r="C935" s="2" t="s">
        <v>23</v>
      </c>
      <c r="D935" s="2" t="s">
        <v>17</v>
      </c>
      <c r="E935" s="2" t="s">
        <v>13</v>
      </c>
      <c r="F935">
        <v>152</v>
      </c>
      <c r="G935">
        <v>125</v>
      </c>
      <c r="H935">
        <v>19000</v>
      </c>
      <c r="I935">
        <v>4139.3067000000001</v>
      </c>
      <c r="J935" s="2" t="s">
        <v>45</v>
      </c>
    </row>
    <row r="936" spans="1:10" x14ac:dyDescent="0.35">
      <c r="A936" s="1">
        <v>45228</v>
      </c>
      <c r="B936" s="2" t="s">
        <v>34</v>
      </c>
      <c r="C936" s="2" t="s">
        <v>11</v>
      </c>
      <c r="D936" s="2" t="s">
        <v>12</v>
      </c>
      <c r="E936" s="2" t="s">
        <v>24</v>
      </c>
      <c r="F936">
        <v>69</v>
      </c>
      <c r="G936">
        <v>344</v>
      </c>
      <c r="H936">
        <v>23736</v>
      </c>
      <c r="I936">
        <v>2145.8757999999998</v>
      </c>
      <c r="J936" s="2" t="s">
        <v>45</v>
      </c>
    </row>
    <row r="937" spans="1:10" x14ac:dyDescent="0.35">
      <c r="A937" s="1">
        <v>45228</v>
      </c>
      <c r="B937" s="2" t="s">
        <v>36</v>
      </c>
      <c r="C937" s="2" t="s">
        <v>20</v>
      </c>
      <c r="D937" s="2" t="s">
        <v>12</v>
      </c>
      <c r="E937" s="2" t="s">
        <v>33</v>
      </c>
      <c r="F937">
        <v>127</v>
      </c>
      <c r="G937">
        <v>292</v>
      </c>
      <c r="H937">
        <v>37084</v>
      </c>
      <c r="I937">
        <v>7709.2372999999998</v>
      </c>
      <c r="J937" s="2" t="s">
        <v>45</v>
      </c>
    </row>
    <row r="938" spans="1:10" x14ac:dyDescent="0.35">
      <c r="A938" s="1">
        <v>45228</v>
      </c>
      <c r="B938" s="2" t="s">
        <v>31</v>
      </c>
      <c r="C938" s="2" t="s">
        <v>20</v>
      </c>
      <c r="D938" s="2" t="s">
        <v>12</v>
      </c>
      <c r="E938" s="2" t="s">
        <v>28</v>
      </c>
      <c r="F938">
        <v>747</v>
      </c>
      <c r="G938">
        <v>161</v>
      </c>
      <c r="H938">
        <v>120267</v>
      </c>
      <c r="I938">
        <v>16101.097100000001</v>
      </c>
      <c r="J938" s="2" t="s">
        <v>45</v>
      </c>
    </row>
    <row r="939" spans="1:10" x14ac:dyDescent="0.35">
      <c r="A939" s="1">
        <v>45228</v>
      </c>
      <c r="B939" s="2" t="s">
        <v>26</v>
      </c>
      <c r="C939" s="2" t="s">
        <v>16</v>
      </c>
      <c r="D939" s="2" t="s">
        <v>17</v>
      </c>
      <c r="E939" s="2" t="s">
        <v>32</v>
      </c>
      <c r="F939">
        <v>262</v>
      </c>
      <c r="G939">
        <v>478</v>
      </c>
      <c r="H939">
        <v>125236</v>
      </c>
      <c r="I939">
        <v>17099.890500000001</v>
      </c>
      <c r="J939" s="2" t="s">
        <v>45</v>
      </c>
    </row>
    <row r="940" spans="1:10" x14ac:dyDescent="0.35">
      <c r="A940" s="1">
        <v>45229</v>
      </c>
      <c r="B940" s="2" t="s">
        <v>31</v>
      </c>
      <c r="C940" s="2" t="s">
        <v>20</v>
      </c>
      <c r="D940" s="2" t="s">
        <v>21</v>
      </c>
      <c r="E940" s="2" t="s">
        <v>18</v>
      </c>
      <c r="F940">
        <v>320</v>
      </c>
      <c r="G940">
        <v>133</v>
      </c>
      <c r="H940">
        <v>42560</v>
      </c>
      <c r="I940">
        <v>5258.8460999999998</v>
      </c>
      <c r="J940" s="2" t="s">
        <v>45</v>
      </c>
    </row>
    <row r="941" spans="1:10" x14ac:dyDescent="0.35">
      <c r="A941" s="1">
        <v>45229</v>
      </c>
      <c r="B941" s="2" t="s">
        <v>15</v>
      </c>
      <c r="C941" s="2" t="s">
        <v>23</v>
      </c>
      <c r="D941" s="2" t="s">
        <v>30</v>
      </c>
      <c r="E941" s="2" t="s">
        <v>35</v>
      </c>
      <c r="F941">
        <v>379</v>
      </c>
      <c r="G941">
        <v>401</v>
      </c>
      <c r="H941">
        <v>151979</v>
      </c>
      <c r="I941">
        <v>23116.8645</v>
      </c>
      <c r="J941" s="2" t="s">
        <v>45</v>
      </c>
    </row>
    <row r="942" spans="1:10" x14ac:dyDescent="0.35">
      <c r="A942" s="1">
        <v>45229</v>
      </c>
      <c r="B942" s="2" t="s">
        <v>19</v>
      </c>
      <c r="C942" s="2" t="s">
        <v>27</v>
      </c>
      <c r="D942" s="2" t="s">
        <v>30</v>
      </c>
      <c r="E942" s="2" t="s">
        <v>13</v>
      </c>
      <c r="F942">
        <v>792</v>
      </c>
      <c r="G942">
        <v>172</v>
      </c>
      <c r="H942">
        <v>136224</v>
      </c>
      <c r="I942">
        <v>17659.314200000001</v>
      </c>
      <c r="J942" s="2" t="s">
        <v>45</v>
      </c>
    </row>
    <row r="943" spans="1:10" x14ac:dyDescent="0.35">
      <c r="A943" s="1">
        <v>45229</v>
      </c>
      <c r="B943" s="2" t="s">
        <v>25</v>
      </c>
      <c r="C943" s="2" t="s">
        <v>20</v>
      </c>
      <c r="D943" s="2" t="s">
        <v>12</v>
      </c>
      <c r="E943" s="2" t="s">
        <v>22</v>
      </c>
      <c r="F943">
        <v>975</v>
      </c>
      <c r="G943">
        <v>448</v>
      </c>
      <c r="H943">
        <v>436800</v>
      </c>
      <c r="I943">
        <v>100483.7026</v>
      </c>
      <c r="J943" s="2" t="s">
        <v>45</v>
      </c>
    </row>
    <row r="944" spans="1:10" x14ac:dyDescent="0.35">
      <c r="A944" s="1">
        <v>45230</v>
      </c>
      <c r="B944" s="2" t="s">
        <v>25</v>
      </c>
      <c r="C944" s="2" t="s">
        <v>23</v>
      </c>
      <c r="D944" s="2" t="s">
        <v>30</v>
      </c>
      <c r="E944" s="2" t="s">
        <v>22</v>
      </c>
      <c r="F944">
        <v>230</v>
      </c>
      <c r="G944">
        <v>130</v>
      </c>
      <c r="H944">
        <v>29900</v>
      </c>
      <c r="I944">
        <v>5713.2053999999998</v>
      </c>
      <c r="J944" s="2" t="s">
        <v>45</v>
      </c>
    </row>
    <row r="945" spans="1:10" x14ac:dyDescent="0.35">
      <c r="A945" s="1">
        <v>45231</v>
      </c>
      <c r="B945" s="2" t="s">
        <v>26</v>
      </c>
      <c r="C945" s="2" t="s">
        <v>27</v>
      </c>
      <c r="D945" s="2" t="s">
        <v>12</v>
      </c>
      <c r="E945" s="2" t="s">
        <v>24</v>
      </c>
      <c r="F945">
        <v>555</v>
      </c>
      <c r="G945">
        <v>194</v>
      </c>
      <c r="H945">
        <v>107670</v>
      </c>
      <c r="I945">
        <v>11447.2495</v>
      </c>
      <c r="J945" s="2" t="s">
        <v>46</v>
      </c>
    </row>
    <row r="946" spans="1:10" x14ac:dyDescent="0.35">
      <c r="A946" s="1">
        <v>45231</v>
      </c>
      <c r="B946" s="2" t="s">
        <v>34</v>
      </c>
      <c r="C946" s="2" t="s">
        <v>23</v>
      </c>
      <c r="D946" s="2" t="s">
        <v>12</v>
      </c>
      <c r="E946" s="2" t="s">
        <v>22</v>
      </c>
      <c r="F946">
        <v>308</v>
      </c>
      <c r="G946">
        <v>395</v>
      </c>
      <c r="H946">
        <v>121660</v>
      </c>
      <c r="I946">
        <v>23186.226699999999</v>
      </c>
      <c r="J946" s="2" t="s">
        <v>46</v>
      </c>
    </row>
    <row r="947" spans="1:10" x14ac:dyDescent="0.35">
      <c r="A947" s="1">
        <v>45231</v>
      </c>
      <c r="B947" s="2" t="s">
        <v>10</v>
      </c>
      <c r="C947" s="2" t="s">
        <v>16</v>
      </c>
      <c r="D947" s="2" t="s">
        <v>12</v>
      </c>
      <c r="E947" s="2" t="s">
        <v>18</v>
      </c>
      <c r="F947">
        <v>942</v>
      </c>
      <c r="G947">
        <v>248</v>
      </c>
      <c r="H947">
        <v>233616</v>
      </c>
      <c r="I947">
        <v>54293.853499999997</v>
      </c>
      <c r="J947" s="2" t="s">
        <v>46</v>
      </c>
    </row>
    <row r="948" spans="1:10" x14ac:dyDescent="0.35">
      <c r="A948" s="1">
        <v>45231</v>
      </c>
      <c r="B948" s="2" t="s">
        <v>15</v>
      </c>
      <c r="C948" s="2" t="s">
        <v>20</v>
      </c>
      <c r="D948" s="2" t="s">
        <v>21</v>
      </c>
      <c r="E948" s="2" t="s">
        <v>24</v>
      </c>
      <c r="F948">
        <v>575</v>
      </c>
      <c r="G948">
        <v>237</v>
      </c>
      <c r="H948">
        <v>136275</v>
      </c>
      <c r="I948">
        <v>24684.6001</v>
      </c>
      <c r="J948" s="2" t="s">
        <v>46</v>
      </c>
    </row>
    <row r="949" spans="1:10" x14ac:dyDescent="0.35">
      <c r="A949" s="1">
        <v>45231</v>
      </c>
      <c r="B949" s="2" t="s">
        <v>36</v>
      </c>
      <c r="C949" s="2" t="s">
        <v>27</v>
      </c>
      <c r="D949" s="2" t="s">
        <v>12</v>
      </c>
      <c r="E949" s="2" t="s">
        <v>24</v>
      </c>
      <c r="F949">
        <v>88</v>
      </c>
      <c r="G949">
        <v>435</v>
      </c>
      <c r="H949">
        <v>38280</v>
      </c>
      <c r="I949">
        <v>4184.6621999999998</v>
      </c>
      <c r="J949" s="2" t="s">
        <v>46</v>
      </c>
    </row>
    <row r="950" spans="1:10" x14ac:dyDescent="0.35">
      <c r="A950" s="1">
        <v>45231</v>
      </c>
      <c r="B950" s="2" t="s">
        <v>31</v>
      </c>
      <c r="C950" s="2" t="s">
        <v>11</v>
      </c>
      <c r="D950" s="2" t="s">
        <v>17</v>
      </c>
      <c r="E950" s="2" t="s">
        <v>28</v>
      </c>
      <c r="F950">
        <v>382</v>
      </c>
      <c r="G950">
        <v>120</v>
      </c>
      <c r="H950">
        <v>45840</v>
      </c>
      <c r="I950">
        <v>6386.8100999999997</v>
      </c>
      <c r="J950" s="2" t="s">
        <v>46</v>
      </c>
    </row>
    <row r="951" spans="1:10" x14ac:dyDescent="0.35">
      <c r="A951" s="1">
        <v>45232</v>
      </c>
      <c r="B951" s="2" t="s">
        <v>26</v>
      </c>
      <c r="C951" s="2" t="s">
        <v>23</v>
      </c>
      <c r="D951" s="2" t="s">
        <v>12</v>
      </c>
      <c r="E951" s="2" t="s">
        <v>33</v>
      </c>
      <c r="F951">
        <v>121</v>
      </c>
      <c r="G951">
        <v>440</v>
      </c>
      <c r="H951">
        <v>53240</v>
      </c>
      <c r="I951">
        <v>12696.6065</v>
      </c>
      <c r="J951" s="2" t="s">
        <v>46</v>
      </c>
    </row>
    <row r="952" spans="1:10" x14ac:dyDescent="0.35">
      <c r="A952" s="1">
        <v>45232</v>
      </c>
      <c r="B952" s="2" t="s">
        <v>10</v>
      </c>
      <c r="C952" s="2" t="s">
        <v>11</v>
      </c>
      <c r="D952" s="2" t="s">
        <v>21</v>
      </c>
      <c r="E952" s="2" t="s">
        <v>35</v>
      </c>
      <c r="F952">
        <v>134</v>
      </c>
      <c r="G952">
        <v>209</v>
      </c>
      <c r="H952">
        <v>28006</v>
      </c>
      <c r="I952">
        <v>2853.5162999999998</v>
      </c>
      <c r="J952" s="2" t="s">
        <v>46</v>
      </c>
    </row>
    <row r="953" spans="1:10" x14ac:dyDescent="0.35">
      <c r="A953" s="1">
        <v>45233</v>
      </c>
      <c r="B953" s="2" t="s">
        <v>31</v>
      </c>
      <c r="C953" s="2" t="s">
        <v>11</v>
      </c>
      <c r="D953" s="2" t="s">
        <v>17</v>
      </c>
      <c r="E953" s="2" t="s">
        <v>24</v>
      </c>
      <c r="F953">
        <v>863</v>
      </c>
      <c r="G953">
        <v>386</v>
      </c>
      <c r="H953">
        <v>333118</v>
      </c>
      <c r="I953">
        <v>77034.605500000005</v>
      </c>
      <c r="J953" s="2" t="s">
        <v>46</v>
      </c>
    </row>
    <row r="954" spans="1:10" x14ac:dyDescent="0.35">
      <c r="A954" s="1">
        <v>45233</v>
      </c>
      <c r="B954" s="2" t="s">
        <v>36</v>
      </c>
      <c r="C954" s="2" t="s">
        <v>11</v>
      </c>
      <c r="D954" s="2" t="s">
        <v>12</v>
      </c>
      <c r="E954" s="2" t="s">
        <v>18</v>
      </c>
      <c r="F954">
        <v>566</v>
      </c>
      <c r="G954">
        <v>439</v>
      </c>
      <c r="H954">
        <v>248474</v>
      </c>
      <c r="I954">
        <v>46899.065999999999</v>
      </c>
      <c r="J954" s="2" t="s">
        <v>46</v>
      </c>
    </row>
    <row r="955" spans="1:10" x14ac:dyDescent="0.35">
      <c r="A955" s="1">
        <v>45233</v>
      </c>
      <c r="B955" s="2" t="s">
        <v>36</v>
      </c>
      <c r="C955" s="2" t="s">
        <v>16</v>
      </c>
      <c r="D955" s="2" t="s">
        <v>21</v>
      </c>
      <c r="E955" s="2" t="s">
        <v>32</v>
      </c>
      <c r="F955">
        <v>759</v>
      </c>
      <c r="G955">
        <v>264</v>
      </c>
      <c r="H955">
        <v>200376</v>
      </c>
      <c r="I955">
        <v>28744.607100000001</v>
      </c>
      <c r="J955" s="2" t="s">
        <v>46</v>
      </c>
    </row>
    <row r="956" spans="1:10" x14ac:dyDescent="0.35">
      <c r="A956" s="1">
        <v>45233</v>
      </c>
      <c r="B956" s="2" t="s">
        <v>26</v>
      </c>
      <c r="C956" s="2" t="s">
        <v>11</v>
      </c>
      <c r="D956" s="2" t="s">
        <v>17</v>
      </c>
      <c r="E956" s="2" t="s">
        <v>35</v>
      </c>
      <c r="F956">
        <v>539</v>
      </c>
      <c r="G956">
        <v>237</v>
      </c>
      <c r="H956">
        <v>127743</v>
      </c>
      <c r="I956">
        <v>25966.754300000001</v>
      </c>
      <c r="J956" s="2" t="s">
        <v>46</v>
      </c>
    </row>
    <row r="957" spans="1:10" x14ac:dyDescent="0.35">
      <c r="A957" s="1">
        <v>45234</v>
      </c>
      <c r="B957" s="2" t="s">
        <v>19</v>
      </c>
      <c r="C957" s="2" t="s">
        <v>29</v>
      </c>
      <c r="D957" s="2" t="s">
        <v>30</v>
      </c>
      <c r="E957" s="2" t="s">
        <v>28</v>
      </c>
      <c r="F957">
        <v>592</v>
      </c>
      <c r="G957">
        <v>400</v>
      </c>
      <c r="H957">
        <v>236800</v>
      </c>
      <c r="I957">
        <v>56849.091399999998</v>
      </c>
      <c r="J957" s="2" t="s">
        <v>46</v>
      </c>
    </row>
    <row r="958" spans="1:10" x14ac:dyDescent="0.35">
      <c r="A958" s="1">
        <v>45234</v>
      </c>
      <c r="B958" s="2" t="s">
        <v>34</v>
      </c>
      <c r="C958" s="2" t="s">
        <v>29</v>
      </c>
      <c r="D958" s="2" t="s">
        <v>30</v>
      </c>
      <c r="E958" s="2" t="s">
        <v>32</v>
      </c>
      <c r="F958">
        <v>520</v>
      </c>
      <c r="G958">
        <v>471</v>
      </c>
      <c r="H958">
        <v>244920</v>
      </c>
      <c r="I958">
        <v>58573.245499999997</v>
      </c>
      <c r="J958" s="2" t="s">
        <v>46</v>
      </c>
    </row>
    <row r="959" spans="1:10" x14ac:dyDescent="0.35">
      <c r="A959" s="1">
        <v>45235</v>
      </c>
      <c r="B959" s="2" t="s">
        <v>26</v>
      </c>
      <c r="C959" s="2" t="s">
        <v>29</v>
      </c>
      <c r="D959" s="2" t="s">
        <v>30</v>
      </c>
      <c r="E959" s="2" t="s">
        <v>24</v>
      </c>
      <c r="F959">
        <v>808</v>
      </c>
      <c r="G959">
        <v>127</v>
      </c>
      <c r="H959">
        <v>102616</v>
      </c>
      <c r="I959">
        <v>12504.253199999999</v>
      </c>
      <c r="J959" s="2" t="s">
        <v>46</v>
      </c>
    </row>
    <row r="960" spans="1:10" x14ac:dyDescent="0.35">
      <c r="A960" s="1">
        <v>45236</v>
      </c>
      <c r="B960" s="2" t="s">
        <v>19</v>
      </c>
      <c r="C960" s="2" t="s">
        <v>23</v>
      </c>
      <c r="D960" s="2" t="s">
        <v>12</v>
      </c>
      <c r="E960" s="2" t="s">
        <v>28</v>
      </c>
      <c r="F960">
        <v>182</v>
      </c>
      <c r="G960">
        <v>276</v>
      </c>
      <c r="H960">
        <v>50232</v>
      </c>
      <c r="I960">
        <v>7603.6785</v>
      </c>
      <c r="J960" s="2" t="s">
        <v>46</v>
      </c>
    </row>
    <row r="961" spans="1:10" x14ac:dyDescent="0.35">
      <c r="A961" s="1">
        <v>45237</v>
      </c>
      <c r="B961" s="2" t="s">
        <v>10</v>
      </c>
      <c r="C961" s="2" t="s">
        <v>16</v>
      </c>
      <c r="D961" s="2" t="s">
        <v>17</v>
      </c>
      <c r="E961" s="2" t="s">
        <v>18</v>
      </c>
      <c r="F961">
        <v>265</v>
      </c>
      <c r="G961">
        <v>264</v>
      </c>
      <c r="H961">
        <v>69960</v>
      </c>
      <c r="I961">
        <v>13047.8081</v>
      </c>
      <c r="J961" s="2" t="s">
        <v>46</v>
      </c>
    </row>
    <row r="962" spans="1:10" x14ac:dyDescent="0.35">
      <c r="A962" s="1">
        <v>45237</v>
      </c>
      <c r="B962" s="2" t="s">
        <v>19</v>
      </c>
      <c r="C962" s="2" t="s">
        <v>29</v>
      </c>
      <c r="D962" s="2" t="s">
        <v>21</v>
      </c>
      <c r="E962" s="2" t="s">
        <v>18</v>
      </c>
      <c r="F962">
        <v>926</v>
      </c>
      <c r="G962">
        <v>248</v>
      </c>
      <c r="H962">
        <v>229648</v>
      </c>
      <c r="I962">
        <v>54642.917200000004</v>
      </c>
      <c r="J962" s="2" t="s">
        <v>46</v>
      </c>
    </row>
    <row r="963" spans="1:10" x14ac:dyDescent="0.35">
      <c r="A963" s="1">
        <v>45237</v>
      </c>
      <c r="B963" s="2" t="s">
        <v>19</v>
      </c>
      <c r="C963" s="2" t="s">
        <v>27</v>
      </c>
      <c r="D963" s="2" t="s">
        <v>21</v>
      </c>
      <c r="E963" s="2" t="s">
        <v>22</v>
      </c>
      <c r="F963">
        <v>247</v>
      </c>
      <c r="G963">
        <v>395</v>
      </c>
      <c r="H963">
        <v>97565</v>
      </c>
      <c r="I963">
        <v>21166.481599999999</v>
      </c>
      <c r="J963" s="2" t="s">
        <v>46</v>
      </c>
    </row>
    <row r="964" spans="1:10" x14ac:dyDescent="0.35">
      <c r="A964" s="1">
        <v>45237</v>
      </c>
      <c r="B964" s="2" t="s">
        <v>19</v>
      </c>
      <c r="C964" s="2" t="s">
        <v>29</v>
      </c>
      <c r="D964" s="2" t="s">
        <v>17</v>
      </c>
      <c r="E964" s="2" t="s">
        <v>24</v>
      </c>
      <c r="F964">
        <v>162</v>
      </c>
      <c r="G964">
        <v>187</v>
      </c>
      <c r="H964">
        <v>30294</v>
      </c>
      <c r="I964">
        <v>4855.3235999999997</v>
      </c>
      <c r="J964" s="2" t="s">
        <v>46</v>
      </c>
    </row>
    <row r="965" spans="1:10" x14ac:dyDescent="0.35">
      <c r="A965" s="1">
        <v>45237</v>
      </c>
      <c r="B965" s="2" t="s">
        <v>34</v>
      </c>
      <c r="C965" s="2" t="s">
        <v>20</v>
      </c>
      <c r="D965" s="2" t="s">
        <v>21</v>
      </c>
      <c r="E965" s="2" t="s">
        <v>33</v>
      </c>
      <c r="F965">
        <v>232</v>
      </c>
      <c r="G965">
        <v>408</v>
      </c>
      <c r="H965">
        <v>94656</v>
      </c>
      <c r="I965">
        <v>18210.796900000001</v>
      </c>
      <c r="J965" s="2" t="s">
        <v>46</v>
      </c>
    </row>
    <row r="966" spans="1:10" x14ac:dyDescent="0.35">
      <c r="A966" s="1">
        <v>45238</v>
      </c>
      <c r="B966" s="2" t="s">
        <v>19</v>
      </c>
      <c r="C966" s="2" t="s">
        <v>11</v>
      </c>
      <c r="D966" s="2" t="s">
        <v>30</v>
      </c>
      <c r="E966" s="2" t="s">
        <v>18</v>
      </c>
      <c r="F966">
        <v>558</v>
      </c>
      <c r="G966">
        <v>455</v>
      </c>
      <c r="H966">
        <v>253890</v>
      </c>
      <c r="I966">
        <v>53322.576300000001</v>
      </c>
      <c r="J966" s="2" t="s">
        <v>46</v>
      </c>
    </row>
    <row r="967" spans="1:10" x14ac:dyDescent="0.35">
      <c r="A967" s="1">
        <v>45238</v>
      </c>
      <c r="B967" s="2" t="s">
        <v>25</v>
      </c>
      <c r="C967" s="2" t="s">
        <v>23</v>
      </c>
      <c r="D967" s="2" t="s">
        <v>12</v>
      </c>
      <c r="E967" s="2" t="s">
        <v>28</v>
      </c>
      <c r="F967">
        <v>298</v>
      </c>
      <c r="G967">
        <v>439</v>
      </c>
      <c r="H967">
        <v>130822</v>
      </c>
      <c r="I967">
        <v>12698.5391</v>
      </c>
      <c r="J967" s="2" t="s">
        <v>46</v>
      </c>
    </row>
    <row r="968" spans="1:10" x14ac:dyDescent="0.35">
      <c r="A968" s="1">
        <v>45238</v>
      </c>
      <c r="B968" s="2" t="s">
        <v>34</v>
      </c>
      <c r="C968" s="2" t="s">
        <v>23</v>
      </c>
      <c r="D968" s="2" t="s">
        <v>21</v>
      </c>
      <c r="E968" s="2" t="s">
        <v>28</v>
      </c>
      <c r="F968">
        <v>897</v>
      </c>
      <c r="G968">
        <v>211</v>
      </c>
      <c r="H968">
        <v>189267</v>
      </c>
      <c r="I968">
        <v>28522.789799999999</v>
      </c>
      <c r="J968" s="2" t="s">
        <v>46</v>
      </c>
    </row>
    <row r="969" spans="1:10" x14ac:dyDescent="0.35">
      <c r="A969" s="1">
        <v>45239</v>
      </c>
      <c r="B969" s="2" t="s">
        <v>36</v>
      </c>
      <c r="C969" s="2" t="s">
        <v>20</v>
      </c>
      <c r="D969" s="2" t="s">
        <v>12</v>
      </c>
      <c r="E969" s="2" t="s">
        <v>33</v>
      </c>
      <c r="F969">
        <v>739</v>
      </c>
      <c r="G969">
        <v>296</v>
      </c>
      <c r="H969">
        <v>218744</v>
      </c>
      <c r="I969">
        <v>40460.385799999996</v>
      </c>
      <c r="J969" s="2" t="s">
        <v>46</v>
      </c>
    </row>
    <row r="970" spans="1:10" x14ac:dyDescent="0.35">
      <c r="A970" s="1">
        <v>45239</v>
      </c>
      <c r="B970" s="2" t="s">
        <v>25</v>
      </c>
      <c r="C970" s="2" t="s">
        <v>23</v>
      </c>
      <c r="D970" s="2" t="s">
        <v>21</v>
      </c>
      <c r="E970" s="2" t="s">
        <v>13</v>
      </c>
      <c r="F970">
        <v>690</v>
      </c>
      <c r="G970">
        <v>320</v>
      </c>
      <c r="H970">
        <v>220800</v>
      </c>
      <c r="I970">
        <v>50446.631999999998</v>
      </c>
      <c r="J970" s="2" t="s">
        <v>46</v>
      </c>
    </row>
    <row r="971" spans="1:10" x14ac:dyDescent="0.35">
      <c r="A971" s="1">
        <v>45239</v>
      </c>
      <c r="B971" s="2" t="s">
        <v>25</v>
      </c>
      <c r="C971" s="2" t="s">
        <v>20</v>
      </c>
      <c r="D971" s="2" t="s">
        <v>21</v>
      </c>
      <c r="E971" s="2" t="s">
        <v>24</v>
      </c>
      <c r="F971">
        <v>229</v>
      </c>
      <c r="G971">
        <v>431</v>
      </c>
      <c r="H971">
        <v>98699</v>
      </c>
      <c r="I971">
        <v>22651.444200000002</v>
      </c>
      <c r="J971" s="2" t="s">
        <v>46</v>
      </c>
    </row>
    <row r="972" spans="1:10" x14ac:dyDescent="0.35">
      <c r="A972" s="1">
        <v>45239</v>
      </c>
      <c r="B972" s="2" t="s">
        <v>26</v>
      </c>
      <c r="C972" s="2" t="s">
        <v>11</v>
      </c>
      <c r="D972" s="2" t="s">
        <v>21</v>
      </c>
      <c r="E972" s="2" t="s">
        <v>35</v>
      </c>
      <c r="F972">
        <v>819</v>
      </c>
      <c r="G972">
        <v>148</v>
      </c>
      <c r="H972">
        <v>121212</v>
      </c>
      <c r="I972">
        <v>17529.663199999999</v>
      </c>
      <c r="J972" s="2" t="s">
        <v>46</v>
      </c>
    </row>
    <row r="973" spans="1:10" x14ac:dyDescent="0.35">
      <c r="A973" s="1">
        <v>45239</v>
      </c>
      <c r="B973" s="2" t="s">
        <v>10</v>
      </c>
      <c r="C973" s="2" t="s">
        <v>20</v>
      </c>
      <c r="D973" s="2" t="s">
        <v>12</v>
      </c>
      <c r="E973" s="2" t="s">
        <v>18</v>
      </c>
      <c r="F973">
        <v>132</v>
      </c>
      <c r="G973">
        <v>476</v>
      </c>
      <c r="H973">
        <v>62832</v>
      </c>
      <c r="I973">
        <v>9947.5041000000001</v>
      </c>
      <c r="J973" s="2" t="s">
        <v>46</v>
      </c>
    </row>
    <row r="974" spans="1:10" x14ac:dyDescent="0.35">
      <c r="A974" s="1">
        <v>45240</v>
      </c>
      <c r="B974" s="2" t="s">
        <v>36</v>
      </c>
      <c r="C974" s="2" t="s">
        <v>29</v>
      </c>
      <c r="D974" s="2" t="s">
        <v>30</v>
      </c>
      <c r="E974" s="2" t="s">
        <v>35</v>
      </c>
      <c r="F974">
        <v>61</v>
      </c>
      <c r="G974">
        <v>169</v>
      </c>
      <c r="H974">
        <v>10309</v>
      </c>
      <c r="I974">
        <v>938.93589999999995</v>
      </c>
      <c r="J974" s="2" t="s">
        <v>46</v>
      </c>
    </row>
    <row r="975" spans="1:10" x14ac:dyDescent="0.35">
      <c r="A975" s="1">
        <v>45240</v>
      </c>
      <c r="B975" s="2" t="s">
        <v>36</v>
      </c>
      <c r="C975" s="2" t="s">
        <v>11</v>
      </c>
      <c r="D975" s="2" t="s">
        <v>30</v>
      </c>
      <c r="E975" s="2" t="s">
        <v>35</v>
      </c>
      <c r="F975">
        <v>339</v>
      </c>
      <c r="G975">
        <v>445</v>
      </c>
      <c r="H975">
        <v>150855</v>
      </c>
      <c r="I975">
        <v>36816.112999999998</v>
      </c>
      <c r="J975" s="2" t="s">
        <v>46</v>
      </c>
    </row>
    <row r="976" spans="1:10" x14ac:dyDescent="0.35">
      <c r="A976" s="1">
        <v>45240</v>
      </c>
      <c r="B976" s="2" t="s">
        <v>31</v>
      </c>
      <c r="C976" s="2" t="s">
        <v>29</v>
      </c>
      <c r="D976" s="2" t="s">
        <v>21</v>
      </c>
      <c r="E976" s="2" t="s">
        <v>18</v>
      </c>
      <c r="F976">
        <v>675</v>
      </c>
      <c r="G976">
        <v>347</v>
      </c>
      <c r="H976">
        <v>234225</v>
      </c>
      <c r="I976">
        <v>28272.671699999999</v>
      </c>
      <c r="J976" s="2" t="s">
        <v>46</v>
      </c>
    </row>
    <row r="977" spans="1:10" x14ac:dyDescent="0.35">
      <c r="A977" s="1">
        <v>45240</v>
      </c>
      <c r="B977" s="2" t="s">
        <v>26</v>
      </c>
      <c r="C977" s="2" t="s">
        <v>11</v>
      </c>
      <c r="D977" s="2" t="s">
        <v>17</v>
      </c>
      <c r="E977" s="2" t="s">
        <v>35</v>
      </c>
      <c r="F977">
        <v>619</v>
      </c>
      <c r="G977">
        <v>408</v>
      </c>
      <c r="H977">
        <v>252552</v>
      </c>
      <c r="I977">
        <v>52554.617899999997</v>
      </c>
      <c r="J977" s="2" t="s">
        <v>46</v>
      </c>
    </row>
    <row r="978" spans="1:10" x14ac:dyDescent="0.35">
      <c r="A978" s="1">
        <v>45241</v>
      </c>
      <c r="B978" s="2" t="s">
        <v>15</v>
      </c>
      <c r="C978" s="2" t="s">
        <v>11</v>
      </c>
      <c r="D978" s="2" t="s">
        <v>17</v>
      </c>
      <c r="E978" s="2" t="s">
        <v>13</v>
      </c>
      <c r="F978">
        <v>977</v>
      </c>
      <c r="G978">
        <v>257</v>
      </c>
      <c r="H978">
        <v>251089</v>
      </c>
      <c r="I978">
        <v>60143.540699999998</v>
      </c>
      <c r="J978" s="2" t="s">
        <v>46</v>
      </c>
    </row>
    <row r="979" spans="1:10" x14ac:dyDescent="0.35">
      <c r="A979" s="1">
        <v>45241</v>
      </c>
      <c r="B979" s="2" t="s">
        <v>34</v>
      </c>
      <c r="C979" s="2" t="s">
        <v>29</v>
      </c>
      <c r="D979" s="2" t="s">
        <v>30</v>
      </c>
      <c r="E979" s="2" t="s">
        <v>33</v>
      </c>
      <c r="F979">
        <v>202</v>
      </c>
      <c r="G979">
        <v>171</v>
      </c>
      <c r="H979">
        <v>34542</v>
      </c>
      <c r="I979">
        <v>5102.8406000000004</v>
      </c>
      <c r="J979" s="2" t="s">
        <v>46</v>
      </c>
    </row>
    <row r="980" spans="1:10" x14ac:dyDescent="0.35">
      <c r="A980" s="1">
        <v>45242</v>
      </c>
      <c r="B980" s="2" t="s">
        <v>25</v>
      </c>
      <c r="C980" s="2" t="s">
        <v>27</v>
      </c>
      <c r="D980" s="2" t="s">
        <v>12</v>
      </c>
      <c r="E980" s="2" t="s">
        <v>35</v>
      </c>
      <c r="F980">
        <v>797</v>
      </c>
      <c r="G980">
        <v>217</v>
      </c>
      <c r="H980">
        <v>172949</v>
      </c>
      <c r="I980">
        <v>42451.8537</v>
      </c>
      <c r="J980" s="2" t="s">
        <v>46</v>
      </c>
    </row>
    <row r="981" spans="1:10" x14ac:dyDescent="0.35">
      <c r="A981" s="1">
        <v>45243</v>
      </c>
      <c r="B981" s="2" t="s">
        <v>34</v>
      </c>
      <c r="C981" s="2" t="s">
        <v>27</v>
      </c>
      <c r="D981" s="2" t="s">
        <v>21</v>
      </c>
      <c r="E981" s="2" t="s">
        <v>33</v>
      </c>
      <c r="F981">
        <v>135</v>
      </c>
      <c r="G981">
        <v>364</v>
      </c>
      <c r="H981">
        <v>49140</v>
      </c>
      <c r="I981">
        <v>4951.3044</v>
      </c>
      <c r="J981" s="2" t="s">
        <v>46</v>
      </c>
    </row>
    <row r="982" spans="1:10" x14ac:dyDescent="0.35">
      <c r="A982" s="1">
        <v>45244</v>
      </c>
      <c r="B982" s="2" t="s">
        <v>36</v>
      </c>
      <c r="C982" s="2" t="s">
        <v>27</v>
      </c>
      <c r="D982" s="2" t="s">
        <v>21</v>
      </c>
      <c r="E982" s="2" t="s">
        <v>32</v>
      </c>
      <c r="F982">
        <v>256</v>
      </c>
      <c r="G982">
        <v>145</v>
      </c>
      <c r="H982">
        <v>37120</v>
      </c>
      <c r="I982">
        <v>7379.5433000000003</v>
      </c>
      <c r="J982" s="2" t="s">
        <v>46</v>
      </c>
    </row>
    <row r="983" spans="1:10" x14ac:dyDescent="0.35">
      <c r="A983" s="1">
        <v>45244</v>
      </c>
      <c r="B983" s="2" t="s">
        <v>19</v>
      </c>
      <c r="C983" s="2" t="s">
        <v>20</v>
      </c>
      <c r="D983" s="2" t="s">
        <v>17</v>
      </c>
      <c r="E983" s="2" t="s">
        <v>18</v>
      </c>
      <c r="F983">
        <v>468</v>
      </c>
      <c r="G983">
        <v>191</v>
      </c>
      <c r="H983">
        <v>89388</v>
      </c>
      <c r="I983">
        <v>19155.567999999999</v>
      </c>
      <c r="J983" s="2" t="s">
        <v>46</v>
      </c>
    </row>
    <row r="984" spans="1:10" x14ac:dyDescent="0.35">
      <c r="A984" s="1">
        <v>45244</v>
      </c>
      <c r="B984" s="2" t="s">
        <v>10</v>
      </c>
      <c r="C984" s="2" t="s">
        <v>20</v>
      </c>
      <c r="D984" s="2" t="s">
        <v>30</v>
      </c>
      <c r="E984" s="2" t="s">
        <v>13</v>
      </c>
      <c r="F984">
        <v>966</v>
      </c>
      <c r="G984">
        <v>211</v>
      </c>
      <c r="H984">
        <v>203826</v>
      </c>
      <c r="I984">
        <v>36447.053800000002</v>
      </c>
      <c r="J984" s="2" t="s">
        <v>46</v>
      </c>
    </row>
    <row r="985" spans="1:10" x14ac:dyDescent="0.35">
      <c r="A985" s="1">
        <v>45244</v>
      </c>
      <c r="B985" s="2" t="s">
        <v>36</v>
      </c>
      <c r="C985" s="2" t="s">
        <v>27</v>
      </c>
      <c r="D985" s="2" t="s">
        <v>17</v>
      </c>
      <c r="E985" s="2" t="s">
        <v>24</v>
      </c>
      <c r="F985">
        <v>771</v>
      </c>
      <c r="G985">
        <v>322</v>
      </c>
      <c r="H985">
        <v>248262</v>
      </c>
      <c r="I985">
        <v>29608.647400000002</v>
      </c>
      <c r="J985" s="2" t="s">
        <v>46</v>
      </c>
    </row>
    <row r="986" spans="1:10" x14ac:dyDescent="0.35">
      <c r="A986" s="1">
        <v>45244</v>
      </c>
      <c r="B986" s="2" t="s">
        <v>34</v>
      </c>
      <c r="C986" s="2" t="s">
        <v>29</v>
      </c>
      <c r="D986" s="2" t="s">
        <v>21</v>
      </c>
      <c r="E986" s="2" t="s">
        <v>28</v>
      </c>
      <c r="F986">
        <v>296</v>
      </c>
      <c r="G986">
        <v>282</v>
      </c>
      <c r="H986">
        <v>83472</v>
      </c>
      <c r="I986">
        <v>11298.790199999999</v>
      </c>
      <c r="J986" s="2" t="s">
        <v>46</v>
      </c>
    </row>
    <row r="987" spans="1:10" x14ac:dyDescent="0.35">
      <c r="A987" s="1">
        <v>45244</v>
      </c>
      <c r="B987" s="2" t="s">
        <v>36</v>
      </c>
      <c r="C987" s="2" t="s">
        <v>27</v>
      </c>
      <c r="D987" s="2" t="s">
        <v>30</v>
      </c>
      <c r="E987" s="2" t="s">
        <v>35</v>
      </c>
      <c r="F987">
        <v>799</v>
      </c>
      <c r="G987">
        <v>430</v>
      </c>
      <c r="H987">
        <v>343570</v>
      </c>
      <c r="I987">
        <v>69417.158899999995</v>
      </c>
      <c r="J987" s="2" t="s">
        <v>46</v>
      </c>
    </row>
    <row r="988" spans="1:10" x14ac:dyDescent="0.35">
      <c r="A988" s="1">
        <v>45245</v>
      </c>
      <c r="B988" s="2" t="s">
        <v>34</v>
      </c>
      <c r="C988" s="2" t="s">
        <v>23</v>
      </c>
      <c r="D988" s="2" t="s">
        <v>30</v>
      </c>
      <c r="E988" s="2" t="s">
        <v>32</v>
      </c>
      <c r="F988">
        <v>500</v>
      </c>
      <c r="G988">
        <v>348</v>
      </c>
      <c r="H988">
        <v>174000</v>
      </c>
      <c r="I988">
        <v>33697.412600000003</v>
      </c>
      <c r="J988" s="2" t="s">
        <v>46</v>
      </c>
    </row>
    <row r="989" spans="1:10" x14ac:dyDescent="0.35">
      <c r="A989" s="1">
        <v>45246</v>
      </c>
      <c r="B989" s="2" t="s">
        <v>36</v>
      </c>
      <c r="C989" s="2" t="s">
        <v>27</v>
      </c>
      <c r="D989" s="2" t="s">
        <v>21</v>
      </c>
      <c r="E989" s="2" t="s">
        <v>32</v>
      </c>
      <c r="F989">
        <v>671</v>
      </c>
      <c r="G989">
        <v>453</v>
      </c>
      <c r="H989">
        <v>303963</v>
      </c>
      <c r="I989">
        <v>46310.485200000003</v>
      </c>
      <c r="J989" s="2" t="s">
        <v>46</v>
      </c>
    </row>
    <row r="990" spans="1:10" x14ac:dyDescent="0.35">
      <c r="A990" s="1">
        <v>45246</v>
      </c>
      <c r="B990" s="2" t="s">
        <v>36</v>
      </c>
      <c r="C990" s="2" t="s">
        <v>23</v>
      </c>
      <c r="D990" s="2" t="s">
        <v>30</v>
      </c>
      <c r="E990" s="2" t="s">
        <v>22</v>
      </c>
      <c r="F990">
        <v>180</v>
      </c>
      <c r="G990">
        <v>214</v>
      </c>
      <c r="H990">
        <v>38520</v>
      </c>
      <c r="I990">
        <v>8307.0697999999993</v>
      </c>
      <c r="J990" s="2" t="s">
        <v>46</v>
      </c>
    </row>
    <row r="991" spans="1:10" x14ac:dyDescent="0.35">
      <c r="A991" s="1">
        <v>45246</v>
      </c>
      <c r="B991" s="2" t="s">
        <v>19</v>
      </c>
      <c r="C991" s="2" t="s">
        <v>23</v>
      </c>
      <c r="D991" s="2" t="s">
        <v>12</v>
      </c>
      <c r="E991" s="2" t="s">
        <v>28</v>
      </c>
      <c r="F991">
        <v>512</v>
      </c>
      <c r="G991">
        <v>157</v>
      </c>
      <c r="H991">
        <v>80384</v>
      </c>
      <c r="I991">
        <v>9366.2142999999996</v>
      </c>
      <c r="J991" s="2" t="s">
        <v>46</v>
      </c>
    </row>
    <row r="992" spans="1:10" x14ac:dyDescent="0.35">
      <c r="A992" s="1">
        <v>45247</v>
      </c>
      <c r="B992" s="2" t="s">
        <v>10</v>
      </c>
      <c r="C992" s="2" t="s">
        <v>23</v>
      </c>
      <c r="D992" s="2" t="s">
        <v>17</v>
      </c>
      <c r="E992" s="2" t="s">
        <v>35</v>
      </c>
      <c r="F992">
        <v>619</v>
      </c>
      <c r="G992">
        <v>175</v>
      </c>
      <c r="H992">
        <v>108325</v>
      </c>
      <c r="I992">
        <v>25022.3187</v>
      </c>
      <c r="J992" s="2" t="s">
        <v>46</v>
      </c>
    </row>
    <row r="993" spans="1:10" x14ac:dyDescent="0.35">
      <c r="A993" s="1">
        <v>45247</v>
      </c>
      <c r="B993" s="2" t="s">
        <v>10</v>
      </c>
      <c r="C993" s="2" t="s">
        <v>20</v>
      </c>
      <c r="D993" s="2" t="s">
        <v>12</v>
      </c>
      <c r="E993" s="2" t="s">
        <v>32</v>
      </c>
      <c r="F993">
        <v>304</v>
      </c>
      <c r="G993">
        <v>109</v>
      </c>
      <c r="H993">
        <v>33136</v>
      </c>
      <c r="I993">
        <v>5068.7111999999997</v>
      </c>
      <c r="J993" s="2" t="s">
        <v>46</v>
      </c>
    </row>
    <row r="994" spans="1:10" x14ac:dyDescent="0.35">
      <c r="A994" s="1">
        <v>45247</v>
      </c>
      <c r="B994" s="2" t="s">
        <v>15</v>
      </c>
      <c r="C994" s="2" t="s">
        <v>16</v>
      </c>
      <c r="D994" s="2" t="s">
        <v>30</v>
      </c>
      <c r="E994" s="2" t="s">
        <v>22</v>
      </c>
      <c r="F994">
        <v>553</v>
      </c>
      <c r="G994">
        <v>107</v>
      </c>
      <c r="H994">
        <v>59171</v>
      </c>
      <c r="I994">
        <v>13304.5275</v>
      </c>
      <c r="J994" s="2" t="s">
        <v>46</v>
      </c>
    </row>
    <row r="995" spans="1:10" x14ac:dyDescent="0.35">
      <c r="A995" s="1">
        <v>45247</v>
      </c>
      <c r="B995" s="2" t="s">
        <v>31</v>
      </c>
      <c r="C995" s="2" t="s">
        <v>23</v>
      </c>
      <c r="D995" s="2" t="s">
        <v>30</v>
      </c>
      <c r="E995" s="2" t="s">
        <v>33</v>
      </c>
      <c r="F995">
        <v>146</v>
      </c>
      <c r="G995">
        <v>114</v>
      </c>
      <c r="H995">
        <v>16644</v>
      </c>
      <c r="I995">
        <v>1578.319</v>
      </c>
      <c r="J995" s="2" t="s">
        <v>46</v>
      </c>
    </row>
    <row r="996" spans="1:10" x14ac:dyDescent="0.35">
      <c r="A996" s="1">
        <v>45248</v>
      </c>
      <c r="B996" s="2" t="s">
        <v>34</v>
      </c>
      <c r="C996" s="2" t="s">
        <v>29</v>
      </c>
      <c r="D996" s="2" t="s">
        <v>21</v>
      </c>
      <c r="E996" s="2" t="s">
        <v>24</v>
      </c>
      <c r="F996">
        <v>962</v>
      </c>
      <c r="G996">
        <v>287</v>
      </c>
      <c r="H996">
        <v>276094</v>
      </c>
      <c r="I996">
        <v>43639.252</v>
      </c>
      <c r="J996" s="2" t="s">
        <v>46</v>
      </c>
    </row>
    <row r="997" spans="1:10" x14ac:dyDescent="0.35">
      <c r="A997" s="1">
        <v>45248</v>
      </c>
      <c r="B997" s="2" t="s">
        <v>25</v>
      </c>
      <c r="C997" s="2" t="s">
        <v>27</v>
      </c>
      <c r="D997" s="2" t="s">
        <v>21</v>
      </c>
      <c r="E997" s="2" t="s">
        <v>18</v>
      </c>
      <c r="F997">
        <v>451</v>
      </c>
      <c r="G997">
        <v>469</v>
      </c>
      <c r="H997">
        <v>211519</v>
      </c>
      <c r="I997">
        <v>23433.988700000002</v>
      </c>
      <c r="J997" s="2" t="s">
        <v>46</v>
      </c>
    </row>
    <row r="998" spans="1:10" x14ac:dyDescent="0.35">
      <c r="A998" s="1">
        <v>45248</v>
      </c>
      <c r="B998" s="2" t="s">
        <v>10</v>
      </c>
      <c r="C998" s="2" t="s">
        <v>20</v>
      </c>
      <c r="D998" s="2" t="s">
        <v>12</v>
      </c>
      <c r="E998" s="2" t="s">
        <v>24</v>
      </c>
      <c r="F998">
        <v>472</v>
      </c>
      <c r="G998">
        <v>257</v>
      </c>
      <c r="H998">
        <v>121304</v>
      </c>
      <c r="I998">
        <v>18674.528900000001</v>
      </c>
      <c r="J998" s="2" t="s">
        <v>46</v>
      </c>
    </row>
    <row r="999" spans="1:10" x14ac:dyDescent="0.35">
      <c r="A999" s="1">
        <v>45250</v>
      </c>
      <c r="B999" s="2" t="s">
        <v>10</v>
      </c>
      <c r="C999" s="2" t="s">
        <v>20</v>
      </c>
      <c r="D999" s="2" t="s">
        <v>17</v>
      </c>
      <c r="E999" s="2" t="s">
        <v>32</v>
      </c>
      <c r="F999">
        <v>997</v>
      </c>
      <c r="G999">
        <v>311</v>
      </c>
      <c r="H999">
        <v>310067</v>
      </c>
      <c r="I999">
        <v>55277.5461</v>
      </c>
      <c r="J999" s="2" t="s">
        <v>46</v>
      </c>
    </row>
    <row r="1000" spans="1:10" x14ac:dyDescent="0.35">
      <c r="A1000" s="1">
        <v>45250</v>
      </c>
      <c r="B1000" s="2" t="s">
        <v>10</v>
      </c>
      <c r="C1000" s="2" t="s">
        <v>29</v>
      </c>
      <c r="D1000" s="2" t="s">
        <v>30</v>
      </c>
      <c r="E1000" s="2" t="s">
        <v>22</v>
      </c>
      <c r="F1000">
        <v>883</v>
      </c>
      <c r="G1000">
        <v>384</v>
      </c>
      <c r="H1000">
        <v>339072</v>
      </c>
      <c r="I1000">
        <v>34739.0769</v>
      </c>
      <c r="J1000" s="2" t="s">
        <v>46</v>
      </c>
    </row>
    <row r="1001" spans="1:10" x14ac:dyDescent="0.35">
      <c r="A1001" s="1">
        <v>45250</v>
      </c>
      <c r="B1001" s="2" t="s">
        <v>31</v>
      </c>
      <c r="C1001" s="2" t="s">
        <v>20</v>
      </c>
      <c r="D1001" s="2" t="s">
        <v>30</v>
      </c>
      <c r="E1001" s="2" t="s">
        <v>24</v>
      </c>
      <c r="F1001">
        <v>616</v>
      </c>
      <c r="G1001">
        <v>161</v>
      </c>
      <c r="H1001">
        <v>99176</v>
      </c>
      <c r="I1001">
        <v>23660.980599999999</v>
      </c>
      <c r="J1001" s="2" t="s">
        <v>46</v>
      </c>
    </row>
    <row r="1002" spans="1:10" x14ac:dyDescent="0.35">
      <c r="A1002" s="1">
        <v>45250</v>
      </c>
      <c r="B1002" s="2" t="s">
        <v>15</v>
      </c>
      <c r="C1002" s="2" t="s">
        <v>23</v>
      </c>
      <c r="D1002" s="2" t="s">
        <v>17</v>
      </c>
      <c r="E1002" s="2" t="s">
        <v>18</v>
      </c>
      <c r="F1002">
        <v>555</v>
      </c>
      <c r="G1002">
        <v>166</v>
      </c>
      <c r="H1002">
        <v>92130</v>
      </c>
      <c r="I1002">
        <v>12810.376200000001</v>
      </c>
      <c r="J1002" s="2" t="s">
        <v>46</v>
      </c>
    </row>
    <row r="1003" spans="1:10" x14ac:dyDescent="0.35">
      <c r="A1003" s="1">
        <v>45251</v>
      </c>
      <c r="B1003" s="2" t="s">
        <v>31</v>
      </c>
      <c r="C1003" s="2" t="s">
        <v>29</v>
      </c>
      <c r="D1003" s="2" t="s">
        <v>21</v>
      </c>
      <c r="E1003" s="2" t="s">
        <v>18</v>
      </c>
      <c r="F1003">
        <v>813</v>
      </c>
      <c r="G1003">
        <v>366</v>
      </c>
      <c r="H1003">
        <v>297558</v>
      </c>
      <c r="I1003">
        <v>66369.304499999998</v>
      </c>
      <c r="J1003" s="2" t="s">
        <v>46</v>
      </c>
    </row>
    <row r="1004" spans="1:10" x14ac:dyDescent="0.35">
      <c r="A1004" s="1">
        <v>45251</v>
      </c>
      <c r="B1004" s="2" t="s">
        <v>31</v>
      </c>
      <c r="C1004" s="2" t="s">
        <v>11</v>
      </c>
      <c r="D1004" s="2" t="s">
        <v>30</v>
      </c>
      <c r="E1004" s="2" t="s">
        <v>24</v>
      </c>
      <c r="F1004">
        <v>565</v>
      </c>
      <c r="G1004">
        <v>211</v>
      </c>
      <c r="H1004">
        <v>119215</v>
      </c>
      <c r="I1004">
        <v>20501.3331</v>
      </c>
      <c r="J1004" s="2" t="s">
        <v>46</v>
      </c>
    </row>
    <row r="1005" spans="1:10" x14ac:dyDescent="0.35">
      <c r="A1005" s="1">
        <v>45252</v>
      </c>
      <c r="B1005" s="2" t="s">
        <v>36</v>
      </c>
      <c r="C1005" s="2" t="s">
        <v>11</v>
      </c>
      <c r="D1005" s="2" t="s">
        <v>12</v>
      </c>
      <c r="E1005" s="2" t="s">
        <v>18</v>
      </c>
      <c r="F1005">
        <v>808</v>
      </c>
      <c r="G1005">
        <v>374</v>
      </c>
      <c r="H1005">
        <v>302192</v>
      </c>
      <c r="I1005">
        <v>26178.451400000002</v>
      </c>
      <c r="J1005" s="2" t="s">
        <v>46</v>
      </c>
    </row>
    <row r="1006" spans="1:10" x14ac:dyDescent="0.35">
      <c r="A1006" s="1">
        <v>45252</v>
      </c>
      <c r="B1006" s="2" t="s">
        <v>15</v>
      </c>
      <c r="C1006" s="2" t="s">
        <v>29</v>
      </c>
      <c r="D1006" s="2" t="s">
        <v>12</v>
      </c>
      <c r="E1006" s="2" t="s">
        <v>13</v>
      </c>
      <c r="F1006">
        <v>61</v>
      </c>
      <c r="G1006">
        <v>309</v>
      </c>
      <c r="H1006">
        <v>18849</v>
      </c>
      <c r="I1006">
        <v>4120.7583999999997</v>
      </c>
      <c r="J1006" s="2" t="s">
        <v>46</v>
      </c>
    </row>
    <row r="1007" spans="1:10" x14ac:dyDescent="0.35">
      <c r="A1007" s="1">
        <v>45253</v>
      </c>
      <c r="B1007" s="2" t="s">
        <v>25</v>
      </c>
      <c r="C1007" s="2" t="s">
        <v>16</v>
      </c>
      <c r="D1007" s="2" t="s">
        <v>30</v>
      </c>
      <c r="E1007" s="2" t="s">
        <v>13</v>
      </c>
      <c r="F1007">
        <v>896</v>
      </c>
      <c r="G1007">
        <v>459</v>
      </c>
      <c r="H1007">
        <v>411264</v>
      </c>
      <c r="I1007">
        <v>36784.445800000001</v>
      </c>
      <c r="J1007" s="2" t="s">
        <v>46</v>
      </c>
    </row>
    <row r="1008" spans="1:10" x14ac:dyDescent="0.35">
      <c r="A1008" s="1">
        <v>45253</v>
      </c>
      <c r="B1008" s="2" t="s">
        <v>26</v>
      </c>
      <c r="C1008" s="2" t="s">
        <v>11</v>
      </c>
      <c r="D1008" s="2" t="s">
        <v>30</v>
      </c>
      <c r="E1008" s="2" t="s">
        <v>18</v>
      </c>
      <c r="F1008">
        <v>545</v>
      </c>
      <c r="G1008">
        <v>393</v>
      </c>
      <c r="H1008">
        <v>214185</v>
      </c>
      <c r="I1008">
        <v>39936.195800000001</v>
      </c>
      <c r="J1008" s="2" t="s">
        <v>46</v>
      </c>
    </row>
    <row r="1009" spans="1:10" x14ac:dyDescent="0.35">
      <c r="A1009" s="1">
        <v>45253</v>
      </c>
      <c r="B1009" s="2" t="s">
        <v>25</v>
      </c>
      <c r="C1009" s="2" t="s">
        <v>11</v>
      </c>
      <c r="D1009" s="2" t="s">
        <v>12</v>
      </c>
      <c r="E1009" s="2" t="s">
        <v>24</v>
      </c>
      <c r="F1009">
        <v>943</v>
      </c>
      <c r="G1009">
        <v>168</v>
      </c>
      <c r="H1009">
        <v>158424</v>
      </c>
      <c r="I1009">
        <v>37766.027099999999</v>
      </c>
      <c r="J1009" s="2" t="s">
        <v>46</v>
      </c>
    </row>
    <row r="1010" spans="1:10" x14ac:dyDescent="0.35">
      <c r="A1010" s="1">
        <v>45253</v>
      </c>
      <c r="B1010" s="2" t="s">
        <v>36</v>
      </c>
      <c r="C1010" s="2" t="s">
        <v>27</v>
      </c>
      <c r="D1010" s="2" t="s">
        <v>17</v>
      </c>
      <c r="E1010" s="2" t="s">
        <v>33</v>
      </c>
      <c r="F1010">
        <v>814</v>
      </c>
      <c r="G1010">
        <v>301</v>
      </c>
      <c r="H1010">
        <v>245014</v>
      </c>
      <c r="I1010">
        <v>48969.447999999997</v>
      </c>
      <c r="J1010" s="2" t="s">
        <v>46</v>
      </c>
    </row>
    <row r="1011" spans="1:10" x14ac:dyDescent="0.35">
      <c r="A1011" s="1">
        <v>45254</v>
      </c>
      <c r="B1011" s="2" t="s">
        <v>25</v>
      </c>
      <c r="C1011" s="2" t="s">
        <v>16</v>
      </c>
      <c r="D1011" s="2" t="s">
        <v>17</v>
      </c>
      <c r="E1011" s="2" t="s">
        <v>13</v>
      </c>
      <c r="F1011">
        <v>835</v>
      </c>
      <c r="G1011">
        <v>257</v>
      </c>
      <c r="H1011">
        <v>214595</v>
      </c>
      <c r="I1011">
        <v>44244.706100000003</v>
      </c>
      <c r="J1011" s="2" t="s">
        <v>46</v>
      </c>
    </row>
    <row r="1012" spans="1:10" x14ac:dyDescent="0.35">
      <c r="A1012" s="1">
        <v>45254</v>
      </c>
      <c r="B1012" s="2" t="s">
        <v>25</v>
      </c>
      <c r="C1012" s="2" t="s">
        <v>23</v>
      </c>
      <c r="D1012" s="2" t="s">
        <v>30</v>
      </c>
      <c r="E1012" s="2" t="s">
        <v>35</v>
      </c>
      <c r="F1012">
        <v>667</v>
      </c>
      <c r="G1012">
        <v>325</v>
      </c>
      <c r="H1012">
        <v>216775</v>
      </c>
      <c r="I1012">
        <v>33417.002200000003</v>
      </c>
      <c r="J1012" s="2" t="s">
        <v>46</v>
      </c>
    </row>
    <row r="1013" spans="1:10" x14ac:dyDescent="0.35">
      <c r="A1013" s="1">
        <v>45254</v>
      </c>
      <c r="B1013" s="2" t="s">
        <v>34</v>
      </c>
      <c r="C1013" s="2" t="s">
        <v>16</v>
      </c>
      <c r="D1013" s="2" t="s">
        <v>21</v>
      </c>
      <c r="E1013" s="2" t="s">
        <v>28</v>
      </c>
      <c r="F1013">
        <v>162</v>
      </c>
      <c r="G1013">
        <v>321</v>
      </c>
      <c r="H1013">
        <v>52002</v>
      </c>
      <c r="I1013">
        <v>5474.6202000000003</v>
      </c>
      <c r="J1013" s="2" t="s">
        <v>46</v>
      </c>
    </row>
    <row r="1014" spans="1:10" x14ac:dyDescent="0.35">
      <c r="A1014" s="1">
        <v>45255</v>
      </c>
      <c r="B1014" s="2" t="s">
        <v>25</v>
      </c>
      <c r="C1014" s="2" t="s">
        <v>29</v>
      </c>
      <c r="D1014" s="2" t="s">
        <v>30</v>
      </c>
      <c r="E1014" s="2" t="s">
        <v>24</v>
      </c>
      <c r="F1014">
        <v>919</v>
      </c>
      <c r="G1014">
        <v>358</v>
      </c>
      <c r="H1014">
        <v>329002</v>
      </c>
      <c r="I1014">
        <v>80729.914099999995</v>
      </c>
      <c r="J1014" s="2" t="s">
        <v>46</v>
      </c>
    </row>
    <row r="1015" spans="1:10" x14ac:dyDescent="0.35">
      <c r="A1015" s="1">
        <v>45255</v>
      </c>
      <c r="B1015" s="2" t="s">
        <v>15</v>
      </c>
      <c r="C1015" s="2" t="s">
        <v>16</v>
      </c>
      <c r="D1015" s="2" t="s">
        <v>12</v>
      </c>
      <c r="E1015" s="2" t="s">
        <v>13</v>
      </c>
      <c r="F1015">
        <v>472</v>
      </c>
      <c r="G1015">
        <v>322</v>
      </c>
      <c r="H1015">
        <v>151984</v>
      </c>
      <c r="I1015">
        <v>30102.1875</v>
      </c>
      <c r="J1015" s="2" t="s">
        <v>46</v>
      </c>
    </row>
    <row r="1016" spans="1:10" x14ac:dyDescent="0.35">
      <c r="A1016" s="1">
        <v>45255</v>
      </c>
      <c r="B1016" s="2" t="s">
        <v>34</v>
      </c>
      <c r="C1016" s="2" t="s">
        <v>27</v>
      </c>
      <c r="D1016" s="2" t="s">
        <v>17</v>
      </c>
      <c r="E1016" s="2" t="s">
        <v>24</v>
      </c>
      <c r="F1016">
        <v>866</v>
      </c>
      <c r="G1016">
        <v>312</v>
      </c>
      <c r="H1016">
        <v>270192</v>
      </c>
      <c r="I1016">
        <v>63325.614600000001</v>
      </c>
      <c r="J1016" s="2" t="s">
        <v>46</v>
      </c>
    </row>
    <row r="1017" spans="1:10" x14ac:dyDescent="0.35">
      <c r="A1017" s="1">
        <v>45255</v>
      </c>
      <c r="B1017" s="2" t="s">
        <v>31</v>
      </c>
      <c r="C1017" s="2" t="s">
        <v>23</v>
      </c>
      <c r="D1017" s="2" t="s">
        <v>12</v>
      </c>
      <c r="E1017" s="2" t="s">
        <v>35</v>
      </c>
      <c r="F1017">
        <v>51</v>
      </c>
      <c r="G1017">
        <v>293</v>
      </c>
      <c r="H1017">
        <v>14943</v>
      </c>
      <c r="I1017">
        <v>3440.4643999999998</v>
      </c>
      <c r="J1017" s="2" t="s">
        <v>46</v>
      </c>
    </row>
    <row r="1018" spans="1:10" x14ac:dyDescent="0.35">
      <c r="A1018" s="1">
        <v>45256</v>
      </c>
      <c r="B1018" s="2" t="s">
        <v>26</v>
      </c>
      <c r="C1018" s="2" t="s">
        <v>29</v>
      </c>
      <c r="D1018" s="2" t="s">
        <v>17</v>
      </c>
      <c r="E1018" s="2" t="s">
        <v>18</v>
      </c>
      <c r="F1018">
        <v>585</v>
      </c>
      <c r="G1018">
        <v>489</v>
      </c>
      <c r="H1018">
        <v>286065</v>
      </c>
      <c r="I1018">
        <v>58218.571199999998</v>
      </c>
      <c r="J1018" s="2" t="s">
        <v>46</v>
      </c>
    </row>
    <row r="1019" spans="1:10" x14ac:dyDescent="0.35">
      <c r="A1019" s="1">
        <v>45256</v>
      </c>
      <c r="B1019" s="2" t="s">
        <v>26</v>
      </c>
      <c r="C1019" s="2" t="s">
        <v>20</v>
      </c>
      <c r="D1019" s="2" t="s">
        <v>21</v>
      </c>
      <c r="E1019" s="2" t="s">
        <v>24</v>
      </c>
      <c r="F1019">
        <v>507</v>
      </c>
      <c r="G1019">
        <v>456</v>
      </c>
      <c r="H1019">
        <v>231192</v>
      </c>
      <c r="I1019">
        <v>21667.999</v>
      </c>
      <c r="J1019" s="2" t="s">
        <v>46</v>
      </c>
    </row>
    <row r="1020" spans="1:10" x14ac:dyDescent="0.35">
      <c r="A1020" s="1">
        <v>45256</v>
      </c>
      <c r="B1020" s="2" t="s">
        <v>10</v>
      </c>
      <c r="C1020" s="2" t="s">
        <v>27</v>
      </c>
      <c r="D1020" s="2" t="s">
        <v>30</v>
      </c>
      <c r="E1020" s="2" t="s">
        <v>35</v>
      </c>
      <c r="F1020">
        <v>526</v>
      </c>
      <c r="G1020">
        <v>188</v>
      </c>
      <c r="H1020">
        <v>98888</v>
      </c>
      <c r="I1020">
        <v>23626.5105</v>
      </c>
      <c r="J1020" s="2" t="s">
        <v>46</v>
      </c>
    </row>
    <row r="1021" spans="1:10" x14ac:dyDescent="0.35">
      <c r="A1021" s="1">
        <v>45257</v>
      </c>
      <c r="B1021" s="2" t="s">
        <v>31</v>
      </c>
      <c r="C1021" s="2" t="s">
        <v>20</v>
      </c>
      <c r="D1021" s="2" t="s">
        <v>17</v>
      </c>
      <c r="E1021" s="2" t="s">
        <v>18</v>
      </c>
      <c r="F1021">
        <v>291</v>
      </c>
      <c r="G1021">
        <v>237</v>
      </c>
      <c r="H1021">
        <v>68967</v>
      </c>
      <c r="I1021">
        <v>5861.0910999999996</v>
      </c>
      <c r="J1021" s="2" t="s">
        <v>46</v>
      </c>
    </row>
    <row r="1022" spans="1:10" x14ac:dyDescent="0.35">
      <c r="A1022" s="1">
        <v>45257</v>
      </c>
      <c r="B1022" s="2" t="s">
        <v>19</v>
      </c>
      <c r="C1022" s="2" t="s">
        <v>29</v>
      </c>
      <c r="D1022" s="2" t="s">
        <v>21</v>
      </c>
      <c r="E1022" s="2" t="s">
        <v>35</v>
      </c>
      <c r="F1022">
        <v>800</v>
      </c>
      <c r="G1022">
        <v>314</v>
      </c>
      <c r="H1022">
        <v>251200</v>
      </c>
      <c r="I1022">
        <v>34732.113899999997</v>
      </c>
      <c r="J1022" s="2" t="s">
        <v>46</v>
      </c>
    </row>
    <row r="1023" spans="1:10" x14ac:dyDescent="0.35">
      <c r="A1023" s="1">
        <v>45257</v>
      </c>
      <c r="B1023" s="2" t="s">
        <v>31</v>
      </c>
      <c r="C1023" s="2" t="s">
        <v>16</v>
      </c>
      <c r="D1023" s="2" t="s">
        <v>17</v>
      </c>
      <c r="E1023" s="2" t="s">
        <v>35</v>
      </c>
      <c r="F1023">
        <v>364</v>
      </c>
      <c r="G1023">
        <v>158</v>
      </c>
      <c r="H1023">
        <v>57512</v>
      </c>
      <c r="I1023">
        <v>8468.5411000000004</v>
      </c>
      <c r="J1023" s="2" t="s">
        <v>46</v>
      </c>
    </row>
    <row r="1024" spans="1:10" x14ac:dyDescent="0.35">
      <c r="A1024" s="1">
        <v>45257</v>
      </c>
      <c r="B1024" s="2" t="s">
        <v>34</v>
      </c>
      <c r="C1024" s="2" t="s">
        <v>29</v>
      </c>
      <c r="D1024" s="2" t="s">
        <v>12</v>
      </c>
      <c r="E1024" s="2" t="s">
        <v>22</v>
      </c>
      <c r="F1024">
        <v>132</v>
      </c>
      <c r="G1024">
        <v>265</v>
      </c>
      <c r="H1024">
        <v>34980</v>
      </c>
      <c r="I1024">
        <v>6789.1048000000001</v>
      </c>
      <c r="J1024" s="2" t="s">
        <v>46</v>
      </c>
    </row>
    <row r="1025" spans="1:10" x14ac:dyDescent="0.35">
      <c r="A1025" s="1">
        <v>45257</v>
      </c>
      <c r="B1025" s="2" t="s">
        <v>31</v>
      </c>
      <c r="C1025" s="2" t="s">
        <v>29</v>
      </c>
      <c r="D1025" s="2" t="s">
        <v>21</v>
      </c>
      <c r="E1025" s="2" t="s">
        <v>18</v>
      </c>
      <c r="F1025">
        <v>318</v>
      </c>
      <c r="G1025">
        <v>287</v>
      </c>
      <c r="H1025">
        <v>91266</v>
      </c>
      <c r="I1025">
        <v>16452.807000000001</v>
      </c>
      <c r="J1025" s="2" t="s">
        <v>46</v>
      </c>
    </row>
    <row r="1026" spans="1:10" x14ac:dyDescent="0.35">
      <c r="A1026" s="1">
        <v>45258</v>
      </c>
      <c r="B1026" s="2" t="s">
        <v>31</v>
      </c>
      <c r="C1026" s="2" t="s">
        <v>23</v>
      </c>
      <c r="D1026" s="2" t="s">
        <v>30</v>
      </c>
      <c r="E1026" s="2" t="s">
        <v>35</v>
      </c>
      <c r="F1026">
        <v>953</v>
      </c>
      <c r="G1026">
        <v>156</v>
      </c>
      <c r="H1026">
        <v>148668</v>
      </c>
      <c r="I1026">
        <v>20775.9532</v>
      </c>
      <c r="J1026" s="2" t="s">
        <v>46</v>
      </c>
    </row>
    <row r="1027" spans="1:10" x14ac:dyDescent="0.35">
      <c r="A1027" s="1">
        <v>45258</v>
      </c>
      <c r="B1027" s="2" t="s">
        <v>31</v>
      </c>
      <c r="C1027" s="2" t="s">
        <v>11</v>
      </c>
      <c r="D1027" s="2" t="s">
        <v>12</v>
      </c>
      <c r="E1027" s="2" t="s">
        <v>22</v>
      </c>
      <c r="F1027">
        <v>546</v>
      </c>
      <c r="G1027">
        <v>438</v>
      </c>
      <c r="H1027">
        <v>239148</v>
      </c>
      <c r="I1027">
        <v>43275.972999999998</v>
      </c>
      <c r="J1027" s="2" t="s">
        <v>46</v>
      </c>
    </row>
    <row r="1028" spans="1:10" x14ac:dyDescent="0.35">
      <c r="A1028" s="1">
        <v>45259</v>
      </c>
      <c r="B1028" s="2" t="s">
        <v>19</v>
      </c>
      <c r="C1028" s="2" t="s">
        <v>16</v>
      </c>
      <c r="D1028" s="2" t="s">
        <v>21</v>
      </c>
      <c r="E1028" s="2" t="s">
        <v>35</v>
      </c>
      <c r="F1028">
        <v>184</v>
      </c>
      <c r="G1028">
        <v>301</v>
      </c>
      <c r="H1028">
        <v>55384</v>
      </c>
      <c r="I1028">
        <v>8190.5316000000003</v>
      </c>
      <c r="J1028" s="2" t="s">
        <v>46</v>
      </c>
    </row>
    <row r="1029" spans="1:10" x14ac:dyDescent="0.35">
      <c r="A1029" s="1">
        <v>45259</v>
      </c>
      <c r="B1029" s="2" t="s">
        <v>26</v>
      </c>
      <c r="C1029" s="2" t="s">
        <v>23</v>
      </c>
      <c r="D1029" s="2" t="s">
        <v>17</v>
      </c>
      <c r="E1029" s="2" t="s">
        <v>18</v>
      </c>
      <c r="F1029">
        <v>287</v>
      </c>
      <c r="G1029">
        <v>473</v>
      </c>
      <c r="H1029">
        <v>135751</v>
      </c>
      <c r="I1029">
        <v>12204.684600000001</v>
      </c>
      <c r="J1029" s="2" t="s">
        <v>46</v>
      </c>
    </row>
    <row r="1030" spans="1:10" x14ac:dyDescent="0.35">
      <c r="A1030" s="1">
        <v>45260</v>
      </c>
      <c r="B1030" s="2" t="s">
        <v>31</v>
      </c>
      <c r="C1030" s="2" t="s">
        <v>29</v>
      </c>
      <c r="D1030" s="2" t="s">
        <v>12</v>
      </c>
      <c r="E1030" s="2" t="s">
        <v>35</v>
      </c>
      <c r="F1030">
        <v>716</v>
      </c>
      <c r="G1030">
        <v>368</v>
      </c>
      <c r="H1030">
        <v>263488</v>
      </c>
      <c r="I1030">
        <v>27785.691200000001</v>
      </c>
      <c r="J1030" s="2" t="s">
        <v>46</v>
      </c>
    </row>
    <row r="1031" spans="1:10" x14ac:dyDescent="0.35">
      <c r="A1031" s="1">
        <v>45260</v>
      </c>
      <c r="B1031" s="2" t="s">
        <v>15</v>
      </c>
      <c r="C1031" s="2" t="s">
        <v>20</v>
      </c>
      <c r="D1031" s="2" t="s">
        <v>17</v>
      </c>
      <c r="E1031" s="2" t="s">
        <v>32</v>
      </c>
      <c r="F1031">
        <v>686</v>
      </c>
      <c r="G1031">
        <v>442</v>
      </c>
      <c r="H1031">
        <v>303212</v>
      </c>
      <c r="I1031">
        <v>43178.622000000003</v>
      </c>
      <c r="J1031" s="2" t="s">
        <v>46</v>
      </c>
    </row>
    <row r="1032" spans="1:10" x14ac:dyDescent="0.35">
      <c r="A1032" s="1">
        <v>45260</v>
      </c>
      <c r="B1032" s="2" t="s">
        <v>19</v>
      </c>
      <c r="C1032" s="2" t="s">
        <v>29</v>
      </c>
      <c r="D1032" s="2" t="s">
        <v>30</v>
      </c>
      <c r="E1032" s="2" t="s">
        <v>18</v>
      </c>
      <c r="F1032">
        <v>574</v>
      </c>
      <c r="G1032">
        <v>197</v>
      </c>
      <c r="H1032">
        <v>113078</v>
      </c>
      <c r="I1032">
        <v>18566.452499999999</v>
      </c>
      <c r="J1032" s="2" t="s">
        <v>46</v>
      </c>
    </row>
    <row r="1033" spans="1:10" x14ac:dyDescent="0.35">
      <c r="A1033" s="1">
        <v>45260</v>
      </c>
      <c r="B1033" s="2" t="s">
        <v>31</v>
      </c>
      <c r="C1033" s="2" t="s">
        <v>16</v>
      </c>
      <c r="D1033" s="2" t="s">
        <v>21</v>
      </c>
      <c r="E1033" s="2" t="s">
        <v>13</v>
      </c>
      <c r="F1033">
        <v>903</v>
      </c>
      <c r="G1033">
        <v>116</v>
      </c>
      <c r="H1033">
        <v>104748</v>
      </c>
      <c r="I1033">
        <v>16364.859200000001</v>
      </c>
      <c r="J1033" s="2" t="s">
        <v>46</v>
      </c>
    </row>
    <row r="1034" spans="1:10" x14ac:dyDescent="0.35">
      <c r="A1034" s="1">
        <v>45261</v>
      </c>
      <c r="B1034" s="2" t="s">
        <v>34</v>
      </c>
      <c r="C1034" s="2" t="s">
        <v>11</v>
      </c>
      <c r="D1034" s="2" t="s">
        <v>17</v>
      </c>
      <c r="E1034" s="2" t="s">
        <v>13</v>
      </c>
      <c r="F1034">
        <v>787</v>
      </c>
      <c r="G1034">
        <v>235</v>
      </c>
      <c r="H1034">
        <v>184945</v>
      </c>
      <c r="I1034">
        <v>23879.9938</v>
      </c>
      <c r="J1034" s="2" t="s">
        <v>47</v>
      </c>
    </row>
    <row r="1035" spans="1:10" x14ac:dyDescent="0.35">
      <c r="A1035" s="1">
        <v>45261</v>
      </c>
      <c r="B1035" s="2" t="s">
        <v>31</v>
      </c>
      <c r="C1035" s="2" t="s">
        <v>23</v>
      </c>
      <c r="D1035" s="2" t="s">
        <v>21</v>
      </c>
      <c r="E1035" s="2" t="s">
        <v>33</v>
      </c>
      <c r="F1035">
        <v>176</v>
      </c>
      <c r="G1035">
        <v>379</v>
      </c>
      <c r="H1035">
        <v>66704</v>
      </c>
      <c r="I1035">
        <v>16309.3006</v>
      </c>
      <c r="J1035" s="2" t="s">
        <v>47</v>
      </c>
    </row>
    <row r="1036" spans="1:10" x14ac:dyDescent="0.35">
      <c r="A1036" s="1">
        <v>45261</v>
      </c>
      <c r="B1036" s="2" t="s">
        <v>25</v>
      </c>
      <c r="C1036" s="2" t="s">
        <v>11</v>
      </c>
      <c r="D1036" s="2" t="s">
        <v>17</v>
      </c>
      <c r="E1036" s="2" t="s">
        <v>24</v>
      </c>
      <c r="F1036">
        <v>152</v>
      </c>
      <c r="G1036">
        <v>328</v>
      </c>
      <c r="H1036">
        <v>49856</v>
      </c>
      <c r="I1036">
        <v>4109.9210999999996</v>
      </c>
      <c r="J1036" s="2" t="s">
        <v>47</v>
      </c>
    </row>
    <row r="1037" spans="1:10" x14ac:dyDescent="0.35">
      <c r="A1037" s="1">
        <v>45261</v>
      </c>
      <c r="B1037" s="2" t="s">
        <v>25</v>
      </c>
      <c r="C1037" s="2" t="s">
        <v>16</v>
      </c>
      <c r="D1037" s="2" t="s">
        <v>21</v>
      </c>
      <c r="E1037" s="2" t="s">
        <v>18</v>
      </c>
      <c r="F1037">
        <v>428</v>
      </c>
      <c r="G1037">
        <v>185</v>
      </c>
      <c r="H1037">
        <v>79180</v>
      </c>
      <c r="I1037">
        <v>10733.9527</v>
      </c>
      <c r="J1037" s="2" t="s">
        <v>47</v>
      </c>
    </row>
    <row r="1038" spans="1:10" x14ac:dyDescent="0.35">
      <c r="A1038" s="1">
        <v>45262</v>
      </c>
      <c r="B1038" s="2" t="s">
        <v>10</v>
      </c>
      <c r="C1038" s="2" t="s">
        <v>11</v>
      </c>
      <c r="D1038" s="2" t="s">
        <v>30</v>
      </c>
      <c r="E1038" s="2" t="s">
        <v>33</v>
      </c>
      <c r="F1038">
        <v>503</v>
      </c>
      <c r="G1038">
        <v>410</v>
      </c>
      <c r="H1038">
        <v>206230</v>
      </c>
      <c r="I1038">
        <v>16868.865000000002</v>
      </c>
      <c r="J1038" s="2" t="s">
        <v>47</v>
      </c>
    </row>
    <row r="1039" spans="1:10" x14ac:dyDescent="0.35">
      <c r="A1039" s="1">
        <v>45262</v>
      </c>
      <c r="B1039" s="2" t="s">
        <v>25</v>
      </c>
      <c r="C1039" s="2" t="s">
        <v>20</v>
      </c>
      <c r="D1039" s="2" t="s">
        <v>12</v>
      </c>
      <c r="E1039" s="2" t="s">
        <v>13</v>
      </c>
      <c r="F1039">
        <v>123</v>
      </c>
      <c r="G1039">
        <v>102</v>
      </c>
      <c r="H1039">
        <v>12546</v>
      </c>
      <c r="I1039">
        <v>2461.4553000000001</v>
      </c>
      <c r="J1039" s="2" t="s">
        <v>47</v>
      </c>
    </row>
    <row r="1040" spans="1:10" x14ac:dyDescent="0.35">
      <c r="A1040" s="1">
        <v>45262</v>
      </c>
      <c r="B1040" s="2" t="s">
        <v>19</v>
      </c>
      <c r="C1040" s="2" t="s">
        <v>16</v>
      </c>
      <c r="D1040" s="2" t="s">
        <v>30</v>
      </c>
      <c r="E1040" s="2" t="s">
        <v>28</v>
      </c>
      <c r="F1040">
        <v>672</v>
      </c>
      <c r="G1040">
        <v>112</v>
      </c>
      <c r="H1040">
        <v>75264</v>
      </c>
      <c r="I1040">
        <v>9411.6710000000003</v>
      </c>
      <c r="J1040" s="2" t="s">
        <v>47</v>
      </c>
    </row>
    <row r="1041" spans="1:10" x14ac:dyDescent="0.35">
      <c r="A1041" s="1">
        <v>45262</v>
      </c>
      <c r="B1041" s="2" t="s">
        <v>34</v>
      </c>
      <c r="C1041" s="2" t="s">
        <v>29</v>
      </c>
      <c r="D1041" s="2" t="s">
        <v>30</v>
      </c>
      <c r="E1041" s="2" t="s">
        <v>24</v>
      </c>
      <c r="F1041">
        <v>576</v>
      </c>
      <c r="G1041">
        <v>199</v>
      </c>
      <c r="H1041">
        <v>114624</v>
      </c>
      <c r="I1041">
        <v>9938.9881000000005</v>
      </c>
      <c r="J1041" s="2" t="s">
        <v>47</v>
      </c>
    </row>
    <row r="1042" spans="1:10" x14ac:dyDescent="0.35">
      <c r="A1042" s="1">
        <v>45262</v>
      </c>
      <c r="B1042" s="2" t="s">
        <v>10</v>
      </c>
      <c r="C1042" s="2" t="s">
        <v>29</v>
      </c>
      <c r="D1042" s="2" t="s">
        <v>17</v>
      </c>
      <c r="E1042" s="2" t="s">
        <v>33</v>
      </c>
      <c r="F1042">
        <v>772</v>
      </c>
      <c r="G1042">
        <v>405</v>
      </c>
      <c r="H1042">
        <v>312660</v>
      </c>
      <c r="I1042">
        <v>34998.8514</v>
      </c>
      <c r="J1042" s="2" t="s">
        <v>47</v>
      </c>
    </row>
    <row r="1043" spans="1:10" x14ac:dyDescent="0.35">
      <c r="A1043" s="1">
        <v>45262</v>
      </c>
      <c r="B1043" s="2" t="s">
        <v>36</v>
      </c>
      <c r="C1043" s="2" t="s">
        <v>16</v>
      </c>
      <c r="D1043" s="2" t="s">
        <v>30</v>
      </c>
      <c r="E1043" s="2" t="s">
        <v>35</v>
      </c>
      <c r="F1043">
        <v>501</v>
      </c>
      <c r="G1043">
        <v>263</v>
      </c>
      <c r="H1043">
        <v>131763</v>
      </c>
      <c r="I1043">
        <v>13846.2883</v>
      </c>
      <c r="J1043" s="2" t="s">
        <v>47</v>
      </c>
    </row>
    <row r="1044" spans="1:10" x14ac:dyDescent="0.35">
      <c r="A1044" s="1">
        <v>45263</v>
      </c>
      <c r="B1044" s="2" t="s">
        <v>10</v>
      </c>
      <c r="C1044" s="2" t="s">
        <v>11</v>
      </c>
      <c r="D1044" s="2" t="s">
        <v>17</v>
      </c>
      <c r="E1044" s="2" t="s">
        <v>28</v>
      </c>
      <c r="F1044">
        <v>291</v>
      </c>
      <c r="G1044">
        <v>238</v>
      </c>
      <c r="H1044">
        <v>69258</v>
      </c>
      <c r="I1044">
        <v>10267.301100000001</v>
      </c>
      <c r="J1044" s="2" t="s">
        <v>47</v>
      </c>
    </row>
    <row r="1045" spans="1:10" x14ac:dyDescent="0.35">
      <c r="A1045" s="1">
        <v>45263</v>
      </c>
      <c r="B1045" s="2" t="s">
        <v>15</v>
      </c>
      <c r="C1045" s="2" t="s">
        <v>16</v>
      </c>
      <c r="D1045" s="2" t="s">
        <v>17</v>
      </c>
      <c r="E1045" s="2" t="s">
        <v>32</v>
      </c>
      <c r="F1045">
        <v>568</v>
      </c>
      <c r="G1045">
        <v>224</v>
      </c>
      <c r="H1045">
        <v>127232</v>
      </c>
      <c r="I1045">
        <v>28711.8737</v>
      </c>
      <c r="J1045" s="2" t="s">
        <v>47</v>
      </c>
    </row>
    <row r="1046" spans="1:10" x14ac:dyDescent="0.35">
      <c r="A1046" s="1">
        <v>45263</v>
      </c>
      <c r="B1046" s="2" t="s">
        <v>25</v>
      </c>
      <c r="C1046" s="2" t="s">
        <v>27</v>
      </c>
      <c r="D1046" s="2" t="s">
        <v>12</v>
      </c>
      <c r="E1046" s="2" t="s">
        <v>24</v>
      </c>
      <c r="F1046">
        <v>672</v>
      </c>
      <c r="G1046">
        <v>424</v>
      </c>
      <c r="H1046">
        <v>284928</v>
      </c>
      <c r="I1046">
        <v>32551.734400000001</v>
      </c>
      <c r="J1046" s="2" t="s">
        <v>47</v>
      </c>
    </row>
    <row r="1047" spans="1:10" x14ac:dyDescent="0.35">
      <c r="A1047" s="1">
        <v>45264</v>
      </c>
      <c r="B1047" s="2" t="s">
        <v>34</v>
      </c>
      <c r="C1047" s="2" t="s">
        <v>27</v>
      </c>
      <c r="D1047" s="2" t="s">
        <v>12</v>
      </c>
      <c r="E1047" s="2" t="s">
        <v>22</v>
      </c>
      <c r="F1047">
        <v>892</v>
      </c>
      <c r="G1047">
        <v>201</v>
      </c>
      <c r="H1047">
        <v>179292</v>
      </c>
      <c r="I1047">
        <v>35553.032500000001</v>
      </c>
      <c r="J1047" s="2" t="s">
        <v>47</v>
      </c>
    </row>
    <row r="1048" spans="1:10" x14ac:dyDescent="0.35">
      <c r="A1048" s="1">
        <v>45264</v>
      </c>
      <c r="B1048" s="2" t="s">
        <v>31</v>
      </c>
      <c r="C1048" s="2" t="s">
        <v>27</v>
      </c>
      <c r="D1048" s="2" t="s">
        <v>12</v>
      </c>
      <c r="E1048" s="2" t="s">
        <v>33</v>
      </c>
      <c r="F1048">
        <v>997</v>
      </c>
      <c r="G1048">
        <v>100</v>
      </c>
      <c r="H1048">
        <v>99700</v>
      </c>
      <c r="I1048">
        <v>22999.8714</v>
      </c>
      <c r="J1048" s="2" t="s">
        <v>47</v>
      </c>
    </row>
    <row r="1049" spans="1:10" x14ac:dyDescent="0.35">
      <c r="A1049" s="1">
        <v>45264</v>
      </c>
      <c r="B1049" s="2" t="s">
        <v>36</v>
      </c>
      <c r="C1049" s="2" t="s">
        <v>29</v>
      </c>
      <c r="D1049" s="2" t="s">
        <v>30</v>
      </c>
      <c r="E1049" s="2" t="s">
        <v>35</v>
      </c>
      <c r="F1049">
        <v>357</v>
      </c>
      <c r="G1049">
        <v>308</v>
      </c>
      <c r="H1049">
        <v>109956</v>
      </c>
      <c r="I1049">
        <v>18333.258999999998</v>
      </c>
      <c r="J1049" s="2" t="s">
        <v>47</v>
      </c>
    </row>
    <row r="1050" spans="1:10" x14ac:dyDescent="0.35">
      <c r="A1050" s="1">
        <v>45264</v>
      </c>
      <c r="B1050" s="2" t="s">
        <v>31</v>
      </c>
      <c r="C1050" s="2" t="s">
        <v>27</v>
      </c>
      <c r="D1050" s="2" t="s">
        <v>17</v>
      </c>
      <c r="E1050" s="2" t="s">
        <v>33</v>
      </c>
      <c r="F1050">
        <v>118</v>
      </c>
      <c r="G1050">
        <v>493</v>
      </c>
      <c r="H1050">
        <v>58174</v>
      </c>
      <c r="I1050">
        <v>7539.2560999999996</v>
      </c>
      <c r="J1050" s="2" t="s">
        <v>47</v>
      </c>
    </row>
    <row r="1051" spans="1:10" x14ac:dyDescent="0.35">
      <c r="A1051" s="1">
        <v>45264</v>
      </c>
      <c r="B1051" s="2" t="s">
        <v>36</v>
      </c>
      <c r="C1051" s="2" t="s">
        <v>23</v>
      </c>
      <c r="D1051" s="2" t="s">
        <v>17</v>
      </c>
      <c r="E1051" s="2" t="s">
        <v>32</v>
      </c>
      <c r="F1051">
        <v>379</v>
      </c>
      <c r="G1051">
        <v>133</v>
      </c>
      <c r="H1051">
        <v>50407</v>
      </c>
      <c r="I1051">
        <v>8828.0067999999992</v>
      </c>
      <c r="J1051" s="2" t="s">
        <v>47</v>
      </c>
    </row>
    <row r="1052" spans="1:10" x14ac:dyDescent="0.35">
      <c r="A1052" s="1">
        <v>45264</v>
      </c>
      <c r="B1052" s="2" t="s">
        <v>36</v>
      </c>
      <c r="C1052" s="2" t="s">
        <v>16</v>
      </c>
      <c r="D1052" s="2" t="s">
        <v>21</v>
      </c>
      <c r="E1052" s="2" t="s">
        <v>13</v>
      </c>
      <c r="F1052">
        <v>859</v>
      </c>
      <c r="G1052">
        <v>486</v>
      </c>
      <c r="H1052">
        <v>417474</v>
      </c>
      <c r="I1052">
        <v>86614.448900000003</v>
      </c>
      <c r="J1052" s="2" t="s">
        <v>47</v>
      </c>
    </row>
    <row r="1053" spans="1:10" x14ac:dyDescent="0.35">
      <c r="A1053" s="1">
        <v>45264</v>
      </c>
      <c r="B1053" s="2" t="s">
        <v>25</v>
      </c>
      <c r="C1053" s="2" t="s">
        <v>16</v>
      </c>
      <c r="D1053" s="2" t="s">
        <v>21</v>
      </c>
      <c r="E1053" s="2" t="s">
        <v>18</v>
      </c>
      <c r="F1053">
        <v>535</v>
      </c>
      <c r="G1053">
        <v>115</v>
      </c>
      <c r="H1053">
        <v>61525</v>
      </c>
      <c r="I1053">
        <v>15105.6317</v>
      </c>
      <c r="J1053" s="2" t="s">
        <v>47</v>
      </c>
    </row>
    <row r="1054" spans="1:10" x14ac:dyDescent="0.35">
      <c r="A1054" s="1">
        <v>45264</v>
      </c>
      <c r="B1054" s="2" t="s">
        <v>15</v>
      </c>
      <c r="C1054" s="2" t="s">
        <v>23</v>
      </c>
      <c r="D1054" s="2" t="s">
        <v>12</v>
      </c>
      <c r="E1054" s="2" t="s">
        <v>35</v>
      </c>
      <c r="F1054">
        <v>293</v>
      </c>
      <c r="G1054">
        <v>264</v>
      </c>
      <c r="H1054">
        <v>77352</v>
      </c>
      <c r="I1054">
        <v>15625.255800000001</v>
      </c>
      <c r="J1054" s="2" t="s">
        <v>47</v>
      </c>
    </row>
    <row r="1055" spans="1:10" x14ac:dyDescent="0.35">
      <c r="A1055" s="1">
        <v>45265</v>
      </c>
      <c r="B1055" s="2" t="s">
        <v>10</v>
      </c>
      <c r="C1055" s="2" t="s">
        <v>11</v>
      </c>
      <c r="D1055" s="2" t="s">
        <v>21</v>
      </c>
      <c r="E1055" s="2" t="s">
        <v>35</v>
      </c>
      <c r="F1055">
        <v>484</v>
      </c>
      <c r="G1055">
        <v>159</v>
      </c>
      <c r="H1055">
        <v>76956</v>
      </c>
      <c r="I1055">
        <v>18187.4493</v>
      </c>
      <c r="J1055" s="2" t="s">
        <v>47</v>
      </c>
    </row>
    <row r="1056" spans="1:10" x14ac:dyDescent="0.35">
      <c r="A1056" s="1">
        <v>45265</v>
      </c>
      <c r="B1056" s="2" t="s">
        <v>34</v>
      </c>
      <c r="C1056" s="2" t="s">
        <v>20</v>
      </c>
      <c r="D1056" s="2" t="s">
        <v>17</v>
      </c>
      <c r="E1056" s="2" t="s">
        <v>13</v>
      </c>
      <c r="F1056">
        <v>950</v>
      </c>
      <c r="G1056">
        <v>120</v>
      </c>
      <c r="H1056">
        <v>114000</v>
      </c>
      <c r="I1056">
        <v>23830.4938</v>
      </c>
      <c r="J1056" s="2" t="s">
        <v>47</v>
      </c>
    </row>
    <row r="1057" spans="1:10" x14ac:dyDescent="0.35">
      <c r="A1057" s="1">
        <v>45265</v>
      </c>
      <c r="B1057" s="2" t="s">
        <v>15</v>
      </c>
      <c r="C1057" s="2" t="s">
        <v>23</v>
      </c>
      <c r="D1057" s="2" t="s">
        <v>12</v>
      </c>
      <c r="E1057" s="2" t="s">
        <v>28</v>
      </c>
      <c r="F1057">
        <v>891</v>
      </c>
      <c r="G1057">
        <v>209</v>
      </c>
      <c r="H1057">
        <v>186219</v>
      </c>
      <c r="I1057">
        <v>25177.262999999999</v>
      </c>
      <c r="J1057" s="2" t="s">
        <v>47</v>
      </c>
    </row>
    <row r="1058" spans="1:10" x14ac:dyDescent="0.35">
      <c r="A1058" s="1">
        <v>45265</v>
      </c>
      <c r="B1058" s="2" t="s">
        <v>10</v>
      </c>
      <c r="C1058" s="2" t="s">
        <v>16</v>
      </c>
      <c r="D1058" s="2" t="s">
        <v>12</v>
      </c>
      <c r="E1058" s="2" t="s">
        <v>18</v>
      </c>
      <c r="F1058">
        <v>862</v>
      </c>
      <c r="G1058">
        <v>414</v>
      </c>
      <c r="H1058">
        <v>356868</v>
      </c>
      <c r="I1058">
        <v>66239.874899999995</v>
      </c>
      <c r="J1058" s="2" t="s">
        <v>47</v>
      </c>
    </row>
    <row r="1059" spans="1:10" x14ac:dyDescent="0.35">
      <c r="A1059" s="1">
        <v>45266</v>
      </c>
      <c r="B1059" s="2" t="s">
        <v>10</v>
      </c>
      <c r="C1059" s="2" t="s">
        <v>29</v>
      </c>
      <c r="D1059" s="2" t="s">
        <v>30</v>
      </c>
      <c r="E1059" s="2" t="s">
        <v>32</v>
      </c>
      <c r="F1059">
        <v>955</v>
      </c>
      <c r="G1059">
        <v>255</v>
      </c>
      <c r="H1059">
        <v>243525</v>
      </c>
      <c r="I1059">
        <v>32156.765100000001</v>
      </c>
      <c r="J1059" s="2" t="s">
        <v>47</v>
      </c>
    </row>
    <row r="1060" spans="1:10" x14ac:dyDescent="0.35">
      <c r="A1060" s="1">
        <v>45267</v>
      </c>
      <c r="B1060" s="2" t="s">
        <v>36</v>
      </c>
      <c r="C1060" s="2" t="s">
        <v>23</v>
      </c>
      <c r="D1060" s="2" t="s">
        <v>30</v>
      </c>
      <c r="E1060" s="2" t="s">
        <v>35</v>
      </c>
      <c r="F1060">
        <v>100</v>
      </c>
      <c r="G1060">
        <v>312</v>
      </c>
      <c r="H1060">
        <v>31200</v>
      </c>
      <c r="I1060">
        <v>6240.0226000000002</v>
      </c>
      <c r="J1060" s="2" t="s">
        <v>47</v>
      </c>
    </row>
    <row r="1061" spans="1:10" x14ac:dyDescent="0.35">
      <c r="A1061" s="1">
        <v>45267</v>
      </c>
      <c r="B1061" s="2" t="s">
        <v>10</v>
      </c>
      <c r="C1061" s="2" t="s">
        <v>23</v>
      </c>
      <c r="D1061" s="2" t="s">
        <v>30</v>
      </c>
      <c r="E1061" s="2" t="s">
        <v>18</v>
      </c>
      <c r="F1061">
        <v>357</v>
      </c>
      <c r="G1061">
        <v>304</v>
      </c>
      <c r="H1061">
        <v>108528</v>
      </c>
      <c r="I1061">
        <v>13161.8097</v>
      </c>
      <c r="J1061" s="2" t="s">
        <v>47</v>
      </c>
    </row>
    <row r="1062" spans="1:10" x14ac:dyDescent="0.35">
      <c r="A1062" s="1">
        <v>45267</v>
      </c>
      <c r="B1062" s="2" t="s">
        <v>31</v>
      </c>
      <c r="C1062" s="2" t="s">
        <v>29</v>
      </c>
      <c r="D1062" s="2" t="s">
        <v>30</v>
      </c>
      <c r="E1062" s="2" t="s">
        <v>24</v>
      </c>
      <c r="F1062">
        <v>576</v>
      </c>
      <c r="G1062">
        <v>262</v>
      </c>
      <c r="H1062">
        <v>150912</v>
      </c>
      <c r="I1062">
        <v>17565.310399999998</v>
      </c>
      <c r="J1062" s="2" t="s">
        <v>47</v>
      </c>
    </row>
    <row r="1063" spans="1:10" x14ac:dyDescent="0.35">
      <c r="A1063" s="1">
        <v>45267</v>
      </c>
      <c r="B1063" s="2" t="s">
        <v>31</v>
      </c>
      <c r="C1063" s="2" t="s">
        <v>16</v>
      </c>
      <c r="D1063" s="2" t="s">
        <v>17</v>
      </c>
      <c r="E1063" s="2" t="s">
        <v>32</v>
      </c>
      <c r="F1063">
        <v>921</v>
      </c>
      <c r="G1063">
        <v>105</v>
      </c>
      <c r="H1063">
        <v>96705</v>
      </c>
      <c r="I1063">
        <v>13944.7677</v>
      </c>
      <c r="J1063" s="2" t="s">
        <v>47</v>
      </c>
    </row>
    <row r="1064" spans="1:10" x14ac:dyDescent="0.35">
      <c r="A1064" s="1">
        <v>45268</v>
      </c>
      <c r="B1064" s="2" t="s">
        <v>10</v>
      </c>
      <c r="C1064" s="2" t="s">
        <v>11</v>
      </c>
      <c r="D1064" s="2" t="s">
        <v>17</v>
      </c>
      <c r="E1064" s="2" t="s">
        <v>22</v>
      </c>
      <c r="F1064">
        <v>427</v>
      </c>
      <c r="G1064">
        <v>118</v>
      </c>
      <c r="H1064">
        <v>50386</v>
      </c>
      <c r="I1064">
        <v>10845.218500000001</v>
      </c>
      <c r="J1064" s="2" t="s">
        <v>47</v>
      </c>
    </row>
    <row r="1065" spans="1:10" x14ac:dyDescent="0.35">
      <c r="A1065" s="1">
        <v>45268</v>
      </c>
      <c r="B1065" s="2" t="s">
        <v>31</v>
      </c>
      <c r="C1065" s="2" t="s">
        <v>27</v>
      </c>
      <c r="D1065" s="2" t="s">
        <v>21</v>
      </c>
      <c r="E1065" s="2" t="s">
        <v>18</v>
      </c>
      <c r="F1065">
        <v>155</v>
      </c>
      <c r="G1065">
        <v>310</v>
      </c>
      <c r="H1065">
        <v>48050</v>
      </c>
      <c r="I1065">
        <v>9143.6666000000005</v>
      </c>
      <c r="J1065" s="2" t="s">
        <v>47</v>
      </c>
    </row>
    <row r="1066" spans="1:10" x14ac:dyDescent="0.35">
      <c r="A1066" s="1">
        <v>45268</v>
      </c>
      <c r="B1066" s="2" t="s">
        <v>10</v>
      </c>
      <c r="C1066" s="2" t="s">
        <v>23</v>
      </c>
      <c r="D1066" s="2" t="s">
        <v>30</v>
      </c>
      <c r="E1066" s="2" t="s">
        <v>32</v>
      </c>
      <c r="F1066">
        <v>693</v>
      </c>
      <c r="G1066">
        <v>350</v>
      </c>
      <c r="H1066">
        <v>242550</v>
      </c>
      <c r="I1066">
        <v>34650.308799999999</v>
      </c>
      <c r="J1066" s="2" t="s">
        <v>47</v>
      </c>
    </row>
    <row r="1067" spans="1:10" x14ac:dyDescent="0.35">
      <c r="A1067" s="1">
        <v>45268</v>
      </c>
      <c r="B1067" s="2" t="s">
        <v>15</v>
      </c>
      <c r="C1067" s="2" t="s">
        <v>23</v>
      </c>
      <c r="D1067" s="2" t="s">
        <v>12</v>
      </c>
      <c r="E1067" s="2" t="s">
        <v>22</v>
      </c>
      <c r="F1067">
        <v>864</v>
      </c>
      <c r="G1067">
        <v>413</v>
      </c>
      <c r="H1067">
        <v>356832</v>
      </c>
      <c r="I1067">
        <v>48148.770900000003</v>
      </c>
      <c r="J1067" s="2" t="s">
        <v>47</v>
      </c>
    </row>
    <row r="1068" spans="1:10" x14ac:dyDescent="0.35">
      <c r="A1068" s="1">
        <v>45268</v>
      </c>
      <c r="B1068" s="2" t="s">
        <v>26</v>
      </c>
      <c r="C1068" s="2" t="s">
        <v>29</v>
      </c>
      <c r="D1068" s="2" t="s">
        <v>17</v>
      </c>
      <c r="E1068" s="2" t="s">
        <v>18</v>
      </c>
      <c r="F1068">
        <v>268</v>
      </c>
      <c r="G1068">
        <v>384</v>
      </c>
      <c r="H1068">
        <v>102912</v>
      </c>
      <c r="I1068">
        <v>25350.341499999999</v>
      </c>
      <c r="J1068" s="2" t="s">
        <v>47</v>
      </c>
    </row>
    <row r="1069" spans="1:10" x14ac:dyDescent="0.35">
      <c r="A1069" s="1">
        <v>45269</v>
      </c>
      <c r="B1069" s="2" t="s">
        <v>19</v>
      </c>
      <c r="C1069" s="2" t="s">
        <v>29</v>
      </c>
      <c r="D1069" s="2" t="s">
        <v>12</v>
      </c>
      <c r="E1069" s="2" t="s">
        <v>28</v>
      </c>
      <c r="F1069">
        <v>324</v>
      </c>
      <c r="G1069">
        <v>234</v>
      </c>
      <c r="H1069">
        <v>75816</v>
      </c>
      <c r="I1069">
        <v>15152.1016</v>
      </c>
      <c r="J1069" s="2" t="s">
        <v>47</v>
      </c>
    </row>
    <row r="1070" spans="1:10" x14ac:dyDescent="0.35">
      <c r="A1070" s="1">
        <v>45269</v>
      </c>
      <c r="B1070" s="2" t="s">
        <v>10</v>
      </c>
      <c r="C1070" s="2" t="s">
        <v>27</v>
      </c>
      <c r="D1070" s="2" t="s">
        <v>21</v>
      </c>
      <c r="E1070" s="2" t="s">
        <v>18</v>
      </c>
      <c r="F1070">
        <v>636</v>
      </c>
      <c r="G1070">
        <v>432</v>
      </c>
      <c r="H1070">
        <v>274752</v>
      </c>
      <c r="I1070">
        <v>60079.435799999999</v>
      </c>
      <c r="J1070" s="2" t="s">
        <v>47</v>
      </c>
    </row>
    <row r="1071" spans="1:10" x14ac:dyDescent="0.35">
      <c r="A1071" s="1">
        <v>45269</v>
      </c>
      <c r="B1071" s="2" t="s">
        <v>10</v>
      </c>
      <c r="C1071" s="2" t="s">
        <v>11</v>
      </c>
      <c r="D1071" s="2" t="s">
        <v>21</v>
      </c>
      <c r="E1071" s="2" t="s">
        <v>24</v>
      </c>
      <c r="F1071">
        <v>178</v>
      </c>
      <c r="G1071">
        <v>473</v>
      </c>
      <c r="H1071">
        <v>84194</v>
      </c>
      <c r="I1071">
        <v>20835.6119</v>
      </c>
      <c r="J1071" s="2" t="s">
        <v>47</v>
      </c>
    </row>
    <row r="1072" spans="1:10" x14ac:dyDescent="0.35">
      <c r="A1072" s="1">
        <v>45270</v>
      </c>
      <c r="B1072" s="2" t="s">
        <v>25</v>
      </c>
      <c r="C1072" s="2" t="s">
        <v>23</v>
      </c>
      <c r="D1072" s="2" t="s">
        <v>12</v>
      </c>
      <c r="E1072" s="2" t="s">
        <v>28</v>
      </c>
      <c r="F1072">
        <v>587</v>
      </c>
      <c r="G1072">
        <v>261</v>
      </c>
      <c r="H1072">
        <v>153207</v>
      </c>
      <c r="I1072">
        <v>16498.598099999999</v>
      </c>
      <c r="J1072" s="2" t="s">
        <v>47</v>
      </c>
    </row>
    <row r="1073" spans="1:10" x14ac:dyDescent="0.35">
      <c r="A1073" s="1">
        <v>45270</v>
      </c>
      <c r="B1073" s="2" t="s">
        <v>10</v>
      </c>
      <c r="C1073" s="2" t="s">
        <v>27</v>
      </c>
      <c r="D1073" s="2" t="s">
        <v>30</v>
      </c>
      <c r="E1073" s="2" t="s">
        <v>33</v>
      </c>
      <c r="F1073">
        <v>693</v>
      </c>
      <c r="G1073">
        <v>424</v>
      </c>
      <c r="H1073">
        <v>293832</v>
      </c>
      <c r="I1073">
        <v>36760.009100000003</v>
      </c>
      <c r="J1073" s="2" t="s">
        <v>47</v>
      </c>
    </row>
    <row r="1074" spans="1:10" x14ac:dyDescent="0.35">
      <c r="A1074" s="1">
        <v>45271</v>
      </c>
      <c r="B1074" s="2" t="s">
        <v>25</v>
      </c>
      <c r="C1074" s="2" t="s">
        <v>23</v>
      </c>
      <c r="D1074" s="2" t="s">
        <v>17</v>
      </c>
      <c r="E1074" s="2" t="s">
        <v>33</v>
      </c>
      <c r="F1074">
        <v>911</v>
      </c>
      <c r="G1074">
        <v>180</v>
      </c>
      <c r="H1074">
        <v>163980</v>
      </c>
      <c r="I1074">
        <v>23381.6721</v>
      </c>
      <c r="J1074" s="2" t="s">
        <v>47</v>
      </c>
    </row>
    <row r="1075" spans="1:10" x14ac:dyDescent="0.35">
      <c r="A1075" s="1">
        <v>45271</v>
      </c>
      <c r="B1075" s="2" t="s">
        <v>10</v>
      </c>
      <c r="C1075" s="2" t="s">
        <v>16</v>
      </c>
      <c r="D1075" s="2" t="s">
        <v>12</v>
      </c>
      <c r="E1075" s="2" t="s">
        <v>33</v>
      </c>
      <c r="F1075">
        <v>217</v>
      </c>
      <c r="G1075">
        <v>487</v>
      </c>
      <c r="H1075">
        <v>105679</v>
      </c>
      <c r="I1075">
        <v>10246.6793</v>
      </c>
      <c r="J1075" s="2" t="s">
        <v>47</v>
      </c>
    </row>
    <row r="1076" spans="1:10" x14ac:dyDescent="0.35">
      <c r="A1076" s="1">
        <v>45272</v>
      </c>
      <c r="B1076" s="2" t="s">
        <v>26</v>
      </c>
      <c r="C1076" s="2" t="s">
        <v>16</v>
      </c>
      <c r="D1076" s="2" t="s">
        <v>17</v>
      </c>
      <c r="E1076" s="2" t="s">
        <v>24</v>
      </c>
      <c r="F1076">
        <v>578</v>
      </c>
      <c r="G1076">
        <v>342</v>
      </c>
      <c r="H1076">
        <v>197676</v>
      </c>
      <c r="I1076">
        <v>32053.2464</v>
      </c>
      <c r="J1076" s="2" t="s">
        <v>47</v>
      </c>
    </row>
    <row r="1077" spans="1:10" x14ac:dyDescent="0.35">
      <c r="A1077" s="1">
        <v>45272</v>
      </c>
      <c r="B1077" s="2" t="s">
        <v>34</v>
      </c>
      <c r="C1077" s="2" t="s">
        <v>23</v>
      </c>
      <c r="D1077" s="2" t="s">
        <v>30</v>
      </c>
      <c r="E1077" s="2" t="s">
        <v>33</v>
      </c>
      <c r="F1077">
        <v>392</v>
      </c>
      <c r="G1077">
        <v>302</v>
      </c>
      <c r="H1077">
        <v>118384</v>
      </c>
      <c r="I1077">
        <v>22817.721699999998</v>
      </c>
      <c r="J1077" s="2" t="s">
        <v>47</v>
      </c>
    </row>
    <row r="1078" spans="1:10" x14ac:dyDescent="0.35">
      <c r="A1078" s="1">
        <v>45272</v>
      </c>
      <c r="B1078" s="2" t="s">
        <v>10</v>
      </c>
      <c r="C1078" s="2" t="s">
        <v>20</v>
      </c>
      <c r="D1078" s="2" t="s">
        <v>17</v>
      </c>
      <c r="E1078" s="2" t="s">
        <v>33</v>
      </c>
      <c r="F1078">
        <v>469</v>
      </c>
      <c r="G1078">
        <v>127</v>
      </c>
      <c r="H1078">
        <v>59563</v>
      </c>
      <c r="I1078">
        <v>6341.8764000000001</v>
      </c>
      <c r="J1078" s="2" t="s">
        <v>47</v>
      </c>
    </row>
    <row r="1079" spans="1:10" x14ac:dyDescent="0.35">
      <c r="A1079" s="1">
        <v>45273</v>
      </c>
      <c r="B1079" s="2" t="s">
        <v>15</v>
      </c>
      <c r="C1079" s="2" t="s">
        <v>27</v>
      </c>
      <c r="D1079" s="2" t="s">
        <v>12</v>
      </c>
      <c r="E1079" s="2" t="s">
        <v>18</v>
      </c>
      <c r="F1079">
        <v>754</v>
      </c>
      <c r="G1079">
        <v>103</v>
      </c>
      <c r="H1079">
        <v>77662</v>
      </c>
      <c r="I1079">
        <v>16740.3125</v>
      </c>
      <c r="J1079" s="2" t="s">
        <v>47</v>
      </c>
    </row>
    <row r="1080" spans="1:10" x14ac:dyDescent="0.35">
      <c r="A1080" s="1">
        <v>45273</v>
      </c>
      <c r="B1080" s="2" t="s">
        <v>26</v>
      </c>
      <c r="C1080" s="2" t="s">
        <v>27</v>
      </c>
      <c r="D1080" s="2" t="s">
        <v>12</v>
      </c>
      <c r="E1080" s="2" t="s">
        <v>13</v>
      </c>
      <c r="F1080">
        <v>376</v>
      </c>
      <c r="G1080">
        <v>445</v>
      </c>
      <c r="H1080">
        <v>167320</v>
      </c>
      <c r="I1080">
        <v>32561.9054</v>
      </c>
      <c r="J1080" s="2" t="s">
        <v>47</v>
      </c>
    </row>
    <row r="1081" spans="1:10" x14ac:dyDescent="0.35">
      <c r="A1081" s="1">
        <v>45274</v>
      </c>
      <c r="B1081" s="2" t="s">
        <v>19</v>
      </c>
      <c r="C1081" s="2" t="s">
        <v>29</v>
      </c>
      <c r="D1081" s="2" t="s">
        <v>30</v>
      </c>
      <c r="E1081" s="2" t="s">
        <v>18</v>
      </c>
      <c r="F1081">
        <v>392</v>
      </c>
      <c r="G1081">
        <v>147</v>
      </c>
      <c r="H1081">
        <v>57624</v>
      </c>
      <c r="I1081">
        <v>14269.5589</v>
      </c>
      <c r="J1081" s="2" t="s">
        <v>47</v>
      </c>
    </row>
    <row r="1082" spans="1:10" x14ac:dyDescent="0.35">
      <c r="A1082" s="1">
        <v>45274</v>
      </c>
      <c r="B1082" s="2" t="s">
        <v>34</v>
      </c>
      <c r="C1082" s="2" t="s">
        <v>11</v>
      </c>
      <c r="D1082" s="2" t="s">
        <v>12</v>
      </c>
      <c r="E1082" s="2" t="s">
        <v>32</v>
      </c>
      <c r="F1082">
        <v>55</v>
      </c>
      <c r="G1082">
        <v>340</v>
      </c>
      <c r="H1082">
        <v>18700</v>
      </c>
      <c r="I1082">
        <v>3049.8912</v>
      </c>
      <c r="J1082" s="2" t="s">
        <v>47</v>
      </c>
    </row>
    <row r="1083" spans="1:10" x14ac:dyDescent="0.35">
      <c r="A1083" s="1">
        <v>45274</v>
      </c>
      <c r="B1083" s="2" t="s">
        <v>10</v>
      </c>
      <c r="C1083" s="2" t="s">
        <v>20</v>
      </c>
      <c r="D1083" s="2" t="s">
        <v>30</v>
      </c>
      <c r="E1083" s="2" t="s">
        <v>18</v>
      </c>
      <c r="F1083">
        <v>428</v>
      </c>
      <c r="G1083">
        <v>374</v>
      </c>
      <c r="H1083">
        <v>160072</v>
      </c>
      <c r="I1083">
        <v>17796.742300000002</v>
      </c>
      <c r="J1083" s="2" t="s">
        <v>47</v>
      </c>
    </row>
    <row r="1084" spans="1:10" x14ac:dyDescent="0.35">
      <c r="A1084" s="1">
        <v>45275</v>
      </c>
      <c r="B1084" s="2" t="s">
        <v>26</v>
      </c>
      <c r="C1084" s="2" t="s">
        <v>20</v>
      </c>
      <c r="D1084" s="2" t="s">
        <v>21</v>
      </c>
      <c r="E1084" s="2" t="s">
        <v>22</v>
      </c>
      <c r="F1084">
        <v>884</v>
      </c>
      <c r="G1084">
        <v>394</v>
      </c>
      <c r="H1084">
        <v>348296</v>
      </c>
      <c r="I1084">
        <v>36901.633900000001</v>
      </c>
      <c r="J1084" s="2" t="s">
        <v>47</v>
      </c>
    </row>
    <row r="1085" spans="1:10" x14ac:dyDescent="0.35">
      <c r="A1085" s="1">
        <v>45275</v>
      </c>
      <c r="B1085" s="2" t="s">
        <v>26</v>
      </c>
      <c r="C1085" s="2" t="s">
        <v>16</v>
      </c>
      <c r="D1085" s="2" t="s">
        <v>17</v>
      </c>
      <c r="E1085" s="2" t="s">
        <v>33</v>
      </c>
      <c r="F1085">
        <v>427</v>
      </c>
      <c r="G1085">
        <v>179</v>
      </c>
      <c r="H1085">
        <v>76433</v>
      </c>
      <c r="I1085">
        <v>11301.439200000001</v>
      </c>
      <c r="J1085" s="2" t="s">
        <v>47</v>
      </c>
    </row>
    <row r="1086" spans="1:10" x14ac:dyDescent="0.35">
      <c r="A1086" s="1">
        <v>45275</v>
      </c>
      <c r="B1086" s="2" t="s">
        <v>15</v>
      </c>
      <c r="C1086" s="2" t="s">
        <v>11</v>
      </c>
      <c r="D1086" s="2" t="s">
        <v>17</v>
      </c>
      <c r="E1086" s="2" t="s">
        <v>28</v>
      </c>
      <c r="F1086">
        <v>291</v>
      </c>
      <c r="G1086">
        <v>442</v>
      </c>
      <c r="H1086">
        <v>128622</v>
      </c>
      <c r="I1086">
        <v>16577.7291</v>
      </c>
      <c r="J1086" s="2" t="s">
        <v>47</v>
      </c>
    </row>
    <row r="1087" spans="1:10" x14ac:dyDescent="0.35">
      <c r="A1087" s="1">
        <v>45276</v>
      </c>
      <c r="B1087" s="2" t="s">
        <v>31</v>
      </c>
      <c r="C1087" s="2" t="s">
        <v>16</v>
      </c>
      <c r="D1087" s="2" t="s">
        <v>21</v>
      </c>
      <c r="E1087" s="2" t="s">
        <v>35</v>
      </c>
      <c r="F1087">
        <v>452</v>
      </c>
      <c r="G1087">
        <v>262</v>
      </c>
      <c r="H1087">
        <v>118424</v>
      </c>
      <c r="I1087">
        <v>10225.222299999999</v>
      </c>
      <c r="J1087" s="2" t="s">
        <v>47</v>
      </c>
    </row>
    <row r="1088" spans="1:10" x14ac:dyDescent="0.35">
      <c r="A1088" s="1">
        <v>45276</v>
      </c>
      <c r="B1088" s="2" t="s">
        <v>36</v>
      </c>
      <c r="C1088" s="2" t="s">
        <v>11</v>
      </c>
      <c r="D1088" s="2" t="s">
        <v>17</v>
      </c>
      <c r="E1088" s="2" t="s">
        <v>32</v>
      </c>
      <c r="F1088">
        <v>569</v>
      </c>
      <c r="G1088">
        <v>126</v>
      </c>
      <c r="H1088">
        <v>71694</v>
      </c>
      <c r="I1088">
        <v>6159.4786999999997</v>
      </c>
      <c r="J1088" s="2" t="s">
        <v>47</v>
      </c>
    </row>
    <row r="1089" spans="1:10" x14ac:dyDescent="0.35">
      <c r="A1089" s="1">
        <v>45276</v>
      </c>
      <c r="B1089" s="2" t="s">
        <v>36</v>
      </c>
      <c r="C1089" s="2" t="s">
        <v>20</v>
      </c>
      <c r="D1089" s="2" t="s">
        <v>17</v>
      </c>
      <c r="E1089" s="2" t="s">
        <v>32</v>
      </c>
      <c r="F1089">
        <v>806</v>
      </c>
      <c r="G1089">
        <v>335</v>
      </c>
      <c r="H1089">
        <v>270010</v>
      </c>
      <c r="I1089">
        <v>42266.048999999999</v>
      </c>
      <c r="J1089" s="2" t="s">
        <v>47</v>
      </c>
    </row>
    <row r="1090" spans="1:10" x14ac:dyDescent="0.35">
      <c r="A1090" s="1">
        <v>45276</v>
      </c>
      <c r="B1090" s="2" t="s">
        <v>10</v>
      </c>
      <c r="C1090" s="2" t="s">
        <v>11</v>
      </c>
      <c r="D1090" s="2" t="s">
        <v>17</v>
      </c>
      <c r="E1090" s="2" t="s">
        <v>13</v>
      </c>
      <c r="F1090">
        <v>278</v>
      </c>
      <c r="G1090">
        <v>490</v>
      </c>
      <c r="H1090">
        <v>136220</v>
      </c>
      <c r="I1090">
        <v>21955.8151</v>
      </c>
      <c r="J1090" s="2" t="s">
        <v>47</v>
      </c>
    </row>
    <row r="1091" spans="1:10" x14ac:dyDescent="0.35">
      <c r="A1091" s="1">
        <v>45277</v>
      </c>
      <c r="B1091" s="2" t="s">
        <v>25</v>
      </c>
      <c r="C1091" s="2" t="s">
        <v>27</v>
      </c>
      <c r="D1091" s="2" t="s">
        <v>12</v>
      </c>
      <c r="E1091" s="2" t="s">
        <v>33</v>
      </c>
      <c r="F1091">
        <v>721</v>
      </c>
      <c r="G1091">
        <v>294</v>
      </c>
      <c r="H1091">
        <v>211974</v>
      </c>
      <c r="I1091">
        <v>34880.263400000003</v>
      </c>
      <c r="J1091" s="2" t="s">
        <v>47</v>
      </c>
    </row>
    <row r="1092" spans="1:10" x14ac:dyDescent="0.35">
      <c r="A1092" s="1">
        <v>45279</v>
      </c>
      <c r="B1092" s="2" t="s">
        <v>36</v>
      </c>
      <c r="C1092" s="2" t="s">
        <v>27</v>
      </c>
      <c r="D1092" s="2" t="s">
        <v>17</v>
      </c>
      <c r="E1092" s="2" t="s">
        <v>13</v>
      </c>
      <c r="F1092">
        <v>225</v>
      </c>
      <c r="G1092">
        <v>260</v>
      </c>
      <c r="H1092">
        <v>58500</v>
      </c>
      <c r="I1092">
        <v>8072.4614000000001</v>
      </c>
      <c r="J1092" s="2" t="s">
        <v>47</v>
      </c>
    </row>
    <row r="1093" spans="1:10" x14ac:dyDescent="0.35">
      <c r="A1093" s="1">
        <v>45279</v>
      </c>
      <c r="B1093" s="2" t="s">
        <v>34</v>
      </c>
      <c r="C1093" s="2" t="s">
        <v>23</v>
      </c>
      <c r="D1093" s="2" t="s">
        <v>12</v>
      </c>
      <c r="E1093" s="2" t="s">
        <v>24</v>
      </c>
      <c r="F1093">
        <v>81</v>
      </c>
      <c r="G1093">
        <v>404</v>
      </c>
      <c r="H1093">
        <v>32724</v>
      </c>
      <c r="I1093">
        <v>3988.8535999999999</v>
      </c>
      <c r="J1093" s="2" t="s">
        <v>47</v>
      </c>
    </row>
    <row r="1094" spans="1:10" x14ac:dyDescent="0.35">
      <c r="A1094" s="1">
        <v>45279</v>
      </c>
      <c r="B1094" s="2" t="s">
        <v>36</v>
      </c>
      <c r="C1094" s="2" t="s">
        <v>11</v>
      </c>
      <c r="D1094" s="2" t="s">
        <v>30</v>
      </c>
      <c r="E1094" s="2" t="s">
        <v>24</v>
      </c>
      <c r="F1094">
        <v>866</v>
      </c>
      <c r="G1094">
        <v>327</v>
      </c>
      <c r="H1094">
        <v>283182</v>
      </c>
      <c r="I1094">
        <v>28595.497100000001</v>
      </c>
      <c r="J1094" s="2" t="s">
        <v>47</v>
      </c>
    </row>
    <row r="1095" spans="1:10" x14ac:dyDescent="0.35">
      <c r="A1095" s="1">
        <v>45279</v>
      </c>
      <c r="B1095" s="2" t="s">
        <v>15</v>
      </c>
      <c r="C1095" s="2" t="s">
        <v>20</v>
      </c>
      <c r="D1095" s="2" t="s">
        <v>12</v>
      </c>
      <c r="E1095" s="2" t="s">
        <v>22</v>
      </c>
      <c r="F1095">
        <v>623</v>
      </c>
      <c r="G1095">
        <v>210</v>
      </c>
      <c r="H1095">
        <v>130830</v>
      </c>
      <c r="I1095">
        <v>20105.875499999998</v>
      </c>
      <c r="J1095" s="2" t="s">
        <v>47</v>
      </c>
    </row>
    <row r="1096" spans="1:10" x14ac:dyDescent="0.35">
      <c r="A1096" s="1">
        <v>45280</v>
      </c>
      <c r="B1096" s="2" t="s">
        <v>31</v>
      </c>
      <c r="C1096" s="2" t="s">
        <v>29</v>
      </c>
      <c r="D1096" s="2" t="s">
        <v>30</v>
      </c>
      <c r="E1096" s="2" t="s">
        <v>24</v>
      </c>
      <c r="F1096">
        <v>194</v>
      </c>
      <c r="G1096">
        <v>157</v>
      </c>
      <c r="H1096">
        <v>30458</v>
      </c>
      <c r="I1096">
        <v>3813.3216000000002</v>
      </c>
      <c r="J1096" s="2" t="s">
        <v>47</v>
      </c>
    </row>
    <row r="1097" spans="1:10" x14ac:dyDescent="0.35">
      <c r="A1097" s="1">
        <v>45280</v>
      </c>
      <c r="B1097" s="2" t="s">
        <v>15</v>
      </c>
      <c r="C1097" s="2" t="s">
        <v>11</v>
      </c>
      <c r="D1097" s="2" t="s">
        <v>30</v>
      </c>
      <c r="E1097" s="2" t="s">
        <v>13</v>
      </c>
      <c r="F1097">
        <v>493</v>
      </c>
      <c r="G1097">
        <v>455</v>
      </c>
      <c r="H1097">
        <v>224315</v>
      </c>
      <c r="I1097">
        <v>37197.996599999999</v>
      </c>
      <c r="J1097" s="2" t="s">
        <v>47</v>
      </c>
    </row>
    <row r="1098" spans="1:10" x14ac:dyDescent="0.35">
      <c r="A1098" s="1">
        <v>45280</v>
      </c>
      <c r="B1098" s="2" t="s">
        <v>26</v>
      </c>
      <c r="C1098" s="2" t="s">
        <v>20</v>
      </c>
      <c r="D1098" s="2" t="s">
        <v>30</v>
      </c>
      <c r="E1098" s="2" t="s">
        <v>22</v>
      </c>
      <c r="F1098">
        <v>380</v>
      </c>
      <c r="G1098">
        <v>280</v>
      </c>
      <c r="H1098">
        <v>106400</v>
      </c>
      <c r="I1098">
        <v>17258.946</v>
      </c>
      <c r="J1098" s="2" t="s">
        <v>47</v>
      </c>
    </row>
    <row r="1099" spans="1:10" x14ac:dyDescent="0.35">
      <c r="A1099" s="1">
        <v>45282</v>
      </c>
      <c r="B1099" s="2" t="s">
        <v>19</v>
      </c>
      <c r="C1099" s="2" t="s">
        <v>20</v>
      </c>
      <c r="D1099" s="2" t="s">
        <v>30</v>
      </c>
      <c r="E1099" s="2" t="s">
        <v>33</v>
      </c>
      <c r="F1099">
        <v>831</v>
      </c>
      <c r="G1099">
        <v>465</v>
      </c>
      <c r="H1099">
        <v>386415</v>
      </c>
      <c r="I1099">
        <v>83221.431299999997</v>
      </c>
      <c r="J1099" s="2" t="s">
        <v>47</v>
      </c>
    </row>
    <row r="1100" spans="1:10" x14ac:dyDescent="0.35">
      <c r="A1100" s="1">
        <v>45282</v>
      </c>
      <c r="B1100" s="2" t="s">
        <v>31</v>
      </c>
      <c r="C1100" s="2" t="s">
        <v>20</v>
      </c>
      <c r="D1100" s="2" t="s">
        <v>12</v>
      </c>
      <c r="E1100" s="2" t="s">
        <v>18</v>
      </c>
      <c r="F1100">
        <v>179</v>
      </c>
      <c r="G1100">
        <v>270</v>
      </c>
      <c r="H1100">
        <v>48330</v>
      </c>
      <c r="I1100">
        <v>12035.665199999999</v>
      </c>
      <c r="J1100" s="2" t="s">
        <v>47</v>
      </c>
    </row>
    <row r="1101" spans="1:10" x14ac:dyDescent="0.35">
      <c r="A1101" s="1">
        <v>45282</v>
      </c>
      <c r="B1101" s="2" t="s">
        <v>19</v>
      </c>
      <c r="C1101" s="2" t="s">
        <v>16</v>
      </c>
      <c r="D1101" s="2" t="s">
        <v>21</v>
      </c>
      <c r="E1101" s="2" t="s">
        <v>18</v>
      </c>
      <c r="F1101">
        <v>194</v>
      </c>
      <c r="G1101">
        <v>468</v>
      </c>
      <c r="H1101">
        <v>90792</v>
      </c>
      <c r="I1101">
        <v>15850.7538</v>
      </c>
      <c r="J1101" s="2" t="s">
        <v>47</v>
      </c>
    </row>
    <row r="1102" spans="1:10" x14ac:dyDescent="0.35">
      <c r="A1102" s="1">
        <v>45282</v>
      </c>
      <c r="B1102" s="2" t="s">
        <v>15</v>
      </c>
      <c r="C1102" s="2" t="s">
        <v>27</v>
      </c>
      <c r="D1102" s="2" t="s">
        <v>12</v>
      </c>
      <c r="E1102" s="2" t="s">
        <v>13</v>
      </c>
      <c r="F1102">
        <v>569</v>
      </c>
      <c r="G1102">
        <v>240</v>
      </c>
      <c r="H1102">
        <v>136560</v>
      </c>
      <c r="I1102">
        <v>15092.839599999999</v>
      </c>
      <c r="J1102" s="2" t="s">
        <v>47</v>
      </c>
    </row>
    <row r="1103" spans="1:10" x14ac:dyDescent="0.35">
      <c r="A1103" s="1">
        <v>45282</v>
      </c>
      <c r="B1103" s="2" t="s">
        <v>34</v>
      </c>
      <c r="C1103" s="2" t="s">
        <v>27</v>
      </c>
      <c r="D1103" s="2" t="s">
        <v>21</v>
      </c>
      <c r="E1103" s="2" t="s">
        <v>13</v>
      </c>
      <c r="F1103">
        <v>75</v>
      </c>
      <c r="G1103">
        <v>405</v>
      </c>
      <c r="H1103">
        <v>30375</v>
      </c>
      <c r="I1103">
        <v>5729.4072999999999</v>
      </c>
      <c r="J1103" s="2" t="s">
        <v>47</v>
      </c>
    </row>
    <row r="1104" spans="1:10" x14ac:dyDescent="0.35">
      <c r="A1104" s="1">
        <v>45283</v>
      </c>
      <c r="B1104" s="2" t="s">
        <v>26</v>
      </c>
      <c r="C1104" s="2" t="s">
        <v>11</v>
      </c>
      <c r="D1104" s="2" t="s">
        <v>21</v>
      </c>
      <c r="E1104" s="2" t="s">
        <v>18</v>
      </c>
      <c r="F1104">
        <v>547</v>
      </c>
      <c r="G1104">
        <v>113</v>
      </c>
      <c r="H1104">
        <v>61811</v>
      </c>
      <c r="I1104">
        <v>10334.6785</v>
      </c>
      <c r="J1104" s="2" t="s">
        <v>47</v>
      </c>
    </row>
    <row r="1105" spans="1:10" x14ac:dyDescent="0.35">
      <c r="A1105" s="1">
        <v>45283</v>
      </c>
      <c r="B1105" s="2" t="s">
        <v>15</v>
      </c>
      <c r="C1105" s="2" t="s">
        <v>16</v>
      </c>
      <c r="D1105" s="2" t="s">
        <v>21</v>
      </c>
      <c r="E1105" s="2" t="s">
        <v>32</v>
      </c>
      <c r="F1105">
        <v>468</v>
      </c>
      <c r="G1105">
        <v>371</v>
      </c>
      <c r="H1105">
        <v>173628</v>
      </c>
      <c r="I1105">
        <v>36239.174500000001</v>
      </c>
      <c r="J1105" s="2" t="s">
        <v>47</v>
      </c>
    </row>
    <row r="1106" spans="1:10" x14ac:dyDescent="0.35">
      <c r="A1106" s="1">
        <v>45284</v>
      </c>
      <c r="B1106" s="2" t="s">
        <v>15</v>
      </c>
      <c r="C1106" s="2" t="s">
        <v>20</v>
      </c>
      <c r="D1106" s="2" t="s">
        <v>17</v>
      </c>
      <c r="E1106" s="2" t="s">
        <v>13</v>
      </c>
      <c r="F1106">
        <v>50</v>
      </c>
      <c r="G1106">
        <v>118</v>
      </c>
      <c r="H1106">
        <v>5900</v>
      </c>
      <c r="I1106">
        <v>669.17629999999997</v>
      </c>
      <c r="J1106" s="2" t="s">
        <v>47</v>
      </c>
    </row>
    <row r="1107" spans="1:10" x14ac:dyDescent="0.35">
      <c r="A1107" s="1">
        <v>45284</v>
      </c>
      <c r="B1107" s="2" t="s">
        <v>36</v>
      </c>
      <c r="C1107" s="2" t="s">
        <v>29</v>
      </c>
      <c r="D1107" s="2" t="s">
        <v>17</v>
      </c>
      <c r="E1107" s="2" t="s">
        <v>24</v>
      </c>
      <c r="F1107">
        <v>154</v>
      </c>
      <c r="G1107">
        <v>497</v>
      </c>
      <c r="H1107">
        <v>76538</v>
      </c>
      <c r="I1107">
        <v>17651.855100000001</v>
      </c>
      <c r="J1107" s="2" t="s">
        <v>47</v>
      </c>
    </row>
    <row r="1108" spans="1:10" x14ac:dyDescent="0.35">
      <c r="A1108" s="1">
        <v>45285</v>
      </c>
      <c r="B1108" s="2" t="s">
        <v>10</v>
      </c>
      <c r="C1108" s="2" t="s">
        <v>20</v>
      </c>
      <c r="D1108" s="2" t="s">
        <v>30</v>
      </c>
      <c r="E1108" s="2" t="s">
        <v>28</v>
      </c>
      <c r="F1108">
        <v>935</v>
      </c>
      <c r="G1108">
        <v>406</v>
      </c>
      <c r="H1108">
        <v>379610</v>
      </c>
      <c r="I1108">
        <v>94016.030499999993</v>
      </c>
      <c r="J1108" s="2" t="s">
        <v>47</v>
      </c>
    </row>
    <row r="1109" spans="1:10" x14ac:dyDescent="0.35">
      <c r="A1109" s="1">
        <v>45286</v>
      </c>
      <c r="B1109" s="2" t="s">
        <v>25</v>
      </c>
      <c r="C1109" s="2" t="s">
        <v>27</v>
      </c>
      <c r="D1109" s="2" t="s">
        <v>12</v>
      </c>
      <c r="E1109" s="2" t="s">
        <v>24</v>
      </c>
      <c r="F1109">
        <v>851</v>
      </c>
      <c r="G1109">
        <v>480</v>
      </c>
      <c r="H1109">
        <v>408480</v>
      </c>
      <c r="I1109">
        <v>76054.092600000004</v>
      </c>
      <c r="J1109" s="2" t="s">
        <v>47</v>
      </c>
    </row>
    <row r="1110" spans="1:10" x14ac:dyDescent="0.35">
      <c r="A1110" s="1">
        <v>45286</v>
      </c>
      <c r="B1110" s="2" t="s">
        <v>26</v>
      </c>
      <c r="C1110" s="2" t="s">
        <v>27</v>
      </c>
      <c r="D1110" s="2" t="s">
        <v>17</v>
      </c>
      <c r="E1110" s="2" t="s">
        <v>32</v>
      </c>
      <c r="F1110">
        <v>712</v>
      </c>
      <c r="G1110">
        <v>211</v>
      </c>
      <c r="H1110">
        <v>150232</v>
      </c>
      <c r="I1110">
        <v>24157.5497</v>
      </c>
      <c r="J1110" s="2" t="s">
        <v>47</v>
      </c>
    </row>
    <row r="1111" spans="1:10" x14ac:dyDescent="0.35">
      <c r="A1111" s="1">
        <v>45286</v>
      </c>
      <c r="B1111" s="2" t="s">
        <v>10</v>
      </c>
      <c r="C1111" s="2" t="s">
        <v>27</v>
      </c>
      <c r="D1111" s="2" t="s">
        <v>21</v>
      </c>
      <c r="E1111" s="2" t="s">
        <v>32</v>
      </c>
      <c r="F1111">
        <v>544</v>
      </c>
      <c r="G1111">
        <v>470</v>
      </c>
      <c r="H1111">
        <v>255680</v>
      </c>
      <c r="I1111">
        <v>49337.875099999997</v>
      </c>
      <c r="J1111" s="2" t="s">
        <v>47</v>
      </c>
    </row>
    <row r="1112" spans="1:10" x14ac:dyDescent="0.35">
      <c r="A1112" s="1">
        <v>45286</v>
      </c>
      <c r="B1112" s="2" t="s">
        <v>26</v>
      </c>
      <c r="C1112" s="2" t="s">
        <v>11</v>
      </c>
      <c r="D1112" s="2" t="s">
        <v>12</v>
      </c>
      <c r="E1112" s="2" t="s">
        <v>28</v>
      </c>
      <c r="F1112">
        <v>472</v>
      </c>
      <c r="G1112">
        <v>300</v>
      </c>
      <c r="H1112">
        <v>141600</v>
      </c>
      <c r="I1112">
        <v>14476.5962</v>
      </c>
      <c r="J1112" s="2" t="s">
        <v>47</v>
      </c>
    </row>
    <row r="1113" spans="1:10" x14ac:dyDescent="0.35">
      <c r="A1113" s="1">
        <v>45287</v>
      </c>
      <c r="B1113" s="2" t="s">
        <v>31</v>
      </c>
      <c r="C1113" s="2" t="s">
        <v>20</v>
      </c>
      <c r="D1113" s="2" t="s">
        <v>12</v>
      </c>
      <c r="E1113" s="2" t="s">
        <v>33</v>
      </c>
      <c r="F1113">
        <v>161</v>
      </c>
      <c r="G1113">
        <v>242</v>
      </c>
      <c r="H1113">
        <v>38962</v>
      </c>
      <c r="I1113">
        <v>4135.8365000000003</v>
      </c>
      <c r="J1113" s="2" t="s">
        <v>47</v>
      </c>
    </row>
    <row r="1114" spans="1:10" x14ac:dyDescent="0.35">
      <c r="A1114" s="1">
        <v>45287</v>
      </c>
      <c r="B1114" s="2" t="s">
        <v>25</v>
      </c>
      <c r="C1114" s="2" t="s">
        <v>23</v>
      </c>
      <c r="D1114" s="2" t="s">
        <v>17</v>
      </c>
      <c r="E1114" s="2" t="s">
        <v>13</v>
      </c>
      <c r="F1114">
        <v>821</v>
      </c>
      <c r="G1114">
        <v>217</v>
      </c>
      <c r="H1114">
        <v>178157</v>
      </c>
      <c r="I1114">
        <v>27305.382099999999</v>
      </c>
      <c r="J1114" s="2" t="s">
        <v>47</v>
      </c>
    </row>
    <row r="1115" spans="1:10" x14ac:dyDescent="0.35">
      <c r="A1115" s="1">
        <v>45287</v>
      </c>
      <c r="B1115" s="2" t="s">
        <v>19</v>
      </c>
      <c r="C1115" s="2" t="s">
        <v>27</v>
      </c>
      <c r="D1115" s="2" t="s">
        <v>12</v>
      </c>
      <c r="E1115" s="2" t="s">
        <v>32</v>
      </c>
      <c r="F1115">
        <v>873</v>
      </c>
      <c r="G1115">
        <v>146</v>
      </c>
      <c r="H1115">
        <v>127458</v>
      </c>
      <c r="I1115">
        <v>12668.646199999999</v>
      </c>
      <c r="J1115" s="2" t="s">
        <v>47</v>
      </c>
    </row>
    <row r="1116" spans="1:10" x14ac:dyDescent="0.35">
      <c r="A1116" s="1">
        <v>45287</v>
      </c>
      <c r="B1116" s="2" t="s">
        <v>19</v>
      </c>
      <c r="C1116" s="2" t="s">
        <v>11</v>
      </c>
      <c r="D1116" s="2" t="s">
        <v>17</v>
      </c>
      <c r="E1116" s="2" t="s">
        <v>24</v>
      </c>
      <c r="F1116">
        <v>489</v>
      </c>
      <c r="G1116">
        <v>281</v>
      </c>
      <c r="H1116">
        <v>137409</v>
      </c>
      <c r="I1116">
        <v>17430.511500000001</v>
      </c>
      <c r="J1116" s="2" t="s">
        <v>47</v>
      </c>
    </row>
    <row r="1117" spans="1:10" x14ac:dyDescent="0.35">
      <c r="A1117" s="1">
        <v>45288</v>
      </c>
      <c r="B1117" s="2" t="s">
        <v>36</v>
      </c>
      <c r="C1117" s="2" t="s">
        <v>29</v>
      </c>
      <c r="D1117" s="2" t="s">
        <v>30</v>
      </c>
      <c r="E1117" s="2" t="s">
        <v>33</v>
      </c>
      <c r="F1117">
        <v>793</v>
      </c>
      <c r="G1117">
        <v>159</v>
      </c>
      <c r="H1117">
        <v>126087</v>
      </c>
      <c r="I1117">
        <v>22360.8904</v>
      </c>
      <c r="J1117" s="2" t="s">
        <v>47</v>
      </c>
    </row>
    <row r="1118" spans="1:10" x14ac:dyDescent="0.35">
      <c r="A1118" s="1">
        <v>45288</v>
      </c>
      <c r="B1118" s="2" t="s">
        <v>25</v>
      </c>
      <c r="C1118" s="2" t="s">
        <v>11</v>
      </c>
      <c r="D1118" s="2" t="s">
        <v>17</v>
      </c>
      <c r="E1118" s="2" t="s">
        <v>33</v>
      </c>
      <c r="F1118">
        <v>765</v>
      </c>
      <c r="G1118">
        <v>325</v>
      </c>
      <c r="H1118">
        <v>248625</v>
      </c>
      <c r="I1118">
        <v>37613.788</v>
      </c>
      <c r="J1118" s="2" t="s">
        <v>47</v>
      </c>
    </row>
    <row r="1119" spans="1:10" x14ac:dyDescent="0.35">
      <c r="A1119" s="1">
        <v>45288</v>
      </c>
      <c r="B1119" s="2" t="s">
        <v>26</v>
      </c>
      <c r="C1119" s="2" t="s">
        <v>11</v>
      </c>
      <c r="D1119" s="2" t="s">
        <v>21</v>
      </c>
      <c r="E1119" s="2" t="s">
        <v>18</v>
      </c>
      <c r="F1119">
        <v>982</v>
      </c>
      <c r="G1119">
        <v>205</v>
      </c>
      <c r="H1119">
        <v>201310</v>
      </c>
      <c r="I1119">
        <v>28507.525799999999</v>
      </c>
      <c r="J1119" s="2" t="s">
        <v>47</v>
      </c>
    </row>
    <row r="1120" spans="1:10" x14ac:dyDescent="0.35">
      <c r="A1120" s="1">
        <v>45288</v>
      </c>
      <c r="B1120" s="2" t="s">
        <v>34</v>
      </c>
      <c r="C1120" s="2" t="s">
        <v>23</v>
      </c>
      <c r="D1120" s="2" t="s">
        <v>30</v>
      </c>
      <c r="E1120" s="2" t="s">
        <v>13</v>
      </c>
      <c r="F1120">
        <v>846</v>
      </c>
      <c r="G1120">
        <v>119</v>
      </c>
      <c r="H1120">
        <v>100674</v>
      </c>
      <c r="I1120">
        <v>12697.5</v>
      </c>
      <c r="J1120" s="2" t="s">
        <v>47</v>
      </c>
    </row>
    <row r="1121" spans="1:10" x14ac:dyDescent="0.35">
      <c r="A1121" s="1">
        <v>45289</v>
      </c>
      <c r="B1121" s="2" t="s">
        <v>26</v>
      </c>
      <c r="C1121" s="2" t="s">
        <v>20</v>
      </c>
      <c r="D1121" s="2" t="s">
        <v>17</v>
      </c>
      <c r="E1121" s="2" t="s">
        <v>35</v>
      </c>
      <c r="F1121">
        <v>698</v>
      </c>
      <c r="G1121">
        <v>428</v>
      </c>
      <c r="H1121">
        <v>298744</v>
      </c>
      <c r="I1121">
        <v>37994.2304</v>
      </c>
      <c r="J1121" s="2" t="s">
        <v>47</v>
      </c>
    </row>
    <row r="1122" spans="1:10" x14ac:dyDescent="0.35">
      <c r="A1122" s="1">
        <v>45289</v>
      </c>
      <c r="B1122" s="2" t="s">
        <v>34</v>
      </c>
      <c r="C1122" s="2" t="s">
        <v>11</v>
      </c>
      <c r="D1122" s="2" t="s">
        <v>30</v>
      </c>
      <c r="E1122" s="2" t="s">
        <v>18</v>
      </c>
      <c r="F1122">
        <v>265</v>
      </c>
      <c r="G1122">
        <v>313</v>
      </c>
      <c r="H1122">
        <v>82945</v>
      </c>
      <c r="I1122">
        <v>8959.0036</v>
      </c>
      <c r="J1122" s="2" t="s">
        <v>47</v>
      </c>
    </row>
    <row r="1123" spans="1:10" x14ac:dyDescent="0.35">
      <c r="A1123" s="1">
        <v>45289</v>
      </c>
      <c r="B1123" s="2" t="s">
        <v>10</v>
      </c>
      <c r="C1123" s="2" t="s">
        <v>20</v>
      </c>
      <c r="D1123" s="2" t="s">
        <v>30</v>
      </c>
      <c r="E1123" s="2" t="s">
        <v>35</v>
      </c>
      <c r="F1123">
        <v>706</v>
      </c>
      <c r="G1123">
        <v>167</v>
      </c>
      <c r="H1123">
        <v>117902</v>
      </c>
      <c r="I1123">
        <v>14385.847100000001</v>
      </c>
      <c r="J1123" s="2" t="s">
        <v>47</v>
      </c>
    </row>
    <row r="1124" spans="1:10" x14ac:dyDescent="0.35">
      <c r="A1124" s="1">
        <v>45289</v>
      </c>
      <c r="B1124" s="2" t="s">
        <v>26</v>
      </c>
      <c r="C1124" s="2" t="s">
        <v>11</v>
      </c>
      <c r="D1124" s="2" t="s">
        <v>30</v>
      </c>
      <c r="E1124" s="2" t="s">
        <v>24</v>
      </c>
      <c r="F1124">
        <v>581</v>
      </c>
      <c r="G1124">
        <v>431</v>
      </c>
      <c r="H1124">
        <v>250411</v>
      </c>
      <c r="I1124">
        <v>46317.926399999997</v>
      </c>
      <c r="J1124" s="2" t="s">
        <v>47</v>
      </c>
    </row>
    <row r="1125" spans="1:10" x14ac:dyDescent="0.35">
      <c r="A1125" s="1">
        <v>45289</v>
      </c>
      <c r="B1125" s="2" t="s">
        <v>36</v>
      </c>
      <c r="C1125" s="2" t="s">
        <v>27</v>
      </c>
      <c r="D1125" s="2" t="s">
        <v>17</v>
      </c>
      <c r="E1125" s="2" t="s">
        <v>18</v>
      </c>
      <c r="F1125">
        <v>767</v>
      </c>
      <c r="G1125">
        <v>341</v>
      </c>
      <c r="H1125">
        <v>261547</v>
      </c>
      <c r="I1125">
        <v>23925.066500000001</v>
      </c>
      <c r="J1125" s="2" t="s">
        <v>47</v>
      </c>
    </row>
    <row r="1126" spans="1:10" x14ac:dyDescent="0.35">
      <c r="A1126" s="1">
        <v>45289</v>
      </c>
      <c r="B1126" s="2" t="s">
        <v>26</v>
      </c>
      <c r="C1126" s="2" t="s">
        <v>23</v>
      </c>
      <c r="D1126" s="2" t="s">
        <v>12</v>
      </c>
      <c r="E1126" s="2" t="s">
        <v>35</v>
      </c>
      <c r="F1126">
        <v>635</v>
      </c>
      <c r="G1126">
        <v>233</v>
      </c>
      <c r="H1126">
        <v>147955</v>
      </c>
      <c r="I1126">
        <v>32142.827099999999</v>
      </c>
      <c r="J1126" s="2" t="s">
        <v>47</v>
      </c>
    </row>
    <row r="1127" spans="1:10" x14ac:dyDescent="0.35">
      <c r="A1127" s="1">
        <v>45289</v>
      </c>
      <c r="B1127" s="2" t="s">
        <v>26</v>
      </c>
      <c r="C1127" s="2" t="s">
        <v>11</v>
      </c>
      <c r="D1127" s="2" t="s">
        <v>21</v>
      </c>
      <c r="E1127" s="2" t="s">
        <v>28</v>
      </c>
      <c r="F1127">
        <v>918</v>
      </c>
      <c r="G1127">
        <v>426</v>
      </c>
      <c r="H1127">
        <v>391068</v>
      </c>
      <c r="I1127">
        <v>84305.452000000005</v>
      </c>
      <c r="J1127" s="2" t="s">
        <v>47</v>
      </c>
    </row>
    <row r="1128" spans="1:10" x14ac:dyDescent="0.35">
      <c r="A1128" s="1">
        <v>45290</v>
      </c>
      <c r="B1128" s="2" t="s">
        <v>25</v>
      </c>
      <c r="C1128" s="2" t="s">
        <v>29</v>
      </c>
      <c r="D1128" s="2" t="s">
        <v>30</v>
      </c>
      <c r="E1128" s="2" t="s">
        <v>35</v>
      </c>
      <c r="F1128">
        <v>269</v>
      </c>
      <c r="G1128">
        <v>452</v>
      </c>
      <c r="H1128">
        <v>121588</v>
      </c>
      <c r="I1128">
        <v>25813.7618</v>
      </c>
      <c r="J1128" s="2" t="s">
        <v>47</v>
      </c>
    </row>
    <row r="1129" spans="1:10" x14ac:dyDescent="0.35">
      <c r="A1129" s="1">
        <v>45290</v>
      </c>
      <c r="B1129" s="2" t="s">
        <v>25</v>
      </c>
      <c r="C1129" s="2" t="s">
        <v>23</v>
      </c>
      <c r="D1129" s="2" t="s">
        <v>21</v>
      </c>
      <c r="E1129" s="2" t="s">
        <v>32</v>
      </c>
      <c r="F1129">
        <v>382</v>
      </c>
      <c r="G1129">
        <v>103</v>
      </c>
      <c r="H1129">
        <v>39346</v>
      </c>
      <c r="I1129">
        <v>3534.0684000000001</v>
      </c>
      <c r="J1129" s="2" t="s">
        <v>47</v>
      </c>
    </row>
    <row r="1130" spans="1:10" x14ac:dyDescent="0.35">
      <c r="A1130" s="1">
        <v>45290</v>
      </c>
      <c r="B1130" s="2" t="s">
        <v>10</v>
      </c>
      <c r="C1130" s="2" t="s">
        <v>20</v>
      </c>
      <c r="D1130" s="2" t="s">
        <v>21</v>
      </c>
      <c r="E1130" s="2" t="s">
        <v>13</v>
      </c>
      <c r="F1130">
        <v>351</v>
      </c>
      <c r="G1130">
        <v>320</v>
      </c>
      <c r="H1130">
        <v>112320</v>
      </c>
      <c r="I1130">
        <v>24133.534500000002</v>
      </c>
      <c r="J1130" s="2" t="s">
        <v>47</v>
      </c>
    </row>
    <row r="1131" spans="1:10" x14ac:dyDescent="0.35">
      <c r="A1131" s="1">
        <v>45291</v>
      </c>
      <c r="B1131" s="2" t="s">
        <v>15</v>
      </c>
      <c r="C1131" s="2" t="s">
        <v>29</v>
      </c>
      <c r="D1131" s="2" t="s">
        <v>30</v>
      </c>
      <c r="E1131" s="2" t="s">
        <v>13</v>
      </c>
      <c r="F1131">
        <v>120</v>
      </c>
      <c r="G1131">
        <v>188</v>
      </c>
      <c r="H1131">
        <v>22560</v>
      </c>
      <c r="I1131">
        <v>1918.2561000000001</v>
      </c>
      <c r="J1131" s="2" t="s">
        <v>47</v>
      </c>
    </row>
    <row r="1132" spans="1:10" x14ac:dyDescent="0.35">
      <c r="A1132" s="1">
        <v>45291</v>
      </c>
      <c r="B1132" s="2" t="s">
        <v>36</v>
      </c>
      <c r="C1132" s="2" t="s">
        <v>16</v>
      </c>
      <c r="D1132" s="2" t="s">
        <v>30</v>
      </c>
      <c r="E1132" s="2" t="s">
        <v>32</v>
      </c>
      <c r="F1132">
        <v>316</v>
      </c>
      <c r="G1132">
        <v>185</v>
      </c>
      <c r="H1132">
        <v>58460</v>
      </c>
      <c r="I1132">
        <v>9270.5437999999995</v>
      </c>
      <c r="J1132" s="2" t="s">
        <v>47</v>
      </c>
    </row>
    <row r="1133" spans="1:10" x14ac:dyDescent="0.35">
      <c r="A1133" s="1">
        <v>45291</v>
      </c>
      <c r="B1133" s="2" t="s">
        <v>10</v>
      </c>
      <c r="C1133" s="2" t="s">
        <v>11</v>
      </c>
      <c r="D1133" s="2" t="s">
        <v>12</v>
      </c>
      <c r="E1133" s="2" t="s">
        <v>35</v>
      </c>
      <c r="F1133">
        <v>822</v>
      </c>
      <c r="G1133">
        <v>418</v>
      </c>
      <c r="H1133">
        <v>343596</v>
      </c>
      <c r="I1133">
        <v>31777.668399999999</v>
      </c>
      <c r="J1133" s="2" t="s">
        <v>47</v>
      </c>
    </row>
    <row r="1134" spans="1:10" x14ac:dyDescent="0.35">
      <c r="A1134" s="1">
        <v>45291</v>
      </c>
      <c r="B1134" s="2" t="s">
        <v>15</v>
      </c>
      <c r="C1134" s="2" t="s">
        <v>11</v>
      </c>
      <c r="D1134" s="2" t="s">
        <v>30</v>
      </c>
      <c r="E1134" s="2" t="s">
        <v>33</v>
      </c>
      <c r="F1134">
        <v>970</v>
      </c>
      <c r="G1134">
        <v>279</v>
      </c>
      <c r="H1134">
        <v>270630</v>
      </c>
      <c r="I1134">
        <v>60891.376700000001</v>
      </c>
      <c r="J1134" s="2" t="s">
        <v>47</v>
      </c>
    </row>
    <row r="1135" spans="1:10" x14ac:dyDescent="0.35">
      <c r="A1135" s="1">
        <v>45291</v>
      </c>
      <c r="B1135" s="2" t="s">
        <v>25</v>
      </c>
      <c r="C1135" s="2" t="s">
        <v>23</v>
      </c>
      <c r="D1135" s="2" t="s">
        <v>12</v>
      </c>
      <c r="E1135" s="2" t="s">
        <v>24</v>
      </c>
      <c r="F1135">
        <v>896</v>
      </c>
      <c r="G1135">
        <v>344</v>
      </c>
      <c r="H1135">
        <v>308224</v>
      </c>
      <c r="I1135">
        <v>32919.032500000001</v>
      </c>
      <c r="J1135" s="2" t="s">
        <v>47</v>
      </c>
    </row>
    <row r="1136" spans="1:10" x14ac:dyDescent="0.35">
      <c r="A1136" s="1">
        <v>45292</v>
      </c>
      <c r="B1136" s="2" t="s">
        <v>10</v>
      </c>
      <c r="C1136" s="2" t="s">
        <v>11</v>
      </c>
      <c r="D1136" s="2" t="s">
        <v>17</v>
      </c>
      <c r="E1136" s="2" t="s">
        <v>13</v>
      </c>
      <c r="F1136">
        <v>429</v>
      </c>
      <c r="G1136">
        <v>403</v>
      </c>
      <c r="H1136">
        <v>172887</v>
      </c>
      <c r="I1136">
        <v>34058.525900000001</v>
      </c>
      <c r="J1136" s="2" t="s">
        <v>14</v>
      </c>
    </row>
    <row r="1137" spans="1:10" x14ac:dyDescent="0.35">
      <c r="A1137" s="1">
        <v>45292</v>
      </c>
      <c r="B1137" s="2" t="s">
        <v>10</v>
      </c>
      <c r="C1137" s="2" t="s">
        <v>20</v>
      </c>
      <c r="D1137" s="2" t="s">
        <v>17</v>
      </c>
      <c r="E1137" s="2" t="s">
        <v>22</v>
      </c>
      <c r="F1137">
        <v>838</v>
      </c>
      <c r="G1137">
        <v>167</v>
      </c>
      <c r="H1137">
        <v>139946</v>
      </c>
      <c r="I1137">
        <v>13104.3833</v>
      </c>
      <c r="J1137" s="2" t="s">
        <v>14</v>
      </c>
    </row>
    <row r="1138" spans="1:10" x14ac:dyDescent="0.35">
      <c r="A1138" s="1">
        <v>45293</v>
      </c>
      <c r="B1138" s="2" t="s">
        <v>26</v>
      </c>
      <c r="C1138" s="2" t="s">
        <v>23</v>
      </c>
      <c r="D1138" s="2" t="s">
        <v>30</v>
      </c>
      <c r="E1138" s="2" t="s">
        <v>35</v>
      </c>
      <c r="F1138">
        <v>457</v>
      </c>
      <c r="G1138">
        <v>475</v>
      </c>
      <c r="H1138">
        <v>217075</v>
      </c>
      <c r="I1138">
        <v>32122.1721</v>
      </c>
      <c r="J1138" s="2" t="s">
        <v>14</v>
      </c>
    </row>
    <row r="1139" spans="1:10" x14ac:dyDescent="0.35">
      <c r="A1139" s="1">
        <v>45293</v>
      </c>
      <c r="B1139" s="2" t="s">
        <v>31</v>
      </c>
      <c r="C1139" s="2" t="s">
        <v>11</v>
      </c>
      <c r="D1139" s="2" t="s">
        <v>21</v>
      </c>
      <c r="E1139" s="2" t="s">
        <v>32</v>
      </c>
      <c r="F1139">
        <v>878</v>
      </c>
      <c r="G1139">
        <v>470</v>
      </c>
      <c r="H1139">
        <v>412660</v>
      </c>
      <c r="I1139">
        <v>72385.990300000005</v>
      </c>
      <c r="J1139" s="2" t="s">
        <v>14</v>
      </c>
    </row>
    <row r="1140" spans="1:10" x14ac:dyDescent="0.35">
      <c r="A1140" s="1">
        <v>45294</v>
      </c>
      <c r="B1140" s="2" t="s">
        <v>34</v>
      </c>
      <c r="C1140" s="2" t="s">
        <v>20</v>
      </c>
      <c r="D1140" s="2" t="s">
        <v>12</v>
      </c>
      <c r="E1140" s="2" t="s">
        <v>18</v>
      </c>
      <c r="F1140">
        <v>776</v>
      </c>
      <c r="G1140">
        <v>484</v>
      </c>
      <c r="H1140">
        <v>375584</v>
      </c>
      <c r="I1140">
        <v>58613.619200000001</v>
      </c>
      <c r="J1140" s="2" t="s">
        <v>14</v>
      </c>
    </row>
    <row r="1141" spans="1:10" x14ac:dyDescent="0.35">
      <c r="A1141" s="1">
        <v>45295</v>
      </c>
      <c r="B1141" s="2" t="s">
        <v>26</v>
      </c>
      <c r="C1141" s="2" t="s">
        <v>23</v>
      </c>
      <c r="D1141" s="2" t="s">
        <v>17</v>
      </c>
      <c r="E1141" s="2" t="s">
        <v>32</v>
      </c>
      <c r="F1141">
        <v>471</v>
      </c>
      <c r="G1141">
        <v>151</v>
      </c>
      <c r="H1141">
        <v>71121</v>
      </c>
      <c r="I1141">
        <v>15217.472900000001</v>
      </c>
      <c r="J1141" s="2" t="s">
        <v>14</v>
      </c>
    </row>
    <row r="1142" spans="1:10" x14ac:dyDescent="0.35">
      <c r="A1142" s="1">
        <v>45295</v>
      </c>
      <c r="B1142" s="2" t="s">
        <v>26</v>
      </c>
      <c r="C1142" s="2" t="s">
        <v>20</v>
      </c>
      <c r="D1142" s="2" t="s">
        <v>30</v>
      </c>
      <c r="E1142" s="2" t="s">
        <v>24</v>
      </c>
      <c r="F1142">
        <v>647</v>
      </c>
      <c r="G1142">
        <v>378</v>
      </c>
      <c r="H1142">
        <v>244566</v>
      </c>
      <c r="I1142">
        <v>50031.750800000002</v>
      </c>
      <c r="J1142" s="2" t="s">
        <v>14</v>
      </c>
    </row>
    <row r="1143" spans="1:10" x14ac:dyDescent="0.35">
      <c r="A1143" s="1">
        <v>45295</v>
      </c>
      <c r="B1143" s="2" t="s">
        <v>10</v>
      </c>
      <c r="C1143" s="2" t="s">
        <v>20</v>
      </c>
      <c r="D1143" s="2" t="s">
        <v>12</v>
      </c>
      <c r="E1143" s="2" t="s">
        <v>28</v>
      </c>
      <c r="F1143">
        <v>209</v>
      </c>
      <c r="G1143">
        <v>377</v>
      </c>
      <c r="H1143">
        <v>78793</v>
      </c>
      <c r="I1143">
        <v>9576.6692999999996</v>
      </c>
      <c r="J1143" s="2" t="s">
        <v>14</v>
      </c>
    </row>
    <row r="1144" spans="1:10" x14ac:dyDescent="0.35">
      <c r="A1144" s="1">
        <v>45296</v>
      </c>
      <c r="B1144" s="2" t="s">
        <v>25</v>
      </c>
      <c r="C1144" s="2" t="s">
        <v>11</v>
      </c>
      <c r="D1144" s="2" t="s">
        <v>17</v>
      </c>
      <c r="E1144" s="2" t="s">
        <v>28</v>
      </c>
      <c r="F1144">
        <v>245</v>
      </c>
      <c r="G1144">
        <v>149</v>
      </c>
      <c r="H1144">
        <v>36505</v>
      </c>
      <c r="I1144">
        <v>4012.2775999999999</v>
      </c>
      <c r="J1144" s="2" t="s">
        <v>14</v>
      </c>
    </row>
    <row r="1145" spans="1:10" x14ac:dyDescent="0.35">
      <c r="A1145" s="1">
        <v>45296</v>
      </c>
      <c r="B1145" s="2" t="s">
        <v>25</v>
      </c>
      <c r="C1145" s="2" t="s">
        <v>23</v>
      </c>
      <c r="D1145" s="2" t="s">
        <v>30</v>
      </c>
      <c r="E1145" s="2" t="s">
        <v>33</v>
      </c>
      <c r="F1145">
        <v>925</v>
      </c>
      <c r="G1145">
        <v>101</v>
      </c>
      <c r="H1145">
        <v>93425</v>
      </c>
      <c r="I1145">
        <v>18099.400300000001</v>
      </c>
      <c r="J1145" s="2" t="s">
        <v>14</v>
      </c>
    </row>
    <row r="1146" spans="1:10" x14ac:dyDescent="0.35">
      <c r="A1146" s="1">
        <v>45296</v>
      </c>
      <c r="B1146" s="2" t="s">
        <v>25</v>
      </c>
      <c r="C1146" s="2" t="s">
        <v>20</v>
      </c>
      <c r="D1146" s="2" t="s">
        <v>30</v>
      </c>
      <c r="E1146" s="2" t="s">
        <v>32</v>
      </c>
      <c r="F1146">
        <v>224</v>
      </c>
      <c r="G1146">
        <v>109</v>
      </c>
      <c r="H1146">
        <v>24416</v>
      </c>
      <c r="I1146">
        <v>4919.3158999999996</v>
      </c>
      <c r="J1146" s="2" t="s">
        <v>14</v>
      </c>
    </row>
    <row r="1147" spans="1:10" x14ac:dyDescent="0.35">
      <c r="A1147" s="1">
        <v>45297</v>
      </c>
      <c r="B1147" s="2" t="s">
        <v>26</v>
      </c>
      <c r="C1147" s="2" t="s">
        <v>11</v>
      </c>
      <c r="D1147" s="2" t="s">
        <v>17</v>
      </c>
      <c r="E1147" s="2" t="s">
        <v>28</v>
      </c>
      <c r="F1147">
        <v>577</v>
      </c>
      <c r="G1147">
        <v>274</v>
      </c>
      <c r="H1147">
        <v>158098</v>
      </c>
      <c r="I1147">
        <v>38821.413699999997</v>
      </c>
      <c r="J1147" s="2" t="s">
        <v>14</v>
      </c>
    </row>
    <row r="1148" spans="1:10" x14ac:dyDescent="0.35">
      <c r="A1148" s="1">
        <v>45297</v>
      </c>
      <c r="B1148" s="2" t="s">
        <v>25</v>
      </c>
      <c r="C1148" s="2" t="s">
        <v>27</v>
      </c>
      <c r="D1148" s="2" t="s">
        <v>12</v>
      </c>
      <c r="E1148" s="2" t="s">
        <v>32</v>
      </c>
      <c r="F1148">
        <v>913</v>
      </c>
      <c r="G1148">
        <v>193</v>
      </c>
      <c r="H1148">
        <v>176209</v>
      </c>
      <c r="I1148">
        <v>31166.234100000001</v>
      </c>
      <c r="J1148" s="2" t="s">
        <v>14</v>
      </c>
    </row>
    <row r="1149" spans="1:10" x14ac:dyDescent="0.35">
      <c r="A1149" s="1">
        <v>45298</v>
      </c>
      <c r="B1149" s="2" t="s">
        <v>34</v>
      </c>
      <c r="C1149" s="2" t="s">
        <v>27</v>
      </c>
      <c r="D1149" s="2" t="s">
        <v>17</v>
      </c>
      <c r="E1149" s="2" t="s">
        <v>13</v>
      </c>
      <c r="F1149">
        <v>698</v>
      </c>
      <c r="G1149">
        <v>131</v>
      </c>
      <c r="H1149">
        <v>91438</v>
      </c>
      <c r="I1149">
        <v>12402.3562</v>
      </c>
      <c r="J1149" s="2" t="s">
        <v>14</v>
      </c>
    </row>
    <row r="1150" spans="1:10" x14ac:dyDescent="0.35">
      <c r="A1150" s="1">
        <v>45299</v>
      </c>
      <c r="B1150" s="2" t="s">
        <v>36</v>
      </c>
      <c r="C1150" s="2" t="s">
        <v>29</v>
      </c>
      <c r="D1150" s="2" t="s">
        <v>30</v>
      </c>
      <c r="E1150" s="2" t="s">
        <v>18</v>
      </c>
      <c r="F1150">
        <v>99</v>
      </c>
      <c r="G1150">
        <v>149</v>
      </c>
      <c r="H1150">
        <v>14751</v>
      </c>
      <c r="I1150">
        <v>1819.079</v>
      </c>
      <c r="J1150" s="2" t="s">
        <v>14</v>
      </c>
    </row>
    <row r="1151" spans="1:10" x14ac:dyDescent="0.35">
      <c r="A1151" s="1">
        <v>45299</v>
      </c>
      <c r="B1151" s="2" t="s">
        <v>25</v>
      </c>
      <c r="C1151" s="2" t="s">
        <v>27</v>
      </c>
      <c r="D1151" s="2" t="s">
        <v>21</v>
      </c>
      <c r="E1151" s="2" t="s">
        <v>22</v>
      </c>
      <c r="F1151">
        <v>750</v>
      </c>
      <c r="G1151">
        <v>257</v>
      </c>
      <c r="H1151">
        <v>192750</v>
      </c>
      <c r="I1151">
        <v>21405.508000000002</v>
      </c>
      <c r="J1151" s="2" t="s">
        <v>14</v>
      </c>
    </row>
    <row r="1152" spans="1:10" x14ac:dyDescent="0.35">
      <c r="A1152" s="1">
        <v>45299</v>
      </c>
      <c r="B1152" s="2" t="s">
        <v>36</v>
      </c>
      <c r="C1152" s="2" t="s">
        <v>16</v>
      </c>
      <c r="D1152" s="2" t="s">
        <v>21</v>
      </c>
      <c r="E1152" s="2" t="s">
        <v>35</v>
      </c>
      <c r="F1152">
        <v>71</v>
      </c>
      <c r="G1152">
        <v>192</v>
      </c>
      <c r="H1152">
        <v>13632</v>
      </c>
      <c r="I1152">
        <v>1626.8449000000001</v>
      </c>
      <c r="J1152" s="2" t="s">
        <v>14</v>
      </c>
    </row>
    <row r="1153" spans="1:10" x14ac:dyDescent="0.35">
      <c r="A1153" s="1">
        <v>45300</v>
      </c>
      <c r="B1153" s="2" t="s">
        <v>19</v>
      </c>
      <c r="C1153" s="2" t="s">
        <v>16</v>
      </c>
      <c r="D1153" s="2" t="s">
        <v>21</v>
      </c>
      <c r="E1153" s="2" t="s">
        <v>24</v>
      </c>
      <c r="F1153">
        <v>84</v>
      </c>
      <c r="G1153">
        <v>217</v>
      </c>
      <c r="H1153">
        <v>18228</v>
      </c>
      <c r="I1153">
        <v>2947.4367000000002</v>
      </c>
      <c r="J1153" s="2" t="s">
        <v>14</v>
      </c>
    </row>
    <row r="1154" spans="1:10" x14ac:dyDescent="0.35">
      <c r="A1154" s="1">
        <v>45300</v>
      </c>
      <c r="B1154" s="2" t="s">
        <v>10</v>
      </c>
      <c r="C1154" s="2" t="s">
        <v>11</v>
      </c>
      <c r="D1154" s="2" t="s">
        <v>21</v>
      </c>
      <c r="E1154" s="2" t="s">
        <v>28</v>
      </c>
      <c r="F1154">
        <v>663</v>
      </c>
      <c r="G1154">
        <v>228</v>
      </c>
      <c r="H1154">
        <v>151164</v>
      </c>
      <c r="I1154">
        <v>15991.0476</v>
      </c>
      <c r="J1154" s="2" t="s">
        <v>14</v>
      </c>
    </row>
    <row r="1155" spans="1:10" x14ac:dyDescent="0.35">
      <c r="A1155" s="1">
        <v>45300</v>
      </c>
      <c r="B1155" s="2" t="s">
        <v>34</v>
      </c>
      <c r="C1155" s="2" t="s">
        <v>16</v>
      </c>
      <c r="D1155" s="2" t="s">
        <v>30</v>
      </c>
      <c r="E1155" s="2" t="s">
        <v>18</v>
      </c>
      <c r="F1155">
        <v>136</v>
      </c>
      <c r="G1155">
        <v>400</v>
      </c>
      <c r="H1155">
        <v>54400</v>
      </c>
      <c r="I1155">
        <v>5137.3433000000005</v>
      </c>
      <c r="J1155" s="2" t="s">
        <v>14</v>
      </c>
    </row>
    <row r="1156" spans="1:10" x14ac:dyDescent="0.35">
      <c r="A1156" s="1">
        <v>45301</v>
      </c>
      <c r="B1156" s="2" t="s">
        <v>15</v>
      </c>
      <c r="C1156" s="2" t="s">
        <v>11</v>
      </c>
      <c r="D1156" s="2" t="s">
        <v>17</v>
      </c>
      <c r="E1156" s="2" t="s">
        <v>24</v>
      </c>
      <c r="F1156">
        <v>520</v>
      </c>
      <c r="G1156">
        <v>312</v>
      </c>
      <c r="H1156">
        <v>162240</v>
      </c>
      <c r="I1156">
        <v>15681.973400000001</v>
      </c>
      <c r="J1156" s="2" t="s">
        <v>14</v>
      </c>
    </row>
    <row r="1157" spans="1:10" x14ac:dyDescent="0.35">
      <c r="A1157" s="1">
        <v>45301</v>
      </c>
      <c r="B1157" s="2" t="s">
        <v>31</v>
      </c>
      <c r="C1157" s="2" t="s">
        <v>20</v>
      </c>
      <c r="D1157" s="2" t="s">
        <v>30</v>
      </c>
      <c r="E1157" s="2" t="s">
        <v>24</v>
      </c>
      <c r="F1157">
        <v>922</v>
      </c>
      <c r="G1157">
        <v>267</v>
      </c>
      <c r="H1157">
        <v>246174</v>
      </c>
      <c r="I1157">
        <v>46614.666499999999</v>
      </c>
      <c r="J1157" s="2" t="s">
        <v>14</v>
      </c>
    </row>
    <row r="1158" spans="1:10" x14ac:dyDescent="0.35">
      <c r="A1158" s="1">
        <v>45301</v>
      </c>
      <c r="B1158" s="2" t="s">
        <v>25</v>
      </c>
      <c r="C1158" s="2" t="s">
        <v>29</v>
      </c>
      <c r="D1158" s="2" t="s">
        <v>12</v>
      </c>
      <c r="E1158" s="2" t="s">
        <v>22</v>
      </c>
      <c r="F1158">
        <v>792</v>
      </c>
      <c r="G1158">
        <v>424</v>
      </c>
      <c r="H1158">
        <v>335808</v>
      </c>
      <c r="I1158">
        <v>74714.810400000002</v>
      </c>
      <c r="J1158" s="2" t="s">
        <v>14</v>
      </c>
    </row>
    <row r="1159" spans="1:10" x14ac:dyDescent="0.35">
      <c r="A1159" s="1">
        <v>45301</v>
      </c>
      <c r="B1159" s="2" t="s">
        <v>26</v>
      </c>
      <c r="C1159" s="2" t="s">
        <v>11</v>
      </c>
      <c r="D1159" s="2" t="s">
        <v>17</v>
      </c>
      <c r="E1159" s="2" t="s">
        <v>24</v>
      </c>
      <c r="F1159">
        <v>282</v>
      </c>
      <c r="G1159">
        <v>149</v>
      </c>
      <c r="H1159">
        <v>42018</v>
      </c>
      <c r="I1159">
        <v>7562.3454000000002</v>
      </c>
      <c r="J1159" s="2" t="s">
        <v>14</v>
      </c>
    </row>
    <row r="1160" spans="1:10" x14ac:dyDescent="0.35">
      <c r="A1160" s="1">
        <v>45301</v>
      </c>
      <c r="B1160" s="2" t="s">
        <v>15</v>
      </c>
      <c r="C1160" s="2" t="s">
        <v>20</v>
      </c>
      <c r="D1160" s="2" t="s">
        <v>12</v>
      </c>
      <c r="E1160" s="2" t="s">
        <v>32</v>
      </c>
      <c r="F1160">
        <v>292</v>
      </c>
      <c r="G1160">
        <v>436</v>
      </c>
      <c r="H1160">
        <v>127312</v>
      </c>
      <c r="I1160">
        <v>26467.970700000002</v>
      </c>
      <c r="J1160" s="2" t="s">
        <v>14</v>
      </c>
    </row>
    <row r="1161" spans="1:10" x14ac:dyDescent="0.35">
      <c r="A1161" s="1">
        <v>45302</v>
      </c>
      <c r="B1161" s="2" t="s">
        <v>36</v>
      </c>
      <c r="C1161" s="2" t="s">
        <v>16</v>
      </c>
      <c r="D1161" s="2" t="s">
        <v>17</v>
      </c>
      <c r="E1161" s="2" t="s">
        <v>28</v>
      </c>
      <c r="F1161">
        <v>846</v>
      </c>
      <c r="G1161">
        <v>421</v>
      </c>
      <c r="H1161">
        <v>356166</v>
      </c>
      <c r="I1161">
        <v>53404.669099999999</v>
      </c>
      <c r="J1161" s="2" t="s">
        <v>14</v>
      </c>
    </row>
    <row r="1162" spans="1:10" x14ac:dyDescent="0.35">
      <c r="A1162" s="1">
        <v>45302</v>
      </c>
      <c r="B1162" s="2" t="s">
        <v>34</v>
      </c>
      <c r="C1162" s="2" t="s">
        <v>29</v>
      </c>
      <c r="D1162" s="2" t="s">
        <v>17</v>
      </c>
      <c r="E1162" s="2" t="s">
        <v>24</v>
      </c>
      <c r="F1162">
        <v>952</v>
      </c>
      <c r="G1162">
        <v>155</v>
      </c>
      <c r="H1162">
        <v>147560</v>
      </c>
      <c r="I1162">
        <v>11855.1471</v>
      </c>
      <c r="J1162" s="2" t="s">
        <v>14</v>
      </c>
    </row>
    <row r="1163" spans="1:10" x14ac:dyDescent="0.35">
      <c r="A1163" s="1">
        <v>45302</v>
      </c>
      <c r="B1163" s="2" t="s">
        <v>31</v>
      </c>
      <c r="C1163" s="2" t="s">
        <v>20</v>
      </c>
      <c r="D1163" s="2" t="s">
        <v>17</v>
      </c>
      <c r="E1163" s="2" t="s">
        <v>13</v>
      </c>
      <c r="F1163">
        <v>932</v>
      </c>
      <c r="G1163">
        <v>165</v>
      </c>
      <c r="H1163">
        <v>153780</v>
      </c>
      <c r="I1163">
        <v>29475.581300000002</v>
      </c>
      <c r="J1163" s="2" t="s">
        <v>14</v>
      </c>
    </row>
    <row r="1164" spans="1:10" x14ac:dyDescent="0.35">
      <c r="A1164" s="1">
        <v>45303</v>
      </c>
      <c r="B1164" s="2" t="s">
        <v>36</v>
      </c>
      <c r="C1164" s="2" t="s">
        <v>23</v>
      </c>
      <c r="D1164" s="2" t="s">
        <v>21</v>
      </c>
      <c r="E1164" s="2" t="s">
        <v>22</v>
      </c>
      <c r="F1164">
        <v>181</v>
      </c>
      <c r="G1164">
        <v>379</v>
      </c>
      <c r="H1164">
        <v>68599</v>
      </c>
      <c r="I1164">
        <v>16845.961800000001</v>
      </c>
      <c r="J1164" s="2" t="s">
        <v>14</v>
      </c>
    </row>
    <row r="1165" spans="1:10" x14ac:dyDescent="0.35">
      <c r="A1165" s="1">
        <v>45303</v>
      </c>
      <c r="B1165" s="2" t="s">
        <v>19</v>
      </c>
      <c r="C1165" s="2" t="s">
        <v>29</v>
      </c>
      <c r="D1165" s="2" t="s">
        <v>30</v>
      </c>
      <c r="E1165" s="2" t="s">
        <v>28</v>
      </c>
      <c r="F1165">
        <v>515</v>
      </c>
      <c r="G1165">
        <v>396</v>
      </c>
      <c r="H1165">
        <v>203940</v>
      </c>
      <c r="I1165">
        <v>43110.843099999998</v>
      </c>
      <c r="J1165" s="2" t="s">
        <v>14</v>
      </c>
    </row>
    <row r="1166" spans="1:10" x14ac:dyDescent="0.35">
      <c r="A1166" s="1">
        <v>45304</v>
      </c>
      <c r="B1166" s="2" t="s">
        <v>31</v>
      </c>
      <c r="C1166" s="2" t="s">
        <v>16</v>
      </c>
      <c r="D1166" s="2" t="s">
        <v>12</v>
      </c>
      <c r="E1166" s="2" t="s">
        <v>28</v>
      </c>
      <c r="F1166">
        <v>100</v>
      </c>
      <c r="G1166">
        <v>367</v>
      </c>
      <c r="H1166">
        <v>36700</v>
      </c>
      <c r="I1166">
        <v>4516.8290999999999</v>
      </c>
      <c r="J1166" s="2" t="s">
        <v>14</v>
      </c>
    </row>
    <row r="1167" spans="1:10" x14ac:dyDescent="0.35">
      <c r="A1167" s="1">
        <v>45304</v>
      </c>
      <c r="B1167" s="2" t="s">
        <v>34</v>
      </c>
      <c r="C1167" s="2" t="s">
        <v>27</v>
      </c>
      <c r="D1167" s="2" t="s">
        <v>17</v>
      </c>
      <c r="E1167" s="2" t="s">
        <v>35</v>
      </c>
      <c r="F1167">
        <v>101</v>
      </c>
      <c r="G1167">
        <v>217</v>
      </c>
      <c r="H1167">
        <v>21917</v>
      </c>
      <c r="I1167">
        <v>4673.4233000000004</v>
      </c>
      <c r="J1167" s="2" t="s">
        <v>14</v>
      </c>
    </row>
    <row r="1168" spans="1:10" x14ac:dyDescent="0.35">
      <c r="A1168" s="1">
        <v>45304</v>
      </c>
      <c r="B1168" s="2" t="s">
        <v>26</v>
      </c>
      <c r="C1168" s="2" t="s">
        <v>27</v>
      </c>
      <c r="D1168" s="2" t="s">
        <v>30</v>
      </c>
      <c r="E1168" s="2" t="s">
        <v>35</v>
      </c>
      <c r="F1168">
        <v>560</v>
      </c>
      <c r="G1168">
        <v>488</v>
      </c>
      <c r="H1168">
        <v>273280</v>
      </c>
      <c r="I1168">
        <v>66593.479200000002</v>
      </c>
      <c r="J1168" s="2" t="s">
        <v>14</v>
      </c>
    </row>
    <row r="1169" spans="1:10" x14ac:dyDescent="0.35">
      <c r="A1169" s="1">
        <v>45305</v>
      </c>
      <c r="B1169" s="2" t="s">
        <v>34</v>
      </c>
      <c r="C1169" s="2" t="s">
        <v>20</v>
      </c>
      <c r="D1169" s="2" t="s">
        <v>12</v>
      </c>
      <c r="E1169" s="2" t="s">
        <v>18</v>
      </c>
      <c r="F1169">
        <v>89</v>
      </c>
      <c r="G1169">
        <v>476</v>
      </c>
      <c r="H1169">
        <v>42364</v>
      </c>
      <c r="I1169">
        <v>4603.0664999999999</v>
      </c>
      <c r="J1169" s="2" t="s">
        <v>14</v>
      </c>
    </row>
    <row r="1170" spans="1:10" x14ac:dyDescent="0.35">
      <c r="A1170" s="1">
        <v>45305</v>
      </c>
      <c r="B1170" s="2" t="s">
        <v>26</v>
      </c>
      <c r="C1170" s="2" t="s">
        <v>27</v>
      </c>
      <c r="D1170" s="2" t="s">
        <v>12</v>
      </c>
      <c r="E1170" s="2" t="s">
        <v>35</v>
      </c>
      <c r="F1170">
        <v>674</v>
      </c>
      <c r="G1170">
        <v>104</v>
      </c>
      <c r="H1170">
        <v>70096</v>
      </c>
      <c r="I1170">
        <v>16927.901300000001</v>
      </c>
      <c r="J1170" s="2" t="s">
        <v>14</v>
      </c>
    </row>
    <row r="1171" spans="1:10" x14ac:dyDescent="0.35">
      <c r="A1171" s="1">
        <v>45305</v>
      </c>
      <c r="B1171" s="2" t="s">
        <v>26</v>
      </c>
      <c r="C1171" s="2" t="s">
        <v>23</v>
      </c>
      <c r="D1171" s="2" t="s">
        <v>12</v>
      </c>
      <c r="E1171" s="2" t="s">
        <v>22</v>
      </c>
      <c r="F1171">
        <v>832</v>
      </c>
      <c r="G1171">
        <v>493</v>
      </c>
      <c r="H1171">
        <v>410176</v>
      </c>
      <c r="I1171">
        <v>71492.691600000006</v>
      </c>
      <c r="J1171" s="2" t="s">
        <v>14</v>
      </c>
    </row>
    <row r="1172" spans="1:10" x14ac:dyDescent="0.35">
      <c r="A1172" s="1">
        <v>45306</v>
      </c>
      <c r="B1172" s="2" t="s">
        <v>15</v>
      </c>
      <c r="C1172" s="2" t="s">
        <v>16</v>
      </c>
      <c r="D1172" s="2" t="s">
        <v>17</v>
      </c>
      <c r="E1172" s="2" t="s">
        <v>24</v>
      </c>
      <c r="F1172">
        <v>560</v>
      </c>
      <c r="G1172">
        <v>263</v>
      </c>
      <c r="H1172">
        <v>147280</v>
      </c>
      <c r="I1172">
        <v>20583.3053</v>
      </c>
      <c r="J1172" s="2" t="s">
        <v>14</v>
      </c>
    </row>
    <row r="1173" spans="1:10" x14ac:dyDescent="0.35">
      <c r="A1173" s="1">
        <v>45306</v>
      </c>
      <c r="B1173" s="2" t="s">
        <v>26</v>
      </c>
      <c r="C1173" s="2" t="s">
        <v>29</v>
      </c>
      <c r="D1173" s="2" t="s">
        <v>12</v>
      </c>
      <c r="E1173" s="2" t="s">
        <v>33</v>
      </c>
      <c r="F1173">
        <v>453</v>
      </c>
      <c r="G1173">
        <v>166</v>
      </c>
      <c r="H1173">
        <v>75198</v>
      </c>
      <c r="I1173">
        <v>11428.6553</v>
      </c>
      <c r="J1173" s="2" t="s">
        <v>14</v>
      </c>
    </row>
    <row r="1174" spans="1:10" x14ac:dyDescent="0.35">
      <c r="A1174" s="1">
        <v>45307</v>
      </c>
      <c r="B1174" s="2" t="s">
        <v>34</v>
      </c>
      <c r="C1174" s="2" t="s">
        <v>23</v>
      </c>
      <c r="D1174" s="2" t="s">
        <v>17</v>
      </c>
      <c r="E1174" s="2" t="s">
        <v>32</v>
      </c>
      <c r="F1174">
        <v>270</v>
      </c>
      <c r="G1174">
        <v>298</v>
      </c>
      <c r="H1174">
        <v>80460</v>
      </c>
      <c r="I1174">
        <v>14866.029399999999</v>
      </c>
      <c r="J1174" s="2" t="s">
        <v>14</v>
      </c>
    </row>
    <row r="1175" spans="1:10" x14ac:dyDescent="0.35">
      <c r="A1175" s="1">
        <v>45307</v>
      </c>
      <c r="B1175" s="2" t="s">
        <v>10</v>
      </c>
      <c r="C1175" s="2" t="s">
        <v>27</v>
      </c>
      <c r="D1175" s="2" t="s">
        <v>21</v>
      </c>
      <c r="E1175" s="2" t="s">
        <v>28</v>
      </c>
      <c r="F1175">
        <v>877</v>
      </c>
      <c r="G1175">
        <v>210</v>
      </c>
      <c r="H1175">
        <v>184170</v>
      </c>
      <c r="I1175">
        <v>31156.4977</v>
      </c>
      <c r="J1175" s="2" t="s">
        <v>14</v>
      </c>
    </row>
    <row r="1176" spans="1:10" x14ac:dyDescent="0.35">
      <c r="A1176" s="1">
        <v>45307</v>
      </c>
      <c r="B1176" s="2" t="s">
        <v>36</v>
      </c>
      <c r="C1176" s="2" t="s">
        <v>23</v>
      </c>
      <c r="D1176" s="2" t="s">
        <v>30</v>
      </c>
      <c r="E1176" s="2" t="s">
        <v>28</v>
      </c>
      <c r="F1176">
        <v>928</v>
      </c>
      <c r="G1176">
        <v>131</v>
      </c>
      <c r="H1176">
        <v>121568</v>
      </c>
      <c r="I1176">
        <v>24812.2559</v>
      </c>
      <c r="J1176" s="2" t="s">
        <v>14</v>
      </c>
    </row>
    <row r="1177" spans="1:10" x14ac:dyDescent="0.35">
      <c r="A1177" s="1">
        <v>45307</v>
      </c>
      <c r="B1177" s="2" t="s">
        <v>19</v>
      </c>
      <c r="C1177" s="2" t="s">
        <v>16</v>
      </c>
      <c r="D1177" s="2" t="s">
        <v>17</v>
      </c>
      <c r="E1177" s="2" t="s">
        <v>13</v>
      </c>
      <c r="F1177">
        <v>663</v>
      </c>
      <c r="G1177">
        <v>211</v>
      </c>
      <c r="H1177">
        <v>139893</v>
      </c>
      <c r="I1177">
        <v>13448.1713</v>
      </c>
      <c r="J1177" s="2" t="s">
        <v>14</v>
      </c>
    </row>
    <row r="1178" spans="1:10" x14ac:dyDescent="0.35">
      <c r="A1178" s="1">
        <v>45308</v>
      </c>
      <c r="B1178" s="2" t="s">
        <v>10</v>
      </c>
      <c r="C1178" s="2" t="s">
        <v>11</v>
      </c>
      <c r="D1178" s="2" t="s">
        <v>30</v>
      </c>
      <c r="E1178" s="2" t="s">
        <v>28</v>
      </c>
      <c r="F1178">
        <v>119</v>
      </c>
      <c r="G1178">
        <v>312</v>
      </c>
      <c r="H1178">
        <v>37128</v>
      </c>
      <c r="I1178">
        <v>7292.8678</v>
      </c>
      <c r="J1178" s="2" t="s">
        <v>14</v>
      </c>
    </row>
    <row r="1179" spans="1:10" x14ac:dyDescent="0.35">
      <c r="A1179" s="1">
        <v>45308</v>
      </c>
      <c r="B1179" s="2" t="s">
        <v>26</v>
      </c>
      <c r="C1179" s="2" t="s">
        <v>23</v>
      </c>
      <c r="D1179" s="2" t="s">
        <v>30</v>
      </c>
      <c r="E1179" s="2" t="s">
        <v>13</v>
      </c>
      <c r="F1179">
        <v>542</v>
      </c>
      <c r="G1179">
        <v>215</v>
      </c>
      <c r="H1179">
        <v>116530</v>
      </c>
      <c r="I1179">
        <v>13391.855299999999</v>
      </c>
      <c r="J1179" s="2" t="s">
        <v>14</v>
      </c>
    </row>
    <row r="1180" spans="1:10" x14ac:dyDescent="0.35">
      <c r="A1180" s="1">
        <v>45309</v>
      </c>
      <c r="B1180" s="2" t="s">
        <v>19</v>
      </c>
      <c r="C1180" s="2" t="s">
        <v>11</v>
      </c>
      <c r="D1180" s="2" t="s">
        <v>30</v>
      </c>
      <c r="E1180" s="2" t="s">
        <v>28</v>
      </c>
      <c r="F1180">
        <v>192</v>
      </c>
      <c r="G1180">
        <v>160</v>
      </c>
      <c r="H1180">
        <v>30720</v>
      </c>
      <c r="I1180">
        <v>6557.6958000000004</v>
      </c>
      <c r="J1180" s="2" t="s">
        <v>14</v>
      </c>
    </row>
    <row r="1181" spans="1:10" x14ac:dyDescent="0.35">
      <c r="A1181" s="1">
        <v>45309</v>
      </c>
      <c r="B1181" s="2" t="s">
        <v>15</v>
      </c>
      <c r="C1181" s="2" t="s">
        <v>11</v>
      </c>
      <c r="D1181" s="2" t="s">
        <v>30</v>
      </c>
      <c r="E1181" s="2" t="s">
        <v>32</v>
      </c>
      <c r="F1181">
        <v>89</v>
      </c>
      <c r="G1181">
        <v>462</v>
      </c>
      <c r="H1181">
        <v>41118</v>
      </c>
      <c r="I1181">
        <v>7411.8657999999996</v>
      </c>
      <c r="J1181" s="2" t="s">
        <v>14</v>
      </c>
    </row>
    <row r="1182" spans="1:10" x14ac:dyDescent="0.35">
      <c r="A1182" s="1">
        <v>45309</v>
      </c>
      <c r="B1182" s="2" t="s">
        <v>26</v>
      </c>
      <c r="C1182" s="2" t="s">
        <v>27</v>
      </c>
      <c r="D1182" s="2" t="s">
        <v>21</v>
      </c>
      <c r="E1182" s="2" t="s">
        <v>35</v>
      </c>
      <c r="F1182">
        <v>829</v>
      </c>
      <c r="G1182">
        <v>392</v>
      </c>
      <c r="H1182">
        <v>324968</v>
      </c>
      <c r="I1182">
        <v>33542.019800000002</v>
      </c>
      <c r="J1182" s="2" t="s">
        <v>14</v>
      </c>
    </row>
    <row r="1183" spans="1:10" x14ac:dyDescent="0.35">
      <c r="A1183" s="1">
        <v>45310</v>
      </c>
      <c r="B1183" s="2" t="s">
        <v>15</v>
      </c>
      <c r="C1183" s="2" t="s">
        <v>16</v>
      </c>
      <c r="D1183" s="2" t="s">
        <v>21</v>
      </c>
      <c r="E1183" s="2" t="s">
        <v>24</v>
      </c>
      <c r="F1183">
        <v>379</v>
      </c>
      <c r="G1183">
        <v>472</v>
      </c>
      <c r="H1183">
        <v>178888</v>
      </c>
      <c r="I1183">
        <v>37641.8606</v>
      </c>
      <c r="J1183" s="2" t="s">
        <v>14</v>
      </c>
    </row>
    <row r="1184" spans="1:10" x14ac:dyDescent="0.35">
      <c r="A1184" s="1">
        <v>45310</v>
      </c>
      <c r="B1184" s="2" t="s">
        <v>19</v>
      </c>
      <c r="C1184" s="2" t="s">
        <v>29</v>
      </c>
      <c r="D1184" s="2" t="s">
        <v>17</v>
      </c>
      <c r="E1184" s="2" t="s">
        <v>33</v>
      </c>
      <c r="F1184">
        <v>78</v>
      </c>
      <c r="G1184">
        <v>147</v>
      </c>
      <c r="H1184">
        <v>11466</v>
      </c>
      <c r="I1184">
        <v>1995.5431000000001</v>
      </c>
      <c r="J1184" s="2" t="s">
        <v>14</v>
      </c>
    </row>
    <row r="1185" spans="1:10" x14ac:dyDescent="0.35">
      <c r="A1185" s="1">
        <v>45310</v>
      </c>
      <c r="B1185" s="2" t="s">
        <v>34</v>
      </c>
      <c r="C1185" s="2" t="s">
        <v>11</v>
      </c>
      <c r="D1185" s="2" t="s">
        <v>17</v>
      </c>
      <c r="E1185" s="2" t="s">
        <v>22</v>
      </c>
      <c r="F1185">
        <v>988</v>
      </c>
      <c r="G1185">
        <v>137</v>
      </c>
      <c r="H1185">
        <v>135356</v>
      </c>
      <c r="I1185">
        <v>28644.760399999999</v>
      </c>
      <c r="J1185" s="2" t="s">
        <v>14</v>
      </c>
    </row>
    <row r="1186" spans="1:10" x14ac:dyDescent="0.35">
      <c r="A1186" s="1">
        <v>45310</v>
      </c>
      <c r="B1186" s="2" t="s">
        <v>34</v>
      </c>
      <c r="C1186" s="2" t="s">
        <v>23</v>
      </c>
      <c r="D1186" s="2" t="s">
        <v>30</v>
      </c>
      <c r="E1186" s="2" t="s">
        <v>32</v>
      </c>
      <c r="F1186">
        <v>818</v>
      </c>
      <c r="G1186">
        <v>171</v>
      </c>
      <c r="H1186">
        <v>139878</v>
      </c>
      <c r="I1186">
        <v>27900.981100000001</v>
      </c>
      <c r="J1186" s="2" t="s">
        <v>14</v>
      </c>
    </row>
    <row r="1187" spans="1:10" x14ac:dyDescent="0.35">
      <c r="A1187" s="1">
        <v>45311</v>
      </c>
      <c r="B1187" s="2" t="s">
        <v>19</v>
      </c>
      <c r="C1187" s="2" t="s">
        <v>11</v>
      </c>
      <c r="D1187" s="2" t="s">
        <v>17</v>
      </c>
      <c r="E1187" s="2" t="s">
        <v>13</v>
      </c>
      <c r="F1187">
        <v>232</v>
      </c>
      <c r="G1187">
        <v>337</v>
      </c>
      <c r="H1187">
        <v>78184</v>
      </c>
      <c r="I1187">
        <v>16279.017900000001</v>
      </c>
      <c r="J1187" s="2" t="s">
        <v>14</v>
      </c>
    </row>
    <row r="1188" spans="1:10" x14ac:dyDescent="0.35">
      <c r="A1188" s="1">
        <v>45311</v>
      </c>
      <c r="B1188" s="2" t="s">
        <v>34</v>
      </c>
      <c r="C1188" s="2" t="s">
        <v>27</v>
      </c>
      <c r="D1188" s="2" t="s">
        <v>12</v>
      </c>
      <c r="E1188" s="2" t="s">
        <v>33</v>
      </c>
      <c r="F1188">
        <v>970</v>
      </c>
      <c r="G1188">
        <v>160</v>
      </c>
      <c r="H1188">
        <v>155200</v>
      </c>
      <c r="I1188">
        <v>29493.163</v>
      </c>
      <c r="J1188" s="2" t="s">
        <v>14</v>
      </c>
    </row>
    <row r="1189" spans="1:10" x14ac:dyDescent="0.35">
      <c r="A1189" s="1">
        <v>45312</v>
      </c>
      <c r="B1189" s="2" t="s">
        <v>15</v>
      </c>
      <c r="C1189" s="2" t="s">
        <v>27</v>
      </c>
      <c r="D1189" s="2" t="s">
        <v>30</v>
      </c>
      <c r="E1189" s="2" t="s">
        <v>24</v>
      </c>
      <c r="F1189">
        <v>494</v>
      </c>
      <c r="G1189">
        <v>312</v>
      </c>
      <c r="H1189">
        <v>154128</v>
      </c>
      <c r="I1189">
        <v>21589.898799999999</v>
      </c>
      <c r="J1189" s="2" t="s">
        <v>14</v>
      </c>
    </row>
    <row r="1190" spans="1:10" x14ac:dyDescent="0.35">
      <c r="A1190" s="1">
        <v>45312</v>
      </c>
      <c r="B1190" s="2" t="s">
        <v>26</v>
      </c>
      <c r="C1190" s="2" t="s">
        <v>16</v>
      </c>
      <c r="D1190" s="2" t="s">
        <v>17</v>
      </c>
      <c r="E1190" s="2" t="s">
        <v>33</v>
      </c>
      <c r="F1190">
        <v>863</v>
      </c>
      <c r="G1190">
        <v>454</v>
      </c>
      <c r="H1190">
        <v>391802</v>
      </c>
      <c r="I1190">
        <v>80149.303799999994</v>
      </c>
      <c r="J1190" s="2" t="s">
        <v>14</v>
      </c>
    </row>
    <row r="1191" spans="1:10" x14ac:dyDescent="0.35">
      <c r="A1191" s="1">
        <v>45312</v>
      </c>
      <c r="B1191" s="2" t="s">
        <v>26</v>
      </c>
      <c r="C1191" s="2" t="s">
        <v>11</v>
      </c>
      <c r="D1191" s="2" t="s">
        <v>21</v>
      </c>
      <c r="E1191" s="2" t="s">
        <v>33</v>
      </c>
      <c r="F1191">
        <v>930</v>
      </c>
      <c r="G1191">
        <v>436</v>
      </c>
      <c r="H1191">
        <v>405480</v>
      </c>
      <c r="I1191">
        <v>43957.088499999998</v>
      </c>
      <c r="J1191" s="2" t="s">
        <v>14</v>
      </c>
    </row>
    <row r="1192" spans="1:10" x14ac:dyDescent="0.35">
      <c r="A1192" s="1">
        <v>45312</v>
      </c>
      <c r="B1192" s="2" t="s">
        <v>10</v>
      </c>
      <c r="C1192" s="2" t="s">
        <v>20</v>
      </c>
      <c r="D1192" s="2" t="s">
        <v>21</v>
      </c>
      <c r="E1192" s="2" t="s">
        <v>24</v>
      </c>
      <c r="F1192">
        <v>989</v>
      </c>
      <c r="G1192">
        <v>334</v>
      </c>
      <c r="H1192">
        <v>330326</v>
      </c>
      <c r="I1192">
        <v>65411.809800000003</v>
      </c>
      <c r="J1192" s="2" t="s">
        <v>14</v>
      </c>
    </row>
    <row r="1193" spans="1:10" x14ac:dyDescent="0.35">
      <c r="A1193" s="1">
        <v>45312</v>
      </c>
      <c r="B1193" s="2" t="s">
        <v>19</v>
      </c>
      <c r="C1193" s="2" t="s">
        <v>23</v>
      </c>
      <c r="D1193" s="2" t="s">
        <v>17</v>
      </c>
      <c r="E1193" s="2" t="s">
        <v>24</v>
      </c>
      <c r="F1193">
        <v>548</v>
      </c>
      <c r="G1193">
        <v>250</v>
      </c>
      <c r="H1193">
        <v>137000</v>
      </c>
      <c r="I1193">
        <v>11708.3279</v>
      </c>
      <c r="J1193" s="2" t="s">
        <v>14</v>
      </c>
    </row>
    <row r="1194" spans="1:10" x14ac:dyDescent="0.35">
      <c r="A1194" s="1">
        <v>45313</v>
      </c>
      <c r="B1194" s="2" t="s">
        <v>31</v>
      </c>
      <c r="C1194" s="2" t="s">
        <v>23</v>
      </c>
      <c r="D1194" s="2" t="s">
        <v>17</v>
      </c>
      <c r="E1194" s="2" t="s">
        <v>24</v>
      </c>
      <c r="F1194">
        <v>212</v>
      </c>
      <c r="G1194">
        <v>385</v>
      </c>
      <c r="H1194">
        <v>81620</v>
      </c>
      <c r="I1194">
        <v>9193.8125</v>
      </c>
      <c r="J1194" s="2" t="s">
        <v>14</v>
      </c>
    </row>
    <row r="1195" spans="1:10" x14ac:dyDescent="0.35">
      <c r="A1195" s="1">
        <v>45313</v>
      </c>
      <c r="B1195" s="2" t="s">
        <v>25</v>
      </c>
      <c r="C1195" s="2" t="s">
        <v>23</v>
      </c>
      <c r="D1195" s="2" t="s">
        <v>12</v>
      </c>
      <c r="E1195" s="2" t="s">
        <v>28</v>
      </c>
      <c r="F1195">
        <v>686</v>
      </c>
      <c r="G1195">
        <v>310</v>
      </c>
      <c r="H1195">
        <v>212660</v>
      </c>
      <c r="I1195">
        <v>36951.912900000003</v>
      </c>
      <c r="J1195" s="2" t="s">
        <v>14</v>
      </c>
    </row>
    <row r="1196" spans="1:10" x14ac:dyDescent="0.35">
      <c r="A1196" s="1">
        <v>45313</v>
      </c>
      <c r="B1196" s="2" t="s">
        <v>26</v>
      </c>
      <c r="C1196" s="2" t="s">
        <v>16</v>
      </c>
      <c r="D1196" s="2" t="s">
        <v>30</v>
      </c>
      <c r="E1196" s="2" t="s">
        <v>22</v>
      </c>
      <c r="F1196">
        <v>55</v>
      </c>
      <c r="G1196">
        <v>475</v>
      </c>
      <c r="H1196">
        <v>26125</v>
      </c>
      <c r="I1196">
        <v>5076.3033999999998</v>
      </c>
      <c r="J1196" s="2" t="s">
        <v>14</v>
      </c>
    </row>
    <row r="1197" spans="1:10" x14ac:dyDescent="0.35">
      <c r="A1197" s="1">
        <v>45313</v>
      </c>
      <c r="B1197" s="2" t="s">
        <v>25</v>
      </c>
      <c r="C1197" s="2" t="s">
        <v>27</v>
      </c>
      <c r="D1197" s="2" t="s">
        <v>17</v>
      </c>
      <c r="E1197" s="2" t="s">
        <v>35</v>
      </c>
      <c r="F1197">
        <v>485</v>
      </c>
      <c r="G1197">
        <v>127</v>
      </c>
      <c r="H1197">
        <v>61595</v>
      </c>
      <c r="I1197">
        <v>8729.7093000000004</v>
      </c>
      <c r="J1197" s="2" t="s">
        <v>14</v>
      </c>
    </row>
    <row r="1198" spans="1:10" x14ac:dyDescent="0.35">
      <c r="A1198" s="1">
        <v>45313</v>
      </c>
      <c r="B1198" s="2" t="s">
        <v>36</v>
      </c>
      <c r="C1198" s="2" t="s">
        <v>27</v>
      </c>
      <c r="D1198" s="2" t="s">
        <v>12</v>
      </c>
      <c r="E1198" s="2" t="s">
        <v>24</v>
      </c>
      <c r="F1198">
        <v>964</v>
      </c>
      <c r="G1198">
        <v>238</v>
      </c>
      <c r="H1198">
        <v>229432</v>
      </c>
      <c r="I1198">
        <v>26892.653399999999</v>
      </c>
      <c r="J1198" s="2" t="s">
        <v>14</v>
      </c>
    </row>
    <row r="1199" spans="1:10" x14ac:dyDescent="0.35">
      <c r="A1199" s="1">
        <v>45313</v>
      </c>
      <c r="B1199" s="2" t="s">
        <v>26</v>
      </c>
      <c r="C1199" s="2" t="s">
        <v>29</v>
      </c>
      <c r="D1199" s="2" t="s">
        <v>30</v>
      </c>
      <c r="E1199" s="2" t="s">
        <v>28</v>
      </c>
      <c r="F1199">
        <v>823</v>
      </c>
      <c r="G1199">
        <v>455</v>
      </c>
      <c r="H1199">
        <v>374465</v>
      </c>
      <c r="I1199">
        <v>70162.845300000001</v>
      </c>
      <c r="J1199" s="2" t="s">
        <v>14</v>
      </c>
    </row>
    <row r="1200" spans="1:10" x14ac:dyDescent="0.35">
      <c r="A1200" s="1">
        <v>45313</v>
      </c>
      <c r="B1200" s="2" t="s">
        <v>10</v>
      </c>
      <c r="C1200" s="2" t="s">
        <v>29</v>
      </c>
      <c r="D1200" s="2" t="s">
        <v>17</v>
      </c>
      <c r="E1200" s="2" t="s">
        <v>35</v>
      </c>
      <c r="F1200">
        <v>373</v>
      </c>
      <c r="G1200">
        <v>219</v>
      </c>
      <c r="H1200">
        <v>81687</v>
      </c>
      <c r="I1200">
        <v>11997.334800000001</v>
      </c>
      <c r="J1200" s="2" t="s">
        <v>14</v>
      </c>
    </row>
    <row r="1201" spans="1:10" x14ac:dyDescent="0.35">
      <c r="A1201" s="1">
        <v>45314</v>
      </c>
      <c r="B1201" s="2" t="s">
        <v>10</v>
      </c>
      <c r="C1201" s="2" t="s">
        <v>27</v>
      </c>
      <c r="D1201" s="2" t="s">
        <v>30</v>
      </c>
      <c r="E1201" s="2" t="s">
        <v>35</v>
      </c>
      <c r="F1201">
        <v>905</v>
      </c>
      <c r="G1201">
        <v>105</v>
      </c>
      <c r="H1201">
        <v>95025</v>
      </c>
      <c r="I1201">
        <v>8498.0066999999999</v>
      </c>
      <c r="J1201" s="2" t="s">
        <v>14</v>
      </c>
    </row>
    <row r="1202" spans="1:10" x14ac:dyDescent="0.35">
      <c r="A1202" s="1">
        <v>45315</v>
      </c>
      <c r="B1202" s="2" t="s">
        <v>31</v>
      </c>
      <c r="C1202" s="2" t="s">
        <v>23</v>
      </c>
      <c r="D1202" s="2" t="s">
        <v>30</v>
      </c>
      <c r="E1202" s="2" t="s">
        <v>24</v>
      </c>
      <c r="F1202">
        <v>104</v>
      </c>
      <c r="G1202">
        <v>353</v>
      </c>
      <c r="H1202">
        <v>36712</v>
      </c>
      <c r="I1202">
        <v>4511.3211000000001</v>
      </c>
      <c r="J1202" s="2" t="s">
        <v>14</v>
      </c>
    </row>
    <row r="1203" spans="1:10" x14ac:dyDescent="0.35">
      <c r="A1203" s="1">
        <v>45315</v>
      </c>
      <c r="B1203" s="2" t="s">
        <v>10</v>
      </c>
      <c r="C1203" s="2" t="s">
        <v>23</v>
      </c>
      <c r="D1203" s="2" t="s">
        <v>12</v>
      </c>
      <c r="E1203" s="2" t="s">
        <v>22</v>
      </c>
      <c r="F1203">
        <v>271</v>
      </c>
      <c r="G1203">
        <v>263</v>
      </c>
      <c r="H1203">
        <v>71273</v>
      </c>
      <c r="I1203">
        <v>7502.1862000000001</v>
      </c>
      <c r="J1203" s="2" t="s">
        <v>14</v>
      </c>
    </row>
    <row r="1204" spans="1:10" x14ac:dyDescent="0.35">
      <c r="A1204" s="1">
        <v>45316</v>
      </c>
      <c r="B1204" s="2" t="s">
        <v>26</v>
      </c>
      <c r="C1204" s="2" t="s">
        <v>11</v>
      </c>
      <c r="D1204" s="2" t="s">
        <v>21</v>
      </c>
      <c r="E1204" s="2" t="s">
        <v>35</v>
      </c>
      <c r="F1204">
        <v>350</v>
      </c>
      <c r="G1204">
        <v>123</v>
      </c>
      <c r="H1204">
        <v>43050</v>
      </c>
      <c r="I1204">
        <v>9226.0198</v>
      </c>
      <c r="J1204" s="2" t="s">
        <v>14</v>
      </c>
    </row>
    <row r="1205" spans="1:10" x14ac:dyDescent="0.35">
      <c r="A1205" s="1">
        <v>45316</v>
      </c>
      <c r="B1205" s="2" t="s">
        <v>31</v>
      </c>
      <c r="C1205" s="2" t="s">
        <v>20</v>
      </c>
      <c r="D1205" s="2" t="s">
        <v>30</v>
      </c>
      <c r="E1205" s="2" t="s">
        <v>18</v>
      </c>
      <c r="F1205">
        <v>417</v>
      </c>
      <c r="G1205">
        <v>164</v>
      </c>
      <c r="H1205">
        <v>68388</v>
      </c>
      <c r="I1205">
        <v>11491.771500000001</v>
      </c>
      <c r="J1205" s="2" t="s">
        <v>14</v>
      </c>
    </row>
    <row r="1206" spans="1:10" x14ac:dyDescent="0.35">
      <c r="A1206" s="1">
        <v>45316</v>
      </c>
      <c r="B1206" s="2" t="s">
        <v>36</v>
      </c>
      <c r="C1206" s="2" t="s">
        <v>27</v>
      </c>
      <c r="D1206" s="2" t="s">
        <v>30</v>
      </c>
      <c r="E1206" s="2" t="s">
        <v>33</v>
      </c>
      <c r="F1206">
        <v>553</v>
      </c>
      <c r="G1206">
        <v>486</v>
      </c>
      <c r="H1206">
        <v>268758</v>
      </c>
      <c r="I1206">
        <v>36081.428399999997</v>
      </c>
      <c r="J1206" s="2" t="s">
        <v>14</v>
      </c>
    </row>
    <row r="1207" spans="1:10" x14ac:dyDescent="0.35">
      <c r="A1207" s="1">
        <v>45316</v>
      </c>
      <c r="B1207" s="2" t="s">
        <v>10</v>
      </c>
      <c r="C1207" s="2" t="s">
        <v>16</v>
      </c>
      <c r="D1207" s="2" t="s">
        <v>17</v>
      </c>
      <c r="E1207" s="2" t="s">
        <v>32</v>
      </c>
      <c r="F1207">
        <v>761</v>
      </c>
      <c r="G1207">
        <v>345</v>
      </c>
      <c r="H1207">
        <v>262545</v>
      </c>
      <c r="I1207">
        <v>58063.235500000003</v>
      </c>
      <c r="J1207" s="2" t="s">
        <v>14</v>
      </c>
    </row>
    <row r="1208" spans="1:10" x14ac:dyDescent="0.35">
      <c r="A1208" s="1">
        <v>45316</v>
      </c>
      <c r="B1208" s="2" t="s">
        <v>19</v>
      </c>
      <c r="C1208" s="2" t="s">
        <v>11</v>
      </c>
      <c r="D1208" s="2" t="s">
        <v>12</v>
      </c>
      <c r="E1208" s="2" t="s">
        <v>28</v>
      </c>
      <c r="F1208">
        <v>923</v>
      </c>
      <c r="G1208">
        <v>252</v>
      </c>
      <c r="H1208">
        <v>232596</v>
      </c>
      <c r="I1208">
        <v>30408.1914</v>
      </c>
      <c r="J1208" s="2" t="s">
        <v>14</v>
      </c>
    </row>
    <row r="1209" spans="1:10" x14ac:dyDescent="0.35">
      <c r="A1209" s="1">
        <v>45317</v>
      </c>
      <c r="B1209" s="2" t="s">
        <v>25</v>
      </c>
      <c r="C1209" s="2" t="s">
        <v>20</v>
      </c>
      <c r="D1209" s="2" t="s">
        <v>17</v>
      </c>
      <c r="E1209" s="2" t="s">
        <v>13</v>
      </c>
      <c r="F1209">
        <v>425</v>
      </c>
      <c r="G1209">
        <v>414</v>
      </c>
      <c r="H1209">
        <v>175950</v>
      </c>
      <c r="I1209">
        <v>19383.680400000001</v>
      </c>
      <c r="J1209" s="2" t="s">
        <v>14</v>
      </c>
    </row>
    <row r="1210" spans="1:10" x14ac:dyDescent="0.35">
      <c r="A1210" s="1">
        <v>45317</v>
      </c>
      <c r="B1210" s="2" t="s">
        <v>26</v>
      </c>
      <c r="C1210" s="2" t="s">
        <v>27</v>
      </c>
      <c r="D1210" s="2" t="s">
        <v>30</v>
      </c>
      <c r="E1210" s="2" t="s">
        <v>24</v>
      </c>
      <c r="F1210">
        <v>602</v>
      </c>
      <c r="G1210">
        <v>389</v>
      </c>
      <c r="H1210">
        <v>234178</v>
      </c>
      <c r="I1210">
        <v>50343.399799999999</v>
      </c>
      <c r="J1210" s="2" t="s">
        <v>14</v>
      </c>
    </row>
    <row r="1211" spans="1:10" x14ac:dyDescent="0.35">
      <c r="A1211" s="1">
        <v>45317</v>
      </c>
      <c r="B1211" s="2" t="s">
        <v>36</v>
      </c>
      <c r="C1211" s="2" t="s">
        <v>29</v>
      </c>
      <c r="D1211" s="2" t="s">
        <v>17</v>
      </c>
      <c r="E1211" s="2" t="s">
        <v>18</v>
      </c>
      <c r="F1211">
        <v>240</v>
      </c>
      <c r="G1211">
        <v>201</v>
      </c>
      <c r="H1211">
        <v>48240</v>
      </c>
      <c r="I1211">
        <v>8936.8022000000001</v>
      </c>
      <c r="J1211" s="2" t="s">
        <v>14</v>
      </c>
    </row>
    <row r="1212" spans="1:10" x14ac:dyDescent="0.35">
      <c r="A1212" s="1">
        <v>45317</v>
      </c>
      <c r="B1212" s="2" t="s">
        <v>31</v>
      </c>
      <c r="C1212" s="2" t="s">
        <v>20</v>
      </c>
      <c r="D1212" s="2" t="s">
        <v>21</v>
      </c>
      <c r="E1212" s="2" t="s">
        <v>32</v>
      </c>
      <c r="F1212">
        <v>418</v>
      </c>
      <c r="G1212">
        <v>142</v>
      </c>
      <c r="H1212">
        <v>59356</v>
      </c>
      <c r="I1212">
        <v>9288.7476999999999</v>
      </c>
      <c r="J1212" s="2" t="s">
        <v>14</v>
      </c>
    </row>
    <row r="1213" spans="1:10" x14ac:dyDescent="0.35">
      <c r="A1213" s="1">
        <v>45317</v>
      </c>
      <c r="B1213" s="2" t="s">
        <v>19</v>
      </c>
      <c r="C1213" s="2" t="s">
        <v>29</v>
      </c>
      <c r="D1213" s="2" t="s">
        <v>30</v>
      </c>
      <c r="E1213" s="2" t="s">
        <v>33</v>
      </c>
      <c r="F1213">
        <v>989</v>
      </c>
      <c r="G1213">
        <v>131</v>
      </c>
      <c r="H1213">
        <v>129559</v>
      </c>
      <c r="I1213">
        <v>32125.626799999998</v>
      </c>
      <c r="J1213" s="2" t="s">
        <v>14</v>
      </c>
    </row>
    <row r="1214" spans="1:10" x14ac:dyDescent="0.35">
      <c r="A1214" s="1">
        <v>45318</v>
      </c>
      <c r="B1214" s="2" t="s">
        <v>34</v>
      </c>
      <c r="C1214" s="2" t="s">
        <v>29</v>
      </c>
      <c r="D1214" s="2" t="s">
        <v>17</v>
      </c>
      <c r="E1214" s="2" t="s">
        <v>33</v>
      </c>
      <c r="F1214">
        <v>99</v>
      </c>
      <c r="G1214">
        <v>148</v>
      </c>
      <c r="H1214">
        <v>14652</v>
      </c>
      <c r="I1214">
        <v>2352.9780999999998</v>
      </c>
      <c r="J1214" s="2" t="s">
        <v>14</v>
      </c>
    </row>
    <row r="1215" spans="1:10" x14ac:dyDescent="0.35">
      <c r="A1215" s="1">
        <v>45319</v>
      </c>
      <c r="B1215" s="2" t="s">
        <v>36</v>
      </c>
      <c r="C1215" s="2" t="s">
        <v>11</v>
      </c>
      <c r="D1215" s="2" t="s">
        <v>12</v>
      </c>
      <c r="E1215" s="2" t="s">
        <v>28</v>
      </c>
      <c r="F1215">
        <v>116</v>
      </c>
      <c r="G1215">
        <v>466</v>
      </c>
      <c r="H1215">
        <v>54056</v>
      </c>
      <c r="I1215">
        <v>7688.9744000000001</v>
      </c>
      <c r="J1215" s="2" t="s">
        <v>14</v>
      </c>
    </row>
    <row r="1216" spans="1:10" x14ac:dyDescent="0.35">
      <c r="A1216" s="1">
        <v>45319</v>
      </c>
      <c r="B1216" s="2" t="s">
        <v>19</v>
      </c>
      <c r="C1216" s="2" t="s">
        <v>23</v>
      </c>
      <c r="D1216" s="2" t="s">
        <v>21</v>
      </c>
      <c r="E1216" s="2" t="s">
        <v>33</v>
      </c>
      <c r="F1216">
        <v>364</v>
      </c>
      <c r="G1216">
        <v>422</v>
      </c>
      <c r="H1216">
        <v>153608</v>
      </c>
      <c r="I1216">
        <v>24952.0275</v>
      </c>
      <c r="J1216" s="2" t="s">
        <v>14</v>
      </c>
    </row>
    <row r="1217" spans="1:10" x14ac:dyDescent="0.35">
      <c r="A1217" s="1">
        <v>45319</v>
      </c>
      <c r="B1217" s="2" t="s">
        <v>26</v>
      </c>
      <c r="C1217" s="2" t="s">
        <v>20</v>
      </c>
      <c r="D1217" s="2" t="s">
        <v>12</v>
      </c>
      <c r="E1217" s="2" t="s">
        <v>32</v>
      </c>
      <c r="F1217">
        <v>827</v>
      </c>
      <c r="G1217">
        <v>159</v>
      </c>
      <c r="H1217">
        <v>131493</v>
      </c>
      <c r="I1217">
        <v>30976.3325</v>
      </c>
      <c r="J1217" s="2" t="s">
        <v>14</v>
      </c>
    </row>
    <row r="1218" spans="1:10" x14ac:dyDescent="0.35">
      <c r="A1218" s="1">
        <v>45319</v>
      </c>
      <c r="B1218" s="2" t="s">
        <v>31</v>
      </c>
      <c r="C1218" s="2" t="s">
        <v>29</v>
      </c>
      <c r="D1218" s="2" t="s">
        <v>30</v>
      </c>
      <c r="E1218" s="2" t="s">
        <v>28</v>
      </c>
      <c r="F1218">
        <v>872</v>
      </c>
      <c r="G1218">
        <v>184</v>
      </c>
      <c r="H1218">
        <v>160448</v>
      </c>
      <c r="I1218">
        <v>34562.7641</v>
      </c>
      <c r="J1218" s="2" t="s">
        <v>14</v>
      </c>
    </row>
    <row r="1219" spans="1:10" x14ac:dyDescent="0.35">
      <c r="A1219" s="1">
        <v>45321</v>
      </c>
      <c r="B1219" s="2" t="s">
        <v>15</v>
      </c>
      <c r="C1219" s="2" t="s">
        <v>11</v>
      </c>
      <c r="D1219" s="2" t="s">
        <v>21</v>
      </c>
      <c r="E1219" s="2" t="s">
        <v>18</v>
      </c>
      <c r="F1219">
        <v>267</v>
      </c>
      <c r="G1219">
        <v>368</v>
      </c>
      <c r="H1219">
        <v>98256</v>
      </c>
      <c r="I1219">
        <v>15560.967199999999</v>
      </c>
      <c r="J1219" s="2" t="s">
        <v>14</v>
      </c>
    </row>
    <row r="1220" spans="1:10" x14ac:dyDescent="0.35">
      <c r="A1220" s="1">
        <v>45321</v>
      </c>
      <c r="B1220" s="2" t="s">
        <v>36</v>
      </c>
      <c r="C1220" s="2" t="s">
        <v>20</v>
      </c>
      <c r="D1220" s="2" t="s">
        <v>12</v>
      </c>
      <c r="E1220" s="2" t="s">
        <v>33</v>
      </c>
      <c r="F1220">
        <v>993</v>
      </c>
      <c r="G1220">
        <v>390</v>
      </c>
      <c r="H1220">
        <v>387270</v>
      </c>
      <c r="I1220">
        <v>31835.930799999998</v>
      </c>
      <c r="J1220" s="2" t="s">
        <v>14</v>
      </c>
    </row>
    <row r="1221" spans="1:10" x14ac:dyDescent="0.35">
      <c r="A1221" s="1">
        <v>45321</v>
      </c>
      <c r="B1221" s="2" t="s">
        <v>15</v>
      </c>
      <c r="C1221" s="2" t="s">
        <v>27</v>
      </c>
      <c r="D1221" s="2" t="s">
        <v>21</v>
      </c>
      <c r="E1221" s="2" t="s">
        <v>33</v>
      </c>
      <c r="F1221">
        <v>165</v>
      </c>
      <c r="G1221">
        <v>290</v>
      </c>
      <c r="H1221">
        <v>47850</v>
      </c>
      <c r="I1221">
        <v>8880.6182000000008</v>
      </c>
      <c r="J1221" s="2" t="s">
        <v>14</v>
      </c>
    </row>
    <row r="1222" spans="1:10" x14ac:dyDescent="0.35">
      <c r="A1222" s="1">
        <v>45321</v>
      </c>
      <c r="B1222" s="2" t="s">
        <v>31</v>
      </c>
      <c r="C1222" s="2" t="s">
        <v>23</v>
      </c>
      <c r="D1222" s="2" t="s">
        <v>30</v>
      </c>
      <c r="E1222" s="2" t="s">
        <v>35</v>
      </c>
      <c r="F1222">
        <v>556</v>
      </c>
      <c r="G1222">
        <v>170</v>
      </c>
      <c r="H1222">
        <v>94520</v>
      </c>
      <c r="I1222">
        <v>20531.4303</v>
      </c>
      <c r="J1222" s="2" t="s">
        <v>14</v>
      </c>
    </row>
    <row r="1223" spans="1:10" x14ac:dyDescent="0.35">
      <c r="A1223" s="1">
        <v>45322</v>
      </c>
      <c r="B1223" s="2" t="s">
        <v>25</v>
      </c>
      <c r="C1223" s="2" t="s">
        <v>16</v>
      </c>
      <c r="D1223" s="2" t="s">
        <v>12</v>
      </c>
      <c r="E1223" s="2" t="s">
        <v>18</v>
      </c>
      <c r="F1223">
        <v>351</v>
      </c>
      <c r="G1223">
        <v>150</v>
      </c>
      <c r="H1223">
        <v>52650</v>
      </c>
      <c r="I1223">
        <v>6155.7309999999998</v>
      </c>
      <c r="J1223" s="2" t="s">
        <v>14</v>
      </c>
    </row>
    <row r="1224" spans="1:10" x14ac:dyDescent="0.35">
      <c r="A1224" s="1">
        <v>45322</v>
      </c>
      <c r="B1224" s="2" t="s">
        <v>26</v>
      </c>
      <c r="C1224" s="2" t="s">
        <v>16</v>
      </c>
      <c r="D1224" s="2" t="s">
        <v>17</v>
      </c>
      <c r="E1224" s="2" t="s">
        <v>13</v>
      </c>
      <c r="F1224">
        <v>419</v>
      </c>
      <c r="G1224">
        <v>132</v>
      </c>
      <c r="H1224">
        <v>55308</v>
      </c>
      <c r="I1224">
        <v>12581.311799999999</v>
      </c>
      <c r="J1224" s="2" t="s">
        <v>14</v>
      </c>
    </row>
    <row r="1225" spans="1:10" x14ac:dyDescent="0.35">
      <c r="A1225" s="1">
        <v>45322</v>
      </c>
      <c r="B1225" s="2" t="s">
        <v>10</v>
      </c>
      <c r="C1225" s="2" t="s">
        <v>27</v>
      </c>
      <c r="D1225" s="2" t="s">
        <v>12</v>
      </c>
      <c r="E1225" s="2" t="s">
        <v>24</v>
      </c>
      <c r="F1225">
        <v>158</v>
      </c>
      <c r="G1225">
        <v>320</v>
      </c>
      <c r="H1225">
        <v>50560</v>
      </c>
      <c r="I1225">
        <v>7372.2674999999999</v>
      </c>
      <c r="J1225" s="2" t="s">
        <v>14</v>
      </c>
    </row>
    <row r="1226" spans="1:10" x14ac:dyDescent="0.35">
      <c r="A1226" s="1">
        <v>45322</v>
      </c>
      <c r="B1226" s="2" t="s">
        <v>19</v>
      </c>
      <c r="C1226" s="2" t="s">
        <v>23</v>
      </c>
      <c r="D1226" s="2" t="s">
        <v>17</v>
      </c>
      <c r="E1226" s="2" t="s">
        <v>28</v>
      </c>
      <c r="F1226">
        <v>168</v>
      </c>
      <c r="G1226">
        <v>173</v>
      </c>
      <c r="H1226">
        <v>29064</v>
      </c>
      <c r="I1226">
        <v>4525.7933000000003</v>
      </c>
      <c r="J1226" s="2" t="s">
        <v>14</v>
      </c>
    </row>
    <row r="1227" spans="1:10" x14ac:dyDescent="0.35">
      <c r="A1227" s="1">
        <v>45323</v>
      </c>
      <c r="B1227" s="2" t="s">
        <v>26</v>
      </c>
      <c r="C1227" s="2" t="s">
        <v>23</v>
      </c>
      <c r="D1227" s="2" t="s">
        <v>30</v>
      </c>
      <c r="E1227" s="2" t="s">
        <v>13</v>
      </c>
      <c r="F1227">
        <v>56</v>
      </c>
      <c r="G1227">
        <v>403</v>
      </c>
      <c r="H1227">
        <v>22568</v>
      </c>
      <c r="I1227">
        <v>4069.6500999999998</v>
      </c>
      <c r="J1227" s="2" t="s">
        <v>37</v>
      </c>
    </row>
    <row r="1228" spans="1:10" x14ac:dyDescent="0.35">
      <c r="A1228" s="1">
        <v>45323</v>
      </c>
      <c r="B1228" s="2" t="s">
        <v>36</v>
      </c>
      <c r="C1228" s="2" t="s">
        <v>16</v>
      </c>
      <c r="D1228" s="2" t="s">
        <v>12</v>
      </c>
      <c r="E1228" s="2" t="s">
        <v>28</v>
      </c>
      <c r="F1228">
        <v>892</v>
      </c>
      <c r="G1228">
        <v>496</v>
      </c>
      <c r="H1228">
        <v>442432</v>
      </c>
      <c r="I1228">
        <v>35502.370799999997</v>
      </c>
      <c r="J1228" s="2" t="s">
        <v>37</v>
      </c>
    </row>
    <row r="1229" spans="1:10" x14ac:dyDescent="0.35">
      <c r="A1229" s="1">
        <v>45323</v>
      </c>
      <c r="B1229" s="2" t="s">
        <v>36</v>
      </c>
      <c r="C1229" s="2" t="s">
        <v>29</v>
      </c>
      <c r="D1229" s="2" t="s">
        <v>21</v>
      </c>
      <c r="E1229" s="2" t="s">
        <v>24</v>
      </c>
      <c r="F1229">
        <v>832</v>
      </c>
      <c r="G1229">
        <v>243</v>
      </c>
      <c r="H1229">
        <v>202176</v>
      </c>
      <c r="I1229">
        <v>42653.772900000004</v>
      </c>
      <c r="J1229" s="2" t="s">
        <v>37</v>
      </c>
    </row>
    <row r="1230" spans="1:10" x14ac:dyDescent="0.35">
      <c r="A1230" s="1">
        <v>45323</v>
      </c>
      <c r="B1230" s="2" t="s">
        <v>15</v>
      </c>
      <c r="C1230" s="2" t="s">
        <v>16</v>
      </c>
      <c r="D1230" s="2" t="s">
        <v>12</v>
      </c>
      <c r="E1230" s="2" t="s">
        <v>28</v>
      </c>
      <c r="F1230">
        <v>649</v>
      </c>
      <c r="G1230">
        <v>299</v>
      </c>
      <c r="H1230">
        <v>194051</v>
      </c>
      <c r="I1230">
        <v>24879.7667</v>
      </c>
      <c r="J1230" s="2" t="s">
        <v>37</v>
      </c>
    </row>
    <row r="1231" spans="1:10" x14ac:dyDescent="0.35">
      <c r="A1231" s="1">
        <v>45323</v>
      </c>
      <c r="B1231" s="2" t="s">
        <v>19</v>
      </c>
      <c r="C1231" s="2" t="s">
        <v>27</v>
      </c>
      <c r="D1231" s="2" t="s">
        <v>17</v>
      </c>
      <c r="E1231" s="2" t="s">
        <v>35</v>
      </c>
      <c r="F1231">
        <v>114</v>
      </c>
      <c r="G1231">
        <v>361</v>
      </c>
      <c r="H1231">
        <v>41154</v>
      </c>
      <c r="I1231">
        <v>4271.7885999999999</v>
      </c>
      <c r="J1231" s="2" t="s">
        <v>37</v>
      </c>
    </row>
    <row r="1232" spans="1:10" x14ac:dyDescent="0.35">
      <c r="A1232" s="1">
        <v>45323</v>
      </c>
      <c r="B1232" s="2" t="s">
        <v>19</v>
      </c>
      <c r="C1232" s="2" t="s">
        <v>20</v>
      </c>
      <c r="D1232" s="2" t="s">
        <v>17</v>
      </c>
      <c r="E1232" s="2" t="s">
        <v>33</v>
      </c>
      <c r="F1232">
        <v>767</v>
      </c>
      <c r="G1232">
        <v>477</v>
      </c>
      <c r="H1232">
        <v>365859</v>
      </c>
      <c r="I1232">
        <v>37376.906999999999</v>
      </c>
      <c r="J1232" s="2" t="s">
        <v>37</v>
      </c>
    </row>
    <row r="1233" spans="1:10" x14ac:dyDescent="0.35">
      <c r="A1233" s="1">
        <v>45323</v>
      </c>
      <c r="B1233" s="2" t="s">
        <v>19</v>
      </c>
      <c r="C1233" s="2" t="s">
        <v>23</v>
      </c>
      <c r="D1233" s="2" t="s">
        <v>30</v>
      </c>
      <c r="E1233" s="2" t="s">
        <v>32</v>
      </c>
      <c r="F1233">
        <v>760</v>
      </c>
      <c r="G1233">
        <v>377</v>
      </c>
      <c r="H1233">
        <v>286520</v>
      </c>
      <c r="I1233">
        <v>67852.6486</v>
      </c>
      <c r="J1233" s="2" t="s">
        <v>37</v>
      </c>
    </row>
    <row r="1234" spans="1:10" x14ac:dyDescent="0.35">
      <c r="A1234" s="1">
        <v>45324</v>
      </c>
      <c r="B1234" s="2" t="s">
        <v>19</v>
      </c>
      <c r="C1234" s="2" t="s">
        <v>29</v>
      </c>
      <c r="D1234" s="2" t="s">
        <v>21</v>
      </c>
      <c r="E1234" s="2" t="s">
        <v>24</v>
      </c>
      <c r="F1234">
        <v>512</v>
      </c>
      <c r="G1234">
        <v>432</v>
      </c>
      <c r="H1234">
        <v>221184</v>
      </c>
      <c r="I1234">
        <v>25346.3963</v>
      </c>
      <c r="J1234" s="2" t="s">
        <v>37</v>
      </c>
    </row>
    <row r="1235" spans="1:10" x14ac:dyDescent="0.35">
      <c r="A1235" s="1">
        <v>45324</v>
      </c>
      <c r="B1235" s="2" t="s">
        <v>36</v>
      </c>
      <c r="C1235" s="2" t="s">
        <v>29</v>
      </c>
      <c r="D1235" s="2" t="s">
        <v>21</v>
      </c>
      <c r="E1235" s="2" t="s">
        <v>35</v>
      </c>
      <c r="F1235">
        <v>57</v>
      </c>
      <c r="G1235">
        <v>305</v>
      </c>
      <c r="H1235">
        <v>17385</v>
      </c>
      <c r="I1235">
        <v>2256.1244999999999</v>
      </c>
      <c r="J1235" s="2" t="s">
        <v>37</v>
      </c>
    </row>
    <row r="1236" spans="1:10" x14ac:dyDescent="0.35">
      <c r="A1236" s="1">
        <v>45324</v>
      </c>
      <c r="B1236" s="2" t="s">
        <v>26</v>
      </c>
      <c r="C1236" s="2" t="s">
        <v>23</v>
      </c>
      <c r="D1236" s="2" t="s">
        <v>17</v>
      </c>
      <c r="E1236" s="2" t="s">
        <v>35</v>
      </c>
      <c r="F1236">
        <v>244</v>
      </c>
      <c r="G1236">
        <v>143</v>
      </c>
      <c r="H1236">
        <v>34892</v>
      </c>
      <c r="I1236">
        <v>6102.0544</v>
      </c>
      <c r="J1236" s="2" t="s">
        <v>37</v>
      </c>
    </row>
    <row r="1237" spans="1:10" x14ac:dyDescent="0.35">
      <c r="A1237" s="1">
        <v>45324</v>
      </c>
      <c r="B1237" s="2" t="s">
        <v>36</v>
      </c>
      <c r="C1237" s="2" t="s">
        <v>16</v>
      </c>
      <c r="D1237" s="2" t="s">
        <v>21</v>
      </c>
      <c r="E1237" s="2" t="s">
        <v>33</v>
      </c>
      <c r="F1237">
        <v>62</v>
      </c>
      <c r="G1237">
        <v>488</v>
      </c>
      <c r="H1237">
        <v>30256</v>
      </c>
      <c r="I1237">
        <v>5987.3135000000002</v>
      </c>
      <c r="J1237" s="2" t="s">
        <v>37</v>
      </c>
    </row>
    <row r="1238" spans="1:10" x14ac:dyDescent="0.35">
      <c r="A1238" s="1">
        <v>45324</v>
      </c>
      <c r="B1238" s="2" t="s">
        <v>25</v>
      </c>
      <c r="C1238" s="2" t="s">
        <v>27</v>
      </c>
      <c r="D1238" s="2" t="s">
        <v>17</v>
      </c>
      <c r="E1238" s="2" t="s">
        <v>32</v>
      </c>
      <c r="F1238">
        <v>96</v>
      </c>
      <c r="G1238">
        <v>497</v>
      </c>
      <c r="H1238">
        <v>47712</v>
      </c>
      <c r="I1238">
        <v>4955.2794000000004</v>
      </c>
      <c r="J1238" s="2" t="s">
        <v>37</v>
      </c>
    </row>
    <row r="1239" spans="1:10" x14ac:dyDescent="0.35">
      <c r="A1239" s="1">
        <v>45325</v>
      </c>
      <c r="B1239" s="2" t="s">
        <v>10</v>
      </c>
      <c r="C1239" s="2" t="s">
        <v>20</v>
      </c>
      <c r="D1239" s="2" t="s">
        <v>30</v>
      </c>
      <c r="E1239" s="2" t="s">
        <v>24</v>
      </c>
      <c r="F1239">
        <v>728</v>
      </c>
      <c r="G1239">
        <v>372</v>
      </c>
      <c r="H1239">
        <v>270816</v>
      </c>
      <c r="I1239">
        <v>66032.024300000005</v>
      </c>
      <c r="J1239" s="2" t="s">
        <v>37</v>
      </c>
    </row>
    <row r="1240" spans="1:10" x14ac:dyDescent="0.35">
      <c r="A1240" s="1">
        <v>45325</v>
      </c>
      <c r="B1240" s="2" t="s">
        <v>36</v>
      </c>
      <c r="C1240" s="2" t="s">
        <v>16</v>
      </c>
      <c r="D1240" s="2" t="s">
        <v>12</v>
      </c>
      <c r="E1240" s="2" t="s">
        <v>13</v>
      </c>
      <c r="F1240">
        <v>353</v>
      </c>
      <c r="G1240">
        <v>451</v>
      </c>
      <c r="H1240">
        <v>159203</v>
      </c>
      <c r="I1240">
        <v>19122.159599999999</v>
      </c>
      <c r="J1240" s="2" t="s">
        <v>37</v>
      </c>
    </row>
    <row r="1241" spans="1:10" x14ac:dyDescent="0.35">
      <c r="A1241" s="1">
        <v>45325</v>
      </c>
      <c r="B1241" s="2" t="s">
        <v>26</v>
      </c>
      <c r="C1241" s="2" t="s">
        <v>29</v>
      </c>
      <c r="D1241" s="2" t="s">
        <v>21</v>
      </c>
      <c r="E1241" s="2" t="s">
        <v>33</v>
      </c>
      <c r="F1241">
        <v>161</v>
      </c>
      <c r="G1241">
        <v>166</v>
      </c>
      <c r="H1241">
        <v>26726</v>
      </c>
      <c r="I1241">
        <v>4571.1624000000002</v>
      </c>
      <c r="J1241" s="2" t="s">
        <v>37</v>
      </c>
    </row>
    <row r="1242" spans="1:10" x14ac:dyDescent="0.35">
      <c r="A1242" s="1">
        <v>45325</v>
      </c>
      <c r="B1242" s="2" t="s">
        <v>34</v>
      </c>
      <c r="C1242" s="2" t="s">
        <v>23</v>
      </c>
      <c r="D1242" s="2" t="s">
        <v>17</v>
      </c>
      <c r="E1242" s="2" t="s">
        <v>22</v>
      </c>
      <c r="F1242">
        <v>428</v>
      </c>
      <c r="G1242">
        <v>250</v>
      </c>
      <c r="H1242">
        <v>107000</v>
      </c>
      <c r="I1242">
        <v>24515.536800000002</v>
      </c>
      <c r="J1242" s="2" t="s">
        <v>37</v>
      </c>
    </row>
    <row r="1243" spans="1:10" x14ac:dyDescent="0.35">
      <c r="A1243" s="1">
        <v>45325</v>
      </c>
      <c r="B1243" s="2" t="s">
        <v>31</v>
      </c>
      <c r="C1243" s="2" t="s">
        <v>23</v>
      </c>
      <c r="D1243" s="2" t="s">
        <v>12</v>
      </c>
      <c r="E1243" s="2" t="s">
        <v>32</v>
      </c>
      <c r="F1243">
        <v>531</v>
      </c>
      <c r="G1243">
        <v>145</v>
      </c>
      <c r="H1243">
        <v>76995</v>
      </c>
      <c r="I1243">
        <v>6665.6709000000001</v>
      </c>
      <c r="J1243" s="2" t="s">
        <v>37</v>
      </c>
    </row>
    <row r="1244" spans="1:10" x14ac:dyDescent="0.35">
      <c r="A1244" s="1">
        <v>45325</v>
      </c>
      <c r="B1244" s="2" t="s">
        <v>25</v>
      </c>
      <c r="C1244" s="2" t="s">
        <v>23</v>
      </c>
      <c r="D1244" s="2" t="s">
        <v>12</v>
      </c>
      <c r="E1244" s="2" t="s">
        <v>24</v>
      </c>
      <c r="F1244">
        <v>866</v>
      </c>
      <c r="G1244">
        <v>304</v>
      </c>
      <c r="H1244">
        <v>263264</v>
      </c>
      <c r="I1244">
        <v>42151.275099999999</v>
      </c>
      <c r="J1244" s="2" t="s">
        <v>37</v>
      </c>
    </row>
    <row r="1245" spans="1:10" x14ac:dyDescent="0.35">
      <c r="A1245" s="1">
        <v>45326</v>
      </c>
      <c r="B1245" s="2" t="s">
        <v>15</v>
      </c>
      <c r="C1245" s="2" t="s">
        <v>23</v>
      </c>
      <c r="D1245" s="2" t="s">
        <v>17</v>
      </c>
      <c r="E1245" s="2" t="s">
        <v>13</v>
      </c>
      <c r="F1245">
        <v>190</v>
      </c>
      <c r="G1245">
        <v>237</v>
      </c>
      <c r="H1245">
        <v>45030</v>
      </c>
      <c r="I1245">
        <v>9523.6723000000002</v>
      </c>
      <c r="J1245" s="2" t="s">
        <v>37</v>
      </c>
    </row>
    <row r="1246" spans="1:10" x14ac:dyDescent="0.35">
      <c r="A1246" s="1">
        <v>45326</v>
      </c>
      <c r="B1246" s="2" t="s">
        <v>26</v>
      </c>
      <c r="C1246" s="2" t="s">
        <v>27</v>
      </c>
      <c r="D1246" s="2" t="s">
        <v>21</v>
      </c>
      <c r="E1246" s="2" t="s">
        <v>33</v>
      </c>
      <c r="F1246">
        <v>696</v>
      </c>
      <c r="G1246">
        <v>460</v>
      </c>
      <c r="H1246">
        <v>320160</v>
      </c>
      <c r="I1246">
        <v>47476.725100000003</v>
      </c>
      <c r="J1246" s="2" t="s">
        <v>37</v>
      </c>
    </row>
    <row r="1247" spans="1:10" x14ac:dyDescent="0.35">
      <c r="A1247" s="1">
        <v>45327</v>
      </c>
      <c r="B1247" s="2" t="s">
        <v>19</v>
      </c>
      <c r="C1247" s="2" t="s">
        <v>11</v>
      </c>
      <c r="D1247" s="2" t="s">
        <v>12</v>
      </c>
      <c r="E1247" s="2" t="s">
        <v>24</v>
      </c>
      <c r="F1247">
        <v>576</v>
      </c>
      <c r="G1247">
        <v>415</v>
      </c>
      <c r="H1247">
        <v>239040</v>
      </c>
      <c r="I1247">
        <v>42066.089500000002</v>
      </c>
      <c r="J1247" s="2" t="s">
        <v>37</v>
      </c>
    </row>
    <row r="1248" spans="1:10" x14ac:dyDescent="0.35">
      <c r="A1248" s="1">
        <v>45327</v>
      </c>
      <c r="B1248" s="2" t="s">
        <v>31</v>
      </c>
      <c r="C1248" s="2" t="s">
        <v>29</v>
      </c>
      <c r="D1248" s="2" t="s">
        <v>17</v>
      </c>
      <c r="E1248" s="2" t="s">
        <v>35</v>
      </c>
      <c r="F1248">
        <v>495</v>
      </c>
      <c r="G1248">
        <v>171</v>
      </c>
      <c r="H1248">
        <v>84645</v>
      </c>
      <c r="I1248">
        <v>15892.802600000001</v>
      </c>
      <c r="J1248" s="2" t="s">
        <v>37</v>
      </c>
    </row>
    <row r="1249" spans="1:10" x14ac:dyDescent="0.35">
      <c r="A1249" s="1">
        <v>45327</v>
      </c>
      <c r="B1249" s="2" t="s">
        <v>26</v>
      </c>
      <c r="C1249" s="2" t="s">
        <v>16</v>
      </c>
      <c r="D1249" s="2" t="s">
        <v>17</v>
      </c>
      <c r="E1249" s="2" t="s">
        <v>35</v>
      </c>
      <c r="F1249">
        <v>426</v>
      </c>
      <c r="G1249">
        <v>187</v>
      </c>
      <c r="H1249">
        <v>79662</v>
      </c>
      <c r="I1249">
        <v>15109.329400000001</v>
      </c>
      <c r="J1249" s="2" t="s">
        <v>37</v>
      </c>
    </row>
    <row r="1250" spans="1:10" x14ac:dyDescent="0.35">
      <c r="A1250" s="1">
        <v>45327</v>
      </c>
      <c r="B1250" s="2" t="s">
        <v>10</v>
      </c>
      <c r="C1250" s="2" t="s">
        <v>20</v>
      </c>
      <c r="D1250" s="2" t="s">
        <v>30</v>
      </c>
      <c r="E1250" s="2" t="s">
        <v>22</v>
      </c>
      <c r="F1250">
        <v>965</v>
      </c>
      <c r="G1250">
        <v>232</v>
      </c>
      <c r="H1250">
        <v>223880</v>
      </c>
      <c r="I1250">
        <v>22668.2618</v>
      </c>
      <c r="J1250" s="2" t="s">
        <v>37</v>
      </c>
    </row>
    <row r="1251" spans="1:10" x14ac:dyDescent="0.35">
      <c r="A1251" s="1">
        <v>45327</v>
      </c>
      <c r="B1251" s="2" t="s">
        <v>25</v>
      </c>
      <c r="C1251" s="2" t="s">
        <v>27</v>
      </c>
      <c r="D1251" s="2" t="s">
        <v>17</v>
      </c>
      <c r="E1251" s="2" t="s">
        <v>18</v>
      </c>
      <c r="F1251">
        <v>927</v>
      </c>
      <c r="G1251">
        <v>443</v>
      </c>
      <c r="H1251">
        <v>410661</v>
      </c>
      <c r="I1251">
        <v>100423.41069999999</v>
      </c>
      <c r="J1251" s="2" t="s">
        <v>37</v>
      </c>
    </row>
    <row r="1252" spans="1:10" x14ac:dyDescent="0.35">
      <c r="A1252" s="1">
        <v>45327</v>
      </c>
      <c r="B1252" s="2" t="s">
        <v>19</v>
      </c>
      <c r="C1252" s="2" t="s">
        <v>16</v>
      </c>
      <c r="D1252" s="2" t="s">
        <v>21</v>
      </c>
      <c r="E1252" s="2" t="s">
        <v>32</v>
      </c>
      <c r="F1252">
        <v>921</v>
      </c>
      <c r="G1252">
        <v>367</v>
      </c>
      <c r="H1252">
        <v>338007</v>
      </c>
      <c r="I1252">
        <v>79677.807000000001</v>
      </c>
      <c r="J1252" s="2" t="s">
        <v>37</v>
      </c>
    </row>
    <row r="1253" spans="1:10" x14ac:dyDescent="0.35">
      <c r="A1253" s="1">
        <v>45327</v>
      </c>
      <c r="B1253" s="2" t="s">
        <v>10</v>
      </c>
      <c r="C1253" s="2" t="s">
        <v>20</v>
      </c>
      <c r="D1253" s="2" t="s">
        <v>17</v>
      </c>
      <c r="E1253" s="2" t="s">
        <v>35</v>
      </c>
      <c r="F1253">
        <v>993</v>
      </c>
      <c r="G1253">
        <v>136</v>
      </c>
      <c r="H1253">
        <v>135048</v>
      </c>
      <c r="I1253">
        <v>18593.832900000001</v>
      </c>
      <c r="J1253" s="2" t="s">
        <v>37</v>
      </c>
    </row>
    <row r="1254" spans="1:10" x14ac:dyDescent="0.35">
      <c r="A1254" s="1">
        <v>45327</v>
      </c>
      <c r="B1254" s="2" t="s">
        <v>31</v>
      </c>
      <c r="C1254" s="2" t="s">
        <v>27</v>
      </c>
      <c r="D1254" s="2" t="s">
        <v>21</v>
      </c>
      <c r="E1254" s="2" t="s">
        <v>22</v>
      </c>
      <c r="F1254">
        <v>832</v>
      </c>
      <c r="G1254">
        <v>219</v>
      </c>
      <c r="H1254">
        <v>182208</v>
      </c>
      <c r="I1254">
        <v>22762.184799999999</v>
      </c>
      <c r="J1254" s="2" t="s">
        <v>37</v>
      </c>
    </row>
    <row r="1255" spans="1:10" x14ac:dyDescent="0.35">
      <c r="A1255" s="1">
        <v>45328</v>
      </c>
      <c r="B1255" s="2" t="s">
        <v>31</v>
      </c>
      <c r="C1255" s="2" t="s">
        <v>23</v>
      </c>
      <c r="D1255" s="2" t="s">
        <v>17</v>
      </c>
      <c r="E1255" s="2" t="s">
        <v>18</v>
      </c>
      <c r="F1255">
        <v>677</v>
      </c>
      <c r="G1255">
        <v>200</v>
      </c>
      <c r="H1255">
        <v>135400</v>
      </c>
      <c r="I1255">
        <v>11564.099700000001</v>
      </c>
      <c r="J1255" s="2" t="s">
        <v>37</v>
      </c>
    </row>
    <row r="1256" spans="1:10" x14ac:dyDescent="0.35">
      <c r="A1256" s="1">
        <v>45328</v>
      </c>
      <c r="B1256" s="2" t="s">
        <v>25</v>
      </c>
      <c r="C1256" s="2" t="s">
        <v>16</v>
      </c>
      <c r="D1256" s="2" t="s">
        <v>12</v>
      </c>
      <c r="E1256" s="2" t="s">
        <v>18</v>
      </c>
      <c r="F1256">
        <v>986</v>
      </c>
      <c r="G1256">
        <v>334</v>
      </c>
      <c r="H1256">
        <v>329324</v>
      </c>
      <c r="I1256">
        <v>67374.3024</v>
      </c>
      <c r="J1256" s="2" t="s">
        <v>37</v>
      </c>
    </row>
    <row r="1257" spans="1:10" x14ac:dyDescent="0.35">
      <c r="A1257" s="1">
        <v>45328</v>
      </c>
      <c r="B1257" s="2" t="s">
        <v>10</v>
      </c>
      <c r="C1257" s="2" t="s">
        <v>23</v>
      </c>
      <c r="D1257" s="2" t="s">
        <v>17</v>
      </c>
      <c r="E1257" s="2" t="s">
        <v>22</v>
      </c>
      <c r="F1257">
        <v>144</v>
      </c>
      <c r="G1257">
        <v>259</v>
      </c>
      <c r="H1257">
        <v>37296</v>
      </c>
      <c r="I1257">
        <v>4808.134</v>
      </c>
      <c r="J1257" s="2" t="s">
        <v>37</v>
      </c>
    </row>
    <row r="1258" spans="1:10" x14ac:dyDescent="0.35">
      <c r="A1258" s="1">
        <v>45329</v>
      </c>
      <c r="B1258" s="2" t="s">
        <v>31</v>
      </c>
      <c r="C1258" s="2" t="s">
        <v>11</v>
      </c>
      <c r="D1258" s="2" t="s">
        <v>21</v>
      </c>
      <c r="E1258" s="2" t="s">
        <v>18</v>
      </c>
      <c r="F1258">
        <v>498</v>
      </c>
      <c r="G1258">
        <v>253</v>
      </c>
      <c r="H1258">
        <v>125994</v>
      </c>
      <c r="I1258">
        <v>18298.555799999998</v>
      </c>
      <c r="J1258" s="2" t="s">
        <v>37</v>
      </c>
    </row>
    <row r="1259" spans="1:10" x14ac:dyDescent="0.35">
      <c r="A1259" s="1">
        <v>45329</v>
      </c>
      <c r="B1259" s="2" t="s">
        <v>36</v>
      </c>
      <c r="C1259" s="2" t="s">
        <v>27</v>
      </c>
      <c r="D1259" s="2" t="s">
        <v>21</v>
      </c>
      <c r="E1259" s="2" t="s">
        <v>22</v>
      </c>
      <c r="F1259">
        <v>337</v>
      </c>
      <c r="G1259">
        <v>398</v>
      </c>
      <c r="H1259">
        <v>134126</v>
      </c>
      <c r="I1259">
        <v>29084.950799999999</v>
      </c>
      <c r="J1259" s="2" t="s">
        <v>37</v>
      </c>
    </row>
    <row r="1260" spans="1:10" x14ac:dyDescent="0.35">
      <c r="A1260" s="1">
        <v>45329</v>
      </c>
      <c r="B1260" s="2" t="s">
        <v>26</v>
      </c>
      <c r="C1260" s="2" t="s">
        <v>11</v>
      </c>
      <c r="D1260" s="2" t="s">
        <v>21</v>
      </c>
      <c r="E1260" s="2" t="s">
        <v>28</v>
      </c>
      <c r="F1260">
        <v>988</v>
      </c>
      <c r="G1260">
        <v>172</v>
      </c>
      <c r="H1260">
        <v>169936</v>
      </c>
      <c r="I1260">
        <v>21476.651999999998</v>
      </c>
      <c r="J1260" s="2" t="s">
        <v>37</v>
      </c>
    </row>
    <row r="1261" spans="1:10" x14ac:dyDescent="0.35">
      <c r="A1261" s="1">
        <v>45330</v>
      </c>
      <c r="B1261" s="2" t="s">
        <v>10</v>
      </c>
      <c r="C1261" s="2" t="s">
        <v>16</v>
      </c>
      <c r="D1261" s="2" t="s">
        <v>21</v>
      </c>
      <c r="E1261" s="2" t="s">
        <v>13</v>
      </c>
      <c r="F1261">
        <v>654</v>
      </c>
      <c r="G1261">
        <v>463</v>
      </c>
      <c r="H1261">
        <v>302802</v>
      </c>
      <c r="I1261">
        <v>42733.837099999997</v>
      </c>
      <c r="J1261" s="2" t="s">
        <v>37</v>
      </c>
    </row>
    <row r="1262" spans="1:10" x14ac:dyDescent="0.35">
      <c r="A1262" s="1">
        <v>45330</v>
      </c>
      <c r="B1262" s="2" t="s">
        <v>15</v>
      </c>
      <c r="C1262" s="2" t="s">
        <v>16</v>
      </c>
      <c r="D1262" s="2" t="s">
        <v>30</v>
      </c>
      <c r="E1262" s="2" t="s">
        <v>32</v>
      </c>
      <c r="F1262">
        <v>691</v>
      </c>
      <c r="G1262">
        <v>305</v>
      </c>
      <c r="H1262">
        <v>210755</v>
      </c>
      <c r="I1262">
        <v>41818.657500000001</v>
      </c>
      <c r="J1262" s="2" t="s">
        <v>37</v>
      </c>
    </row>
    <row r="1263" spans="1:10" x14ac:dyDescent="0.35">
      <c r="A1263" s="1">
        <v>45330</v>
      </c>
      <c r="B1263" s="2" t="s">
        <v>36</v>
      </c>
      <c r="C1263" s="2" t="s">
        <v>27</v>
      </c>
      <c r="D1263" s="2" t="s">
        <v>30</v>
      </c>
      <c r="E1263" s="2" t="s">
        <v>24</v>
      </c>
      <c r="F1263">
        <v>881</v>
      </c>
      <c r="G1263">
        <v>206</v>
      </c>
      <c r="H1263">
        <v>181486</v>
      </c>
      <c r="I1263">
        <v>17268.980100000001</v>
      </c>
      <c r="J1263" s="2" t="s">
        <v>37</v>
      </c>
    </row>
    <row r="1264" spans="1:10" x14ac:dyDescent="0.35">
      <c r="A1264" s="1">
        <v>45330</v>
      </c>
      <c r="B1264" s="2" t="s">
        <v>36</v>
      </c>
      <c r="C1264" s="2" t="s">
        <v>20</v>
      </c>
      <c r="D1264" s="2" t="s">
        <v>12</v>
      </c>
      <c r="E1264" s="2" t="s">
        <v>24</v>
      </c>
      <c r="F1264">
        <v>945</v>
      </c>
      <c r="G1264">
        <v>392</v>
      </c>
      <c r="H1264">
        <v>370440</v>
      </c>
      <c r="I1264">
        <v>39988.213400000001</v>
      </c>
      <c r="J1264" s="2" t="s">
        <v>37</v>
      </c>
    </row>
    <row r="1265" spans="1:10" x14ac:dyDescent="0.35">
      <c r="A1265" s="1">
        <v>45330</v>
      </c>
      <c r="B1265" s="2" t="s">
        <v>19</v>
      </c>
      <c r="C1265" s="2" t="s">
        <v>20</v>
      </c>
      <c r="D1265" s="2" t="s">
        <v>21</v>
      </c>
      <c r="E1265" s="2" t="s">
        <v>32</v>
      </c>
      <c r="F1265">
        <v>796</v>
      </c>
      <c r="G1265">
        <v>286</v>
      </c>
      <c r="H1265">
        <v>227656</v>
      </c>
      <c r="I1265">
        <v>50582.2768</v>
      </c>
      <c r="J1265" s="2" t="s">
        <v>37</v>
      </c>
    </row>
    <row r="1266" spans="1:10" x14ac:dyDescent="0.35">
      <c r="A1266" s="1">
        <v>45331</v>
      </c>
      <c r="B1266" s="2" t="s">
        <v>26</v>
      </c>
      <c r="C1266" s="2" t="s">
        <v>11</v>
      </c>
      <c r="D1266" s="2" t="s">
        <v>30</v>
      </c>
      <c r="E1266" s="2" t="s">
        <v>22</v>
      </c>
      <c r="F1266">
        <v>552</v>
      </c>
      <c r="G1266">
        <v>379</v>
      </c>
      <c r="H1266">
        <v>209208</v>
      </c>
      <c r="I1266">
        <v>25358.469099999998</v>
      </c>
      <c r="J1266" s="2" t="s">
        <v>37</v>
      </c>
    </row>
    <row r="1267" spans="1:10" x14ac:dyDescent="0.35">
      <c r="A1267" s="1">
        <v>45331</v>
      </c>
      <c r="B1267" s="2" t="s">
        <v>36</v>
      </c>
      <c r="C1267" s="2" t="s">
        <v>23</v>
      </c>
      <c r="D1267" s="2" t="s">
        <v>21</v>
      </c>
      <c r="E1267" s="2" t="s">
        <v>32</v>
      </c>
      <c r="F1267">
        <v>329</v>
      </c>
      <c r="G1267">
        <v>161</v>
      </c>
      <c r="H1267">
        <v>52969</v>
      </c>
      <c r="I1267">
        <v>10319.205900000001</v>
      </c>
      <c r="J1267" s="2" t="s">
        <v>37</v>
      </c>
    </row>
    <row r="1268" spans="1:10" x14ac:dyDescent="0.35">
      <c r="A1268" s="1">
        <v>45331</v>
      </c>
      <c r="B1268" s="2" t="s">
        <v>31</v>
      </c>
      <c r="C1268" s="2" t="s">
        <v>11</v>
      </c>
      <c r="D1268" s="2" t="s">
        <v>21</v>
      </c>
      <c r="E1268" s="2" t="s">
        <v>22</v>
      </c>
      <c r="F1268">
        <v>842</v>
      </c>
      <c r="G1268">
        <v>419</v>
      </c>
      <c r="H1268">
        <v>352798</v>
      </c>
      <c r="I1268">
        <v>78118.39</v>
      </c>
      <c r="J1268" s="2" t="s">
        <v>37</v>
      </c>
    </row>
    <row r="1269" spans="1:10" x14ac:dyDescent="0.35">
      <c r="A1269" s="1">
        <v>45331</v>
      </c>
      <c r="B1269" s="2" t="s">
        <v>34</v>
      </c>
      <c r="C1269" s="2" t="s">
        <v>23</v>
      </c>
      <c r="D1269" s="2" t="s">
        <v>12</v>
      </c>
      <c r="E1269" s="2" t="s">
        <v>32</v>
      </c>
      <c r="F1269">
        <v>302</v>
      </c>
      <c r="G1269">
        <v>217</v>
      </c>
      <c r="H1269">
        <v>65534</v>
      </c>
      <c r="I1269">
        <v>11418.741599999999</v>
      </c>
      <c r="J1269" s="2" t="s">
        <v>37</v>
      </c>
    </row>
    <row r="1270" spans="1:10" x14ac:dyDescent="0.35">
      <c r="A1270" s="1">
        <v>45332</v>
      </c>
      <c r="B1270" s="2" t="s">
        <v>15</v>
      </c>
      <c r="C1270" s="2" t="s">
        <v>16</v>
      </c>
      <c r="D1270" s="2" t="s">
        <v>17</v>
      </c>
      <c r="E1270" s="2" t="s">
        <v>28</v>
      </c>
      <c r="F1270">
        <v>741</v>
      </c>
      <c r="G1270">
        <v>346</v>
      </c>
      <c r="H1270">
        <v>256386</v>
      </c>
      <c r="I1270">
        <v>24563.3835</v>
      </c>
      <c r="J1270" s="2" t="s">
        <v>37</v>
      </c>
    </row>
    <row r="1271" spans="1:10" x14ac:dyDescent="0.35">
      <c r="A1271" s="1">
        <v>45332</v>
      </c>
      <c r="B1271" s="2" t="s">
        <v>31</v>
      </c>
      <c r="C1271" s="2" t="s">
        <v>11</v>
      </c>
      <c r="D1271" s="2" t="s">
        <v>12</v>
      </c>
      <c r="E1271" s="2" t="s">
        <v>22</v>
      </c>
      <c r="F1271">
        <v>830</v>
      </c>
      <c r="G1271">
        <v>100</v>
      </c>
      <c r="H1271">
        <v>83000</v>
      </c>
      <c r="I1271">
        <v>11633.681699999999</v>
      </c>
      <c r="J1271" s="2" t="s">
        <v>37</v>
      </c>
    </row>
    <row r="1272" spans="1:10" x14ac:dyDescent="0.35">
      <c r="A1272" s="1">
        <v>45332</v>
      </c>
      <c r="B1272" s="2" t="s">
        <v>36</v>
      </c>
      <c r="C1272" s="2" t="s">
        <v>11</v>
      </c>
      <c r="D1272" s="2" t="s">
        <v>17</v>
      </c>
      <c r="E1272" s="2" t="s">
        <v>32</v>
      </c>
      <c r="F1272">
        <v>266</v>
      </c>
      <c r="G1272">
        <v>361</v>
      </c>
      <c r="H1272">
        <v>96026</v>
      </c>
      <c r="I1272">
        <v>12737.022800000001</v>
      </c>
      <c r="J1272" s="2" t="s">
        <v>37</v>
      </c>
    </row>
    <row r="1273" spans="1:10" x14ac:dyDescent="0.35">
      <c r="A1273" s="1">
        <v>45332</v>
      </c>
      <c r="B1273" s="2" t="s">
        <v>31</v>
      </c>
      <c r="C1273" s="2" t="s">
        <v>20</v>
      </c>
      <c r="D1273" s="2" t="s">
        <v>30</v>
      </c>
      <c r="E1273" s="2" t="s">
        <v>32</v>
      </c>
      <c r="F1273">
        <v>342</v>
      </c>
      <c r="G1273">
        <v>301</v>
      </c>
      <c r="H1273">
        <v>102942</v>
      </c>
      <c r="I1273">
        <v>20610.7641</v>
      </c>
      <c r="J1273" s="2" t="s">
        <v>37</v>
      </c>
    </row>
    <row r="1274" spans="1:10" x14ac:dyDescent="0.35">
      <c r="A1274" s="1">
        <v>45332</v>
      </c>
      <c r="B1274" s="2" t="s">
        <v>25</v>
      </c>
      <c r="C1274" s="2" t="s">
        <v>20</v>
      </c>
      <c r="D1274" s="2" t="s">
        <v>12</v>
      </c>
      <c r="E1274" s="2" t="s">
        <v>28</v>
      </c>
      <c r="F1274">
        <v>824</v>
      </c>
      <c r="G1274">
        <v>454</v>
      </c>
      <c r="H1274">
        <v>374096</v>
      </c>
      <c r="I1274">
        <v>64255.3531</v>
      </c>
      <c r="J1274" s="2" t="s">
        <v>37</v>
      </c>
    </row>
    <row r="1275" spans="1:10" x14ac:dyDescent="0.35">
      <c r="A1275" s="1">
        <v>45333</v>
      </c>
      <c r="B1275" s="2" t="s">
        <v>15</v>
      </c>
      <c r="C1275" s="2" t="s">
        <v>23</v>
      </c>
      <c r="D1275" s="2" t="s">
        <v>30</v>
      </c>
      <c r="E1275" s="2" t="s">
        <v>13</v>
      </c>
      <c r="F1275">
        <v>596</v>
      </c>
      <c r="G1275">
        <v>313</v>
      </c>
      <c r="H1275">
        <v>186548</v>
      </c>
      <c r="I1275">
        <v>42089.531999999999</v>
      </c>
      <c r="J1275" s="2" t="s">
        <v>37</v>
      </c>
    </row>
    <row r="1276" spans="1:10" x14ac:dyDescent="0.35">
      <c r="A1276" s="1">
        <v>45333</v>
      </c>
      <c r="B1276" s="2" t="s">
        <v>34</v>
      </c>
      <c r="C1276" s="2" t="s">
        <v>16</v>
      </c>
      <c r="D1276" s="2" t="s">
        <v>12</v>
      </c>
      <c r="E1276" s="2" t="s">
        <v>35</v>
      </c>
      <c r="F1276">
        <v>894</v>
      </c>
      <c r="G1276">
        <v>164</v>
      </c>
      <c r="H1276">
        <v>146616</v>
      </c>
      <c r="I1276">
        <v>17084.256700000002</v>
      </c>
      <c r="J1276" s="2" t="s">
        <v>37</v>
      </c>
    </row>
    <row r="1277" spans="1:10" x14ac:dyDescent="0.35">
      <c r="A1277" s="1">
        <v>45333</v>
      </c>
      <c r="B1277" s="2" t="s">
        <v>10</v>
      </c>
      <c r="C1277" s="2" t="s">
        <v>16</v>
      </c>
      <c r="D1277" s="2" t="s">
        <v>21</v>
      </c>
      <c r="E1277" s="2" t="s">
        <v>13</v>
      </c>
      <c r="F1277">
        <v>480</v>
      </c>
      <c r="G1277">
        <v>126</v>
      </c>
      <c r="H1277">
        <v>60480</v>
      </c>
      <c r="I1277">
        <v>5310.9660000000003</v>
      </c>
      <c r="J1277" s="2" t="s">
        <v>37</v>
      </c>
    </row>
    <row r="1278" spans="1:10" x14ac:dyDescent="0.35">
      <c r="A1278" s="1">
        <v>45333</v>
      </c>
      <c r="B1278" s="2" t="s">
        <v>36</v>
      </c>
      <c r="C1278" s="2" t="s">
        <v>29</v>
      </c>
      <c r="D1278" s="2" t="s">
        <v>21</v>
      </c>
      <c r="E1278" s="2" t="s">
        <v>24</v>
      </c>
      <c r="F1278">
        <v>701</v>
      </c>
      <c r="G1278">
        <v>421</v>
      </c>
      <c r="H1278">
        <v>295121</v>
      </c>
      <c r="I1278">
        <v>32689.528600000001</v>
      </c>
      <c r="J1278" s="2" t="s">
        <v>37</v>
      </c>
    </row>
    <row r="1279" spans="1:10" x14ac:dyDescent="0.35">
      <c r="A1279" s="1">
        <v>45333</v>
      </c>
      <c r="B1279" s="2" t="s">
        <v>25</v>
      </c>
      <c r="C1279" s="2" t="s">
        <v>11</v>
      </c>
      <c r="D1279" s="2" t="s">
        <v>17</v>
      </c>
      <c r="E1279" s="2" t="s">
        <v>24</v>
      </c>
      <c r="F1279">
        <v>572</v>
      </c>
      <c r="G1279">
        <v>225</v>
      </c>
      <c r="H1279">
        <v>128700</v>
      </c>
      <c r="I1279">
        <v>13305.462100000001</v>
      </c>
      <c r="J1279" s="2" t="s">
        <v>37</v>
      </c>
    </row>
    <row r="1280" spans="1:10" x14ac:dyDescent="0.35">
      <c r="A1280" s="1">
        <v>45334</v>
      </c>
      <c r="B1280" s="2" t="s">
        <v>10</v>
      </c>
      <c r="C1280" s="2" t="s">
        <v>11</v>
      </c>
      <c r="D1280" s="2" t="s">
        <v>12</v>
      </c>
      <c r="E1280" s="2" t="s">
        <v>28</v>
      </c>
      <c r="F1280">
        <v>390</v>
      </c>
      <c r="G1280">
        <v>480</v>
      </c>
      <c r="H1280">
        <v>187200</v>
      </c>
      <c r="I1280">
        <v>26329.881799999999</v>
      </c>
      <c r="J1280" s="2" t="s">
        <v>37</v>
      </c>
    </row>
    <row r="1281" spans="1:10" x14ac:dyDescent="0.35">
      <c r="A1281" s="1">
        <v>45334</v>
      </c>
      <c r="B1281" s="2" t="s">
        <v>26</v>
      </c>
      <c r="C1281" s="2" t="s">
        <v>27</v>
      </c>
      <c r="D1281" s="2" t="s">
        <v>30</v>
      </c>
      <c r="E1281" s="2" t="s">
        <v>13</v>
      </c>
      <c r="F1281">
        <v>741</v>
      </c>
      <c r="G1281">
        <v>430</v>
      </c>
      <c r="H1281">
        <v>318630</v>
      </c>
      <c r="I1281">
        <v>74424.784799999994</v>
      </c>
      <c r="J1281" s="2" t="s">
        <v>37</v>
      </c>
    </row>
    <row r="1282" spans="1:10" x14ac:dyDescent="0.35">
      <c r="A1282" s="1">
        <v>45334</v>
      </c>
      <c r="B1282" s="2" t="s">
        <v>36</v>
      </c>
      <c r="C1282" s="2" t="s">
        <v>20</v>
      </c>
      <c r="D1282" s="2" t="s">
        <v>17</v>
      </c>
      <c r="E1282" s="2" t="s">
        <v>24</v>
      </c>
      <c r="F1282">
        <v>425</v>
      </c>
      <c r="G1282">
        <v>462</v>
      </c>
      <c r="H1282">
        <v>196350</v>
      </c>
      <c r="I1282">
        <v>36418.9107</v>
      </c>
      <c r="J1282" s="2" t="s">
        <v>37</v>
      </c>
    </row>
    <row r="1283" spans="1:10" x14ac:dyDescent="0.35">
      <c r="A1283" s="1">
        <v>45335</v>
      </c>
      <c r="B1283" s="2" t="s">
        <v>26</v>
      </c>
      <c r="C1283" s="2" t="s">
        <v>27</v>
      </c>
      <c r="D1283" s="2" t="s">
        <v>12</v>
      </c>
      <c r="E1283" s="2" t="s">
        <v>32</v>
      </c>
      <c r="F1283">
        <v>630</v>
      </c>
      <c r="G1283">
        <v>323</v>
      </c>
      <c r="H1283">
        <v>203490</v>
      </c>
      <c r="I1283">
        <v>16544.558300000001</v>
      </c>
      <c r="J1283" s="2" t="s">
        <v>37</v>
      </c>
    </row>
    <row r="1284" spans="1:10" x14ac:dyDescent="0.35">
      <c r="A1284" s="1">
        <v>45336</v>
      </c>
      <c r="B1284" s="2" t="s">
        <v>15</v>
      </c>
      <c r="C1284" s="2" t="s">
        <v>20</v>
      </c>
      <c r="D1284" s="2" t="s">
        <v>30</v>
      </c>
      <c r="E1284" s="2" t="s">
        <v>18</v>
      </c>
      <c r="F1284">
        <v>144</v>
      </c>
      <c r="G1284">
        <v>434</v>
      </c>
      <c r="H1284">
        <v>62496</v>
      </c>
      <c r="I1284">
        <v>15258.011</v>
      </c>
      <c r="J1284" s="2" t="s">
        <v>37</v>
      </c>
    </row>
    <row r="1285" spans="1:10" x14ac:dyDescent="0.35">
      <c r="A1285" s="1">
        <v>45338</v>
      </c>
      <c r="B1285" s="2" t="s">
        <v>34</v>
      </c>
      <c r="C1285" s="2" t="s">
        <v>11</v>
      </c>
      <c r="D1285" s="2" t="s">
        <v>12</v>
      </c>
      <c r="E1285" s="2" t="s">
        <v>13</v>
      </c>
      <c r="F1285">
        <v>582</v>
      </c>
      <c r="G1285">
        <v>205</v>
      </c>
      <c r="H1285">
        <v>119310</v>
      </c>
      <c r="I1285">
        <v>11959.8814</v>
      </c>
      <c r="J1285" s="2" t="s">
        <v>37</v>
      </c>
    </row>
    <row r="1286" spans="1:10" x14ac:dyDescent="0.35">
      <c r="A1286" s="1">
        <v>45338</v>
      </c>
      <c r="B1286" s="2" t="s">
        <v>25</v>
      </c>
      <c r="C1286" s="2" t="s">
        <v>23</v>
      </c>
      <c r="D1286" s="2" t="s">
        <v>30</v>
      </c>
      <c r="E1286" s="2" t="s">
        <v>18</v>
      </c>
      <c r="F1286">
        <v>953</v>
      </c>
      <c r="G1286">
        <v>222</v>
      </c>
      <c r="H1286">
        <v>211566</v>
      </c>
      <c r="I1286">
        <v>46134.601999999999</v>
      </c>
      <c r="J1286" s="2" t="s">
        <v>37</v>
      </c>
    </row>
    <row r="1287" spans="1:10" x14ac:dyDescent="0.35">
      <c r="A1287" s="1">
        <v>45338</v>
      </c>
      <c r="B1287" s="2" t="s">
        <v>25</v>
      </c>
      <c r="C1287" s="2" t="s">
        <v>11</v>
      </c>
      <c r="D1287" s="2" t="s">
        <v>17</v>
      </c>
      <c r="E1287" s="2" t="s">
        <v>28</v>
      </c>
      <c r="F1287">
        <v>739</v>
      </c>
      <c r="G1287">
        <v>348</v>
      </c>
      <c r="H1287">
        <v>257172</v>
      </c>
      <c r="I1287">
        <v>59259.118499999997</v>
      </c>
      <c r="J1287" s="2" t="s">
        <v>37</v>
      </c>
    </row>
    <row r="1288" spans="1:10" x14ac:dyDescent="0.35">
      <c r="A1288" s="1">
        <v>45338</v>
      </c>
      <c r="B1288" s="2" t="s">
        <v>36</v>
      </c>
      <c r="C1288" s="2" t="s">
        <v>27</v>
      </c>
      <c r="D1288" s="2" t="s">
        <v>30</v>
      </c>
      <c r="E1288" s="2" t="s">
        <v>33</v>
      </c>
      <c r="F1288">
        <v>915</v>
      </c>
      <c r="G1288">
        <v>295</v>
      </c>
      <c r="H1288">
        <v>269925</v>
      </c>
      <c r="I1288">
        <v>53567.422400000003</v>
      </c>
      <c r="J1288" s="2" t="s">
        <v>37</v>
      </c>
    </row>
    <row r="1289" spans="1:10" x14ac:dyDescent="0.35">
      <c r="A1289" s="1">
        <v>45339</v>
      </c>
      <c r="B1289" s="2" t="s">
        <v>19</v>
      </c>
      <c r="C1289" s="2" t="s">
        <v>29</v>
      </c>
      <c r="D1289" s="2" t="s">
        <v>30</v>
      </c>
      <c r="E1289" s="2" t="s">
        <v>13</v>
      </c>
      <c r="F1289">
        <v>115</v>
      </c>
      <c r="G1289">
        <v>300</v>
      </c>
      <c r="H1289">
        <v>34500</v>
      </c>
      <c r="I1289">
        <v>8495.4513000000006</v>
      </c>
      <c r="J1289" s="2" t="s">
        <v>37</v>
      </c>
    </row>
    <row r="1290" spans="1:10" x14ac:dyDescent="0.35">
      <c r="A1290" s="1">
        <v>45339</v>
      </c>
      <c r="B1290" s="2" t="s">
        <v>31</v>
      </c>
      <c r="C1290" s="2" t="s">
        <v>27</v>
      </c>
      <c r="D1290" s="2" t="s">
        <v>17</v>
      </c>
      <c r="E1290" s="2" t="s">
        <v>28</v>
      </c>
      <c r="F1290">
        <v>122</v>
      </c>
      <c r="G1290">
        <v>106</v>
      </c>
      <c r="H1290">
        <v>12932</v>
      </c>
      <c r="I1290">
        <v>1614.8554999999999</v>
      </c>
      <c r="J1290" s="2" t="s">
        <v>37</v>
      </c>
    </row>
    <row r="1291" spans="1:10" x14ac:dyDescent="0.35">
      <c r="A1291" s="1">
        <v>45339</v>
      </c>
      <c r="B1291" s="2" t="s">
        <v>36</v>
      </c>
      <c r="C1291" s="2" t="s">
        <v>20</v>
      </c>
      <c r="D1291" s="2" t="s">
        <v>12</v>
      </c>
      <c r="E1291" s="2" t="s">
        <v>22</v>
      </c>
      <c r="F1291">
        <v>72</v>
      </c>
      <c r="G1291">
        <v>220</v>
      </c>
      <c r="H1291">
        <v>15840</v>
      </c>
      <c r="I1291">
        <v>3382.3712999999998</v>
      </c>
      <c r="J1291" s="2" t="s">
        <v>37</v>
      </c>
    </row>
    <row r="1292" spans="1:10" x14ac:dyDescent="0.35">
      <c r="A1292" s="1">
        <v>45340</v>
      </c>
      <c r="B1292" s="2" t="s">
        <v>31</v>
      </c>
      <c r="C1292" s="2" t="s">
        <v>11</v>
      </c>
      <c r="D1292" s="2" t="s">
        <v>30</v>
      </c>
      <c r="E1292" s="2" t="s">
        <v>22</v>
      </c>
      <c r="F1292">
        <v>845</v>
      </c>
      <c r="G1292">
        <v>256</v>
      </c>
      <c r="H1292">
        <v>216320</v>
      </c>
      <c r="I1292">
        <v>45850.810599999997</v>
      </c>
      <c r="J1292" s="2" t="s">
        <v>37</v>
      </c>
    </row>
    <row r="1293" spans="1:10" x14ac:dyDescent="0.35">
      <c r="A1293" s="1">
        <v>45340</v>
      </c>
      <c r="B1293" s="2" t="s">
        <v>31</v>
      </c>
      <c r="C1293" s="2" t="s">
        <v>29</v>
      </c>
      <c r="D1293" s="2" t="s">
        <v>12</v>
      </c>
      <c r="E1293" s="2" t="s">
        <v>22</v>
      </c>
      <c r="F1293">
        <v>789</v>
      </c>
      <c r="G1293">
        <v>362</v>
      </c>
      <c r="H1293">
        <v>285618</v>
      </c>
      <c r="I1293">
        <v>39100.803699999997</v>
      </c>
      <c r="J1293" s="2" t="s">
        <v>37</v>
      </c>
    </row>
    <row r="1294" spans="1:10" x14ac:dyDescent="0.35">
      <c r="A1294" s="1">
        <v>45340</v>
      </c>
      <c r="B1294" s="2" t="s">
        <v>10</v>
      </c>
      <c r="C1294" s="2" t="s">
        <v>23</v>
      </c>
      <c r="D1294" s="2" t="s">
        <v>17</v>
      </c>
      <c r="E1294" s="2" t="s">
        <v>32</v>
      </c>
      <c r="F1294">
        <v>912</v>
      </c>
      <c r="G1294">
        <v>238</v>
      </c>
      <c r="H1294">
        <v>217056</v>
      </c>
      <c r="I1294">
        <v>47991.6967</v>
      </c>
      <c r="J1294" s="2" t="s">
        <v>37</v>
      </c>
    </row>
    <row r="1295" spans="1:10" x14ac:dyDescent="0.35">
      <c r="A1295" s="1">
        <v>45340</v>
      </c>
      <c r="B1295" s="2" t="s">
        <v>31</v>
      </c>
      <c r="C1295" s="2" t="s">
        <v>29</v>
      </c>
      <c r="D1295" s="2" t="s">
        <v>30</v>
      </c>
      <c r="E1295" s="2" t="s">
        <v>24</v>
      </c>
      <c r="F1295">
        <v>663</v>
      </c>
      <c r="G1295">
        <v>325</v>
      </c>
      <c r="H1295">
        <v>215475</v>
      </c>
      <c r="I1295">
        <v>52514.906199999998</v>
      </c>
      <c r="J1295" s="2" t="s">
        <v>37</v>
      </c>
    </row>
    <row r="1296" spans="1:10" x14ac:dyDescent="0.35">
      <c r="A1296" s="1">
        <v>45340</v>
      </c>
      <c r="B1296" s="2" t="s">
        <v>36</v>
      </c>
      <c r="C1296" s="2" t="s">
        <v>11</v>
      </c>
      <c r="D1296" s="2" t="s">
        <v>21</v>
      </c>
      <c r="E1296" s="2" t="s">
        <v>22</v>
      </c>
      <c r="F1296">
        <v>251</v>
      </c>
      <c r="G1296">
        <v>210</v>
      </c>
      <c r="H1296">
        <v>52710</v>
      </c>
      <c r="I1296">
        <v>8751.6620999999996</v>
      </c>
      <c r="J1296" s="2" t="s">
        <v>37</v>
      </c>
    </row>
    <row r="1297" spans="1:10" x14ac:dyDescent="0.35">
      <c r="A1297" s="1">
        <v>45340</v>
      </c>
      <c r="B1297" s="2" t="s">
        <v>10</v>
      </c>
      <c r="C1297" s="2" t="s">
        <v>27</v>
      </c>
      <c r="D1297" s="2" t="s">
        <v>30</v>
      </c>
      <c r="E1297" s="2" t="s">
        <v>18</v>
      </c>
      <c r="F1297">
        <v>245</v>
      </c>
      <c r="G1297">
        <v>118</v>
      </c>
      <c r="H1297">
        <v>28910</v>
      </c>
      <c r="I1297">
        <v>4290.1129000000001</v>
      </c>
      <c r="J1297" s="2" t="s">
        <v>37</v>
      </c>
    </row>
    <row r="1298" spans="1:10" x14ac:dyDescent="0.35">
      <c r="A1298" s="1">
        <v>45340</v>
      </c>
      <c r="B1298" s="2" t="s">
        <v>10</v>
      </c>
      <c r="C1298" s="2" t="s">
        <v>29</v>
      </c>
      <c r="D1298" s="2" t="s">
        <v>12</v>
      </c>
      <c r="E1298" s="2" t="s">
        <v>22</v>
      </c>
      <c r="F1298">
        <v>989</v>
      </c>
      <c r="G1298">
        <v>401</v>
      </c>
      <c r="H1298">
        <v>396589</v>
      </c>
      <c r="I1298">
        <v>54783.387900000002</v>
      </c>
      <c r="J1298" s="2" t="s">
        <v>37</v>
      </c>
    </row>
    <row r="1299" spans="1:10" x14ac:dyDescent="0.35">
      <c r="A1299" s="1">
        <v>45342</v>
      </c>
      <c r="B1299" s="2" t="s">
        <v>34</v>
      </c>
      <c r="C1299" s="2" t="s">
        <v>16</v>
      </c>
      <c r="D1299" s="2" t="s">
        <v>21</v>
      </c>
      <c r="E1299" s="2" t="s">
        <v>28</v>
      </c>
      <c r="F1299">
        <v>985</v>
      </c>
      <c r="G1299">
        <v>225</v>
      </c>
      <c r="H1299">
        <v>221625</v>
      </c>
      <c r="I1299">
        <v>53488.983</v>
      </c>
      <c r="J1299" s="2" t="s">
        <v>37</v>
      </c>
    </row>
    <row r="1300" spans="1:10" x14ac:dyDescent="0.35">
      <c r="A1300" s="1">
        <v>45342</v>
      </c>
      <c r="B1300" s="2" t="s">
        <v>15</v>
      </c>
      <c r="C1300" s="2" t="s">
        <v>23</v>
      </c>
      <c r="D1300" s="2" t="s">
        <v>21</v>
      </c>
      <c r="E1300" s="2" t="s">
        <v>32</v>
      </c>
      <c r="F1300">
        <v>395</v>
      </c>
      <c r="G1300">
        <v>338</v>
      </c>
      <c r="H1300">
        <v>133510</v>
      </c>
      <c r="I1300">
        <v>19122.950099999998</v>
      </c>
      <c r="J1300" s="2" t="s">
        <v>37</v>
      </c>
    </row>
    <row r="1301" spans="1:10" x14ac:dyDescent="0.35">
      <c r="A1301" s="1">
        <v>45344</v>
      </c>
      <c r="B1301" s="2" t="s">
        <v>36</v>
      </c>
      <c r="C1301" s="2" t="s">
        <v>20</v>
      </c>
      <c r="D1301" s="2" t="s">
        <v>12</v>
      </c>
      <c r="E1301" s="2" t="s">
        <v>28</v>
      </c>
      <c r="F1301">
        <v>537</v>
      </c>
      <c r="G1301">
        <v>368</v>
      </c>
      <c r="H1301">
        <v>197616</v>
      </c>
      <c r="I1301">
        <v>34387.045400000003</v>
      </c>
      <c r="J1301" s="2" t="s">
        <v>37</v>
      </c>
    </row>
    <row r="1302" spans="1:10" x14ac:dyDescent="0.35">
      <c r="A1302" s="1">
        <v>45344</v>
      </c>
      <c r="B1302" s="2" t="s">
        <v>31</v>
      </c>
      <c r="C1302" s="2" t="s">
        <v>11</v>
      </c>
      <c r="D1302" s="2" t="s">
        <v>30</v>
      </c>
      <c r="E1302" s="2" t="s">
        <v>32</v>
      </c>
      <c r="F1302">
        <v>726</v>
      </c>
      <c r="G1302">
        <v>184</v>
      </c>
      <c r="H1302">
        <v>133584</v>
      </c>
      <c r="I1302">
        <v>30790.852999999999</v>
      </c>
      <c r="J1302" s="2" t="s">
        <v>37</v>
      </c>
    </row>
    <row r="1303" spans="1:10" x14ac:dyDescent="0.35">
      <c r="A1303" s="1">
        <v>45345</v>
      </c>
      <c r="B1303" s="2" t="s">
        <v>26</v>
      </c>
      <c r="C1303" s="2" t="s">
        <v>20</v>
      </c>
      <c r="D1303" s="2" t="s">
        <v>30</v>
      </c>
      <c r="E1303" s="2" t="s">
        <v>32</v>
      </c>
      <c r="F1303">
        <v>989</v>
      </c>
      <c r="G1303">
        <v>105</v>
      </c>
      <c r="H1303">
        <v>103845</v>
      </c>
      <c r="I1303">
        <v>24683.721000000001</v>
      </c>
      <c r="J1303" s="2" t="s">
        <v>37</v>
      </c>
    </row>
    <row r="1304" spans="1:10" x14ac:dyDescent="0.35">
      <c r="A1304" s="1">
        <v>45345</v>
      </c>
      <c r="B1304" s="2" t="s">
        <v>36</v>
      </c>
      <c r="C1304" s="2" t="s">
        <v>11</v>
      </c>
      <c r="D1304" s="2" t="s">
        <v>21</v>
      </c>
      <c r="E1304" s="2" t="s">
        <v>28</v>
      </c>
      <c r="F1304">
        <v>223</v>
      </c>
      <c r="G1304">
        <v>227</v>
      </c>
      <c r="H1304">
        <v>50621</v>
      </c>
      <c r="I1304">
        <v>9056.92</v>
      </c>
      <c r="J1304" s="2" t="s">
        <v>37</v>
      </c>
    </row>
    <row r="1305" spans="1:10" x14ac:dyDescent="0.35">
      <c r="A1305" s="1">
        <v>45345</v>
      </c>
      <c r="B1305" s="2" t="s">
        <v>25</v>
      </c>
      <c r="C1305" s="2" t="s">
        <v>11</v>
      </c>
      <c r="D1305" s="2" t="s">
        <v>21</v>
      </c>
      <c r="E1305" s="2" t="s">
        <v>28</v>
      </c>
      <c r="F1305">
        <v>815</v>
      </c>
      <c r="G1305">
        <v>103</v>
      </c>
      <c r="H1305">
        <v>83945</v>
      </c>
      <c r="I1305">
        <v>17921.140899999999</v>
      </c>
      <c r="J1305" s="2" t="s">
        <v>37</v>
      </c>
    </row>
    <row r="1306" spans="1:10" x14ac:dyDescent="0.35">
      <c r="A1306" s="1">
        <v>45345</v>
      </c>
      <c r="B1306" s="2" t="s">
        <v>36</v>
      </c>
      <c r="C1306" s="2" t="s">
        <v>23</v>
      </c>
      <c r="D1306" s="2" t="s">
        <v>17</v>
      </c>
      <c r="E1306" s="2" t="s">
        <v>22</v>
      </c>
      <c r="F1306">
        <v>578</v>
      </c>
      <c r="G1306">
        <v>285</v>
      </c>
      <c r="H1306">
        <v>164730</v>
      </c>
      <c r="I1306">
        <v>32643.2644</v>
      </c>
      <c r="J1306" s="2" t="s">
        <v>37</v>
      </c>
    </row>
    <row r="1307" spans="1:10" x14ac:dyDescent="0.35">
      <c r="A1307" s="1">
        <v>45346</v>
      </c>
      <c r="B1307" s="2" t="s">
        <v>31</v>
      </c>
      <c r="C1307" s="2" t="s">
        <v>27</v>
      </c>
      <c r="D1307" s="2" t="s">
        <v>17</v>
      </c>
      <c r="E1307" s="2" t="s">
        <v>35</v>
      </c>
      <c r="F1307">
        <v>555</v>
      </c>
      <c r="G1307">
        <v>393</v>
      </c>
      <c r="H1307">
        <v>218115</v>
      </c>
      <c r="I1307">
        <v>31994.103800000001</v>
      </c>
      <c r="J1307" s="2" t="s">
        <v>37</v>
      </c>
    </row>
    <row r="1308" spans="1:10" x14ac:dyDescent="0.35">
      <c r="A1308" s="1">
        <v>45346</v>
      </c>
      <c r="B1308" s="2" t="s">
        <v>36</v>
      </c>
      <c r="C1308" s="2" t="s">
        <v>29</v>
      </c>
      <c r="D1308" s="2" t="s">
        <v>12</v>
      </c>
      <c r="E1308" s="2" t="s">
        <v>13</v>
      </c>
      <c r="F1308">
        <v>66</v>
      </c>
      <c r="G1308">
        <v>367</v>
      </c>
      <c r="H1308">
        <v>24222</v>
      </c>
      <c r="I1308">
        <v>5313.4549999999999</v>
      </c>
      <c r="J1308" s="2" t="s">
        <v>37</v>
      </c>
    </row>
    <row r="1309" spans="1:10" x14ac:dyDescent="0.35">
      <c r="A1309" s="1">
        <v>45346</v>
      </c>
      <c r="B1309" s="2" t="s">
        <v>26</v>
      </c>
      <c r="C1309" s="2" t="s">
        <v>27</v>
      </c>
      <c r="D1309" s="2" t="s">
        <v>12</v>
      </c>
      <c r="E1309" s="2" t="s">
        <v>32</v>
      </c>
      <c r="F1309">
        <v>777</v>
      </c>
      <c r="G1309">
        <v>425</v>
      </c>
      <c r="H1309">
        <v>330225</v>
      </c>
      <c r="I1309">
        <v>68005.922500000001</v>
      </c>
      <c r="J1309" s="2" t="s">
        <v>37</v>
      </c>
    </row>
    <row r="1310" spans="1:10" x14ac:dyDescent="0.35">
      <c r="A1310" s="1">
        <v>45346</v>
      </c>
      <c r="B1310" s="2" t="s">
        <v>15</v>
      </c>
      <c r="C1310" s="2" t="s">
        <v>20</v>
      </c>
      <c r="D1310" s="2" t="s">
        <v>30</v>
      </c>
      <c r="E1310" s="2" t="s">
        <v>28</v>
      </c>
      <c r="F1310">
        <v>385</v>
      </c>
      <c r="G1310">
        <v>148</v>
      </c>
      <c r="H1310">
        <v>56980</v>
      </c>
      <c r="I1310">
        <v>6836.0906999999997</v>
      </c>
      <c r="J1310" s="2" t="s">
        <v>37</v>
      </c>
    </row>
    <row r="1311" spans="1:10" x14ac:dyDescent="0.35">
      <c r="A1311" s="1">
        <v>45346</v>
      </c>
      <c r="B1311" s="2" t="s">
        <v>26</v>
      </c>
      <c r="C1311" s="2" t="s">
        <v>27</v>
      </c>
      <c r="D1311" s="2" t="s">
        <v>17</v>
      </c>
      <c r="E1311" s="2" t="s">
        <v>22</v>
      </c>
      <c r="F1311">
        <v>573</v>
      </c>
      <c r="G1311">
        <v>279</v>
      </c>
      <c r="H1311">
        <v>159867</v>
      </c>
      <c r="I1311">
        <v>18222.232899999999</v>
      </c>
      <c r="J1311" s="2" t="s">
        <v>37</v>
      </c>
    </row>
    <row r="1312" spans="1:10" x14ac:dyDescent="0.35">
      <c r="A1312" s="1">
        <v>45346</v>
      </c>
      <c r="B1312" s="2" t="s">
        <v>19</v>
      </c>
      <c r="C1312" s="2" t="s">
        <v>29</v>
      </c>
      <c r="D1312" s="2" t="s">
        <v>21</v>
      </c>
      <c r="E1312" s="2" t="s">
        <v>24</v>
      </c>
      <c r="F1312">
        <v>522</v>
      </c>
      <c r="G1312">
        <v>358</v>
      </c>
      <c r="H1312">
        <v>186876</v>
      </c>
      <c r="I1312">
        <v>17202.924500000001</v>
      </c>
      <c r="J1312" s="2" t="s">
        <v>37</v>
      </c>
    </row>
    <row r="1313" spans="1:10" x14ac:dyDescent="0.35">
      <c r="A1313" s="1">
        <v>45346</v>
      </c>
      <c r="B1313" s="2" t="s">
        <v>10</v>
      </c>
      <c r="C1313" s="2" t="s">
        <v>11</v>
      </c>
      <c r="D1313" s="2" t="s">
        <v>30</v>
      </c>
      <c r="E1313" s="2" t="s">
        <v>35</v>
      </c>
      <c r="F1313">
        <v>569</v>
      </c>
      <c r="G1313">
        <v>384</v>
      </c>
      <c r="H1313">
        <v>218496</v>
      </c>
      <c r="I1313">
        <v>43338.638099999996</v>
      </c>
      <c r="J1313" s="2" t="s">
        <v>37</v>
      </c>
    </row>
    <row r="1314" spans="1:10" x14ac:dyDescent="0.35">
      <c r="A1314" s="1">
        <v>45346</v>
      </c>
      <c r="B1314" s="2" t="s">
        <v>25</v>
      </c>
      <c r="C1314" s="2" t="s">
        <v>16</v>
      </c>
      <c r="D1314" s="2" t="s">
        <v>17</v>
      </c>
      <c r="E1314" s="2" t="s">
        <v>35</v>
      </c>
      <c r="F1314">
        <v>894</v>
      </c>
      <c r="G1314">
        <v>394</v>
      </c>
      <c r="H1314">
        <v>352236</v>
      </c>
      <c r="I1314">
        <v>71074.589900000006</v>
      </c>
      <c r="J1314" s="2" t="s">
        <v>37</v>
      </c>
    </row>
    <row r="1315" spans="1:10" x14ac:dyDescent="0.35">
      <c r="A1315" s="1">
        <v>45347</v>
      </c>
      <c r="B1315" s="2" t="s">
        <v>34</v>
      </c>
      <c r="C1315" s="2" t="s">
        <v>16</v>
      </c>
      <c r="D1315" s="2" t="s">
        <v>30</v>
      </c>
      <c r="E1315" s="2" t="s">
        <v>24</v>
      </c>
      <c r="F1315">
        <v>744</v>
      </c>
      <c r="G1315">
        <v>436</v>
      </c>
      <c r="H1315">
        <v>324384</v>
      </c>
      <c r="I1315">
        <v>76463.826400000005</v>
      </c>
      <c r="J1315" s="2" t="s">
        <v>37</v>
      </c>
    </row>
    <row r="1316" spans="1:10" x14ac:dyDescent="0.35">
      <c r="A1316" s="1">
        <v>45347</v>
      </c>
      <c r="B1316" s="2" t="s">
        <v>31</v>
      </c>
      <c r="C1316" s="2" t="s">
        <v>11</v>
      </c>
      <c r="D1316" s="2" t="s">
        <v>21</v>
      </c>
      <c r="E1316" s="2" t="s">
        <v>13</v>
      </c>
      <c r="F1316">
        <v>448</v>
      </c>
      <c r="G1316">
        <v>127</v>
      </c>
      <c r="H1316">
        <v>56896</v>
      </c>
      <c r="I1316">
        <v>8098.6792999999998</v>
      </c>
      <c r="J1316" s="2" t="s">
        <v>37</v>
      </c>
    </row>
    <row r="1317" spans="1:10" x14ac:dyDescent="0.35">
      <c r="A1317" s="1">
        <v>45347</v>
      </c>
      <c r="B1317" s="2" t="s">
        <v>34</v>
      </c>
      <c r="C1317" s="2" t="s">
        <v>27</v>
      </c>
      <c r="D1317" s="2" t="s">
        <v>17</v>
      </c>
      <c r="E1317" s="2" t="s">
        <v>32</v>
      </c>
      <c r="F1317">
        <v>882</v>
      </c>
      <c r="G1317">
        <v>147</v>
      </c>
      <c r="H1317">
        <v>129654</v>
      </c>
      <c r="I1317">
        <v>17764.365000000002</v>
      </c>
      <c r="J1317" s="2" t="s">
        <v>37</v>
      </c>
    </row>
    <row r="1318" spans="1:10" x14ac:dyDescent="0.35">
      <c r="A1318" s="1">
        <v>45347</v>
      </c>
      <c r="B1318" s="2" t="s">
        <v>34</v>
      </c>
      <c r="C1318" s="2" t="s">
        <v>16</v>
      </c>
      <c r="D1318" s="2" t="s">
        <v>21</v>
      </c>
      <c r="E1318" s="2" t="s">
        <v>28</v>
      </c>
      <c r="F1318">
        <v>438</v>
      </c>
      <c r="G1318">
        <v>417</v>
      </c>
      <c r="H1318">
        <v>182646</v>
      </c>
      <c r="I1318">
        <v>30858.748200000002</v>
      </c>
      <c r="J1318" s="2" t="s">
        <v>37</v>
      </c>
    </row>
    <row r="1319" spans="1:10" x14ac:dyDescent="0.35">
      <c r="A1319" s="1">
        <v>45348</v>
      </c>
      <c r="B1319" s="2" t="s">
        <v>25</v>
      </c>
      <c r="C1319" s="2" t="s">
        <v>29</v>
      </c>
      <c r="D1319" s="2" t="s">
        <v>12</v>
      </c>
      <c r="E1319" s="2" t="s">
        <v>13</v>
      </c>
      <c r="F1319">
        <v>334</v>
      </c>
      <c r="G1319">
        <v>221</v>
      </c>
      <c r="H1319">
        <v>73814</v>
      </c>
      <c r="I1319">
        <v>17237.778900000001</v>
      </c>
      <c r="J1319" s="2" t="s">
        <v>37</v>
      </c>
    </row>
    <row r="1320" spans="1:10" x14ac:dyDescent="0.35">
      <c r="A1320" s="1">
        <v>45348</v>
      </c>
      <c r="B1320" s="2" t="s">
        <v>36</v>
      </c>
      <c r="C1320" s="2" t="s">
        <v>16</v>
      </c>
      <c r="D1320" s="2" t="s">
        <v>17</v>
      </c>
      <c r="E1320" s="2" t="s">
        <v>22</v>
      </c>
      <c r="F1320">
        <v>181</v>
      </c>
      <c r="G1320">
        <v>409</v>
      </c>
      <c r="H1320">
        <v>74029</v>
      </c>
      <c r="I1320">
        <v>15852.9643</v>
      </c>
      <c r="J1320" s="2" t="s">
        <v>37</v>
      </c>
    </row>
    <row r="1321" spans="1:10" x14ac:dyDescent="0.35">
      <c r="A1321" s="1">
        <v>45348</v>
      </c>
      <c r="B1321" s="2" t="s">
        <v>36</v>
      </c>
      <c r="C1321" s="2" t="s">
        <v>16</v>
      </c>
      <c r="D1321" s="2" t="s">
        <v>12</v>
      </c>
      <c r="E1321" s="2" t="s">
        <v>13</v>
      </c>
      <c r="F1321">
        <v>83</v>
      </c>
      <c r="G1321">
        <v>327</v>
      </c>
      <c r="H1321">
        <v>27141</v>
      </c>
      <c r="I1321">
        <v>3751.6732000000002</v>
      </c>
      <c r="J1321" s="2" t="s">
        <v>37</v>
      </c>
    </row>
    <row r="1322" spans="1:10" x14ac:dyDescent="0.35">
      <c r="A1322" s="1">
        <v>45348</v>
      </c>
      <c r="B1322" s="2" t="s">
        <v>26</v>
      </c>
      <c r="C1322" s="2" t="s">
        <v>23</v>
      </c>
      <c r="D1322" s="2" t="s">
        <v>12</v>
      </c>
      <c r="E1322" s="2" t="s">
        <v>18</v>
      </c>
      <c r="F1322">
        <v>85</v>
      </c>
      <c r="G1322">
        <v>138</v>
      </c>
      <c r="H1322">
        <v>11730</v>
      </c>
      <c r="I1322">
        <v>2767.5790999999999</v>
      </c>
      <c r="J1322" s="2" t="s">
        <v>37</v>
      </c>
    </row>
    <row r="1323" spans="1:10" x14ac:dyDescent="0.35">
      <c r="A1323" s="1">
        <v>45349</v>
      </c>
      <c r="B1323" s="2" t="s">
        <v>15</v>
      </c>
      <c r="C1323" s="2" t="s">
        <v>23</v>
      </c>
      <c r="D1323" s="2" t="s">
        <v>17</v>
      </c>
      <c r="E1323" s="2" t="s">
        <v>13</v>
      </c>
      <c r="F1323">
        <v>884</v>
      </c>
      <c r="G1323">
        <v>157</v>
      </c>
      <c r="H1323">
        <v>138788</v>
      </c>
      <c r="I1323">
        <v>18323.151399999999</v>
      </c>
      <c r="J1323" s="2" t="s">
        <v>37</v>
      </c>
    </row>
    <row r="1324" spans="1:10" x14ac:dyDescent="0.35">
      <c r="A1324" s="1">
        <v>45350</v>
      </c>
      <c r="B1324" s="2" t="s">
        <v>10</v>
      </c>
      <c r="C1324" s="2" t="s">
        <v>29</v>
      </c>
      <c r="D1324" s="2" t="s">
        <v>17</v>
      </c>
      <c r="E1324" s="2" t="s">
        <v>13</v>
      </c>
      <c r="F1324">
        <v>226</v>
      </c>
      <c r="G1324">
        <v>350</v>
      </c>
      <c r="H1324">
        <v>79100</v>
      </c>
      <c r="I1324">
        <v>12865.4566</v>
      </c>
      <c r="J1324" s="2" t="s">
        <v>37</v>
      </c>
    </row>
    <row r="1325" spans="1:10" x14ac:dyDescent="0.35">
      <c r="A1325" s="1">
        <v>45351</v>
      </c>
      <c r="B1325" s="2" t="s">
        <v>10</v>
      </c>
      <c r="C1325" s="2" t="s">
        <v>16</v>
      </c>
      <c r="D1325" s="2" t="s">
        <v>17</v>
      </c>
      <c r="E1325" s="2" t="s">
        <v>35</v>
      </c>
      <c r="F1325">
        <v>378</v>
      </c>
      <c r="G1325">
        <v>145</v>
      </c>
      <c r="H1325">
        <v>54810</v>
      </c>
      <c r="I1325">
        <v>12520.1078</v>
      </c>
      <c r="J1325" s="2" t="s">
        <v>37</v>
      </c>
    </row>
    <row r="1326" spans="1:10" x14ac:dyDescent="0.35">
      <c r="A1326" s="1">
        <v>45351</v>
      </c>
      <c r="B1326" s="2" t="s">
        <v>34</v>
      </c>
      <c r="C1326" s="2" t="s">
        <v>23</v>
      </c>
      <c r="D1326" s="2" t="s">
        <v>12</v>
      </c>
      <c r="E1326" s="2" t="s">
        <v>32</v>
      </c>
      <c r="F1326">
        <v>454</v>
      </c>
      <c r="G1326">
        <v>374</v>
      </c>
      <c r="H1326">
        <v>169796</v>
      </c>
      <c r="I1326">
        <v>15686.02</v>
      </c>
      <c r="J1326" s="2" t="s">
        <v>37</v>
      </c>
    </row>
    <row r="1327" spans="1:10" x14ac:dyDescent="0.35">
      <c r="A1327" s="1">
        <v>45351</v>
      </c>
      <c r="B1327" s="2" t="s">
        <v>19</v>
      </c>
      <c r="C1327" s="2" t="s">
        <v>20</v>
      </c>
      <c r="D1327" s="2" t="s">
        <v>12</v>
      </c>
      <c r="E1327" s="2" t="s">
        <v>22</v>
      </c>
      <c r="F1327">
        <v>191</v>
      </c>
      <c r="G1327">
        <v>266</v>
      </c>
      <c r="H1327">
        <v>50806</v>
      </c>
      <c r="I1327">
        <v>5727.2533999999996</v>
      </c>
      <c r="J1327" s="2" t="s">
        <v>37</v>
      </c>
    </row>
    <row r="1328" spans="1:10" x14ac:dyDescent="0.35">
      <c r="A1328" s="1">
        <v>45351</v>
      </c>
      <c r="B1328" s="2" t="s">
        <v>36</v>
      </c>
      <c r="C1328" s="2" t="s">
        <v>11</v>
      </c>
      <c r="D1328" s="2" t="s">
        <v>12</v>
      </c>
      <c r="E1328" s="2" t="s">
        <v>32</v>
      </c>
      <c r="F1328">
        <v>980</v>
      </c>
      <c r="G1328">
        <v>177</v>
      </c>
      <c r="H1328">
        <v>173460</v>
      </c>
      <c r="I1328">
        <v>14216.5339</v>
      </c>
      <c r="J1328" s="2" t="s">
        <v>37</v>
      </c>
    </row>
    <row r="1329" spans="1:10" x14ac:dyDescent="0.35">
      <c r="A1329" s="1">
        <v>45351</v>
      </c>
      <c r="B1329" s="2" t="s">
        <v>10</v>
      </c>
      <c r="C1329" s="2" t="s">
        <v>29</v>
      </c>
      <c r="D1329" s="2" t="s">
        <v>21</v>
      </c>
      <c r="E1329" s="2" t="s">
        <v>24</v>
      </c>
      <c r="F1329">
        <v>698</v>
      </c>
      <c r="G1329">
        <v>188</v>
      </c>
      <c r="H1329">
        <v>131224</v>
      </c>
      <c r="I1329">
        <v>29493.937300000001</v>
      </c>
      <c r="J1329" s="2" t="s">
        <v>37</v>
      </c>
    </row>
    <row r="1330" spans="1:10" x14ac:dyDescent="0.35">
      <c r="A1330" s="1">
        <v>45351</v>
      </c>
      <c r="B1330" s="2" t="s">
        <v>26</v>
      </c>
      <c r="C1330" s="2" t="s">
        <v>16</v>
      </c>
      <c r="D1330" s="2" t="s">
        <v>21</v>
      </c>
      <c r="E1330" s="2" t="s">
        <v>33</v>
      </c>
      <c r="F1330">
        <v>402</v>
      </c>
      <c r="G1330">
        <v>252</v>
      </c>
      <c r="H1330">
        <v>101304</v>
      </c>
      <c r="I1330">
        <v>13539.716899999999</v>
      </c>
      <c r="J1330" s="2" t="s">
        <v>37</v>
      </c>
    </row>
    <row r="1331" spans="1:10" x14ac:dyDescent="0.35">
      <c r="A1331" s="1">
        <v>45351</v>
      </c>
      <c r="B1331" s="2" t="s">
        <v>31</v>
      </c>
      <c r="C1331" s="2" t="s">
        <v>11</v>
      </c>
      <c r="D1331" s="2" t="s">
        <v>30</v>
      </c>
      <c r="E1331" s="2" t="s">
        <v>18</v>
      </c>
      <c r="F1331">
        <v>948</v>
      </c>
      <c r="G1331">
        <v>233</v>
      </c>
      <c r="H1331">
        <v>220884</v>
      </c>
      <c r="I1331">
        <v>33942.528400000003</v>
      </c>
      <c r="J1331" s="2" t="s">
        <v>37</v>
      </c>
    </row>
    <row r="1332" spans="1:10" x14ac:dyDescent="0.35">
      <c r="A1332" s="1">
        <v>45352</v>
      </c>
      <c r="B1332" s="2" t="s">
        <v>34</v>
      </c>
      <c r="C1332" s="2" t="s">
        <v>20</v>
      </c>
      <c r="D1332" s="2" t="s">
        <v>12</v>
      </c>
      <c r="E1332" s="2" t="s">
        <v>22</v>
      </c>
      <c r="F1332">
        <v>517</v>
      </c>
      <c r="G1332">
        <v>210</v>
      </c>
      <c r="H1332">
        <v>108570</v>
      </c>
      <c r="I1332">
        <v>23942.992200000001</v>
      </c>
      <c r="J1332" s="2" t="s">
        <v>38</v>
      </c>
    </row>
    <row r="1333" spans="1:10" x14ac:dyDescent="0.35">
      <c r="A1333" s="1">
        <v>45353</v>
      </c>
      <c r="B1333" s="2" t="s">
        <v>15</v>
      </c>
      <c r="C1333" s="2" t="s">
        <v>16</v>
      </c>
      <c r="D1333" s="2" t="s">
        <v>21</v>
      </c>
      <c r="E1333" s="2" t="s">
        <v>13</v>
      </c>
      <c r="F1333">
        <v>504</v>
      </c>
      <c r="G1333">
        <v>316</v>
      </c>
      <c r="H1333">
        <v>159264</v>
      </c>
      <c r="I1333">
        <v>23397.6816</v>
      </c>
      <c r="J1333" s="2" t="s">
        <v>38</v>
      </c>
    </row>
    <row r="1334" spans="1:10" x14ac:dyDescent="0.35">
      <c r="A1334" s="1">
        <v>45353</v>
      </c>
      <c r="B1334" s="2" t="s">
        <v>26</v>
      </c>
      <c r="C1334" s="2" t="s">
        <v>27</v>
      </c>
      <c r="D1334" s="2" t="s">
        <v>12</v>
      </c>
      <c r="E1334" s="2" t="s">
        <v>33</v>
      </c>
      <c r="F1334">
        <v>581</v>
      </c>
      <c r="G1334">
        <v>276</v>
      </c>
      <c r="H1334">
        <v>160356</v>
      </c>
      <c r="I1334">
        <v>23921.764599999999</v>
      </c>
      <c r="J1334" s="2" t="s">
        <v>38</v>
      </c>
    </row>
    <row r="1335" spans="1:10" x14ac:dyDescent="0.35">
      <c r="A1335" s="1">
        <v>45353</v>
      </c>
      <c r="B1335" s="2" t="s">
        <v>19</v>
      </c>
      <c r="C1335" s="2" t="s">
        <v>29</v>
      </c>
      <c r="D1335" s="2" t="s">
        <v>30</v>
      </c>
      <c r="E1335" s="2" t="s">
        <v>32</v>
      </c>
      <c r="F1335">
        <v>165</v>
      </c>
      <c r="G1335">
        <v>333</v>
      </c>
      <c r="H1335">
        <v>54945</v>
      </c>
      <c r="I1335">
        <v>6309.6203999999998</v>
      </c>
      <c r="J1335" s="2" t="s">
        <v>38</v>
      </c>
    </row>
    <row r="1336" spans="1:10" x14ac:dyDescent="0.35">
      <c r="A1336" s="1">
        <v>45354</v>
      </c>
      <c r="B1336" s="2" t="s">
        <v>36</v>
      </c>
      <c r="C1336" s="2" t="s">
        <v>11</v>
      </c>
      <c r="D1336" s="2" t="s">
        <v>12</v>
      </c>
      <c r="E1336" s="2" t="s">
        <v>35</v>
      </c>
      <c r="F1336">
        <v>916</v>
      </c>
      <c r="G1336">
        <v>281</v>
      </c>
      <c r="H1336">
        <v>257396</v>
      </c>
      <c r="I1336">
        <v>39363.356299999999</v>
      </c>
      <c r="J1336" s="2" t="s">
        <v>38</v>
      </c>
    </row>
    <row r="1337" spans="1:10" x14ac:dyDescent="0.35">
      <c r="A1337" s="1">
        <v>45354</v>
      </c>
      <c r="B1337" s="2" t="s">
        <v>36</v>
      </c>
      <c r="C1337" s="2" t="s">
        <v>11</v>
      </c>
      <c r="D1337" s="2" t="s">
        <v>21</v>
      </c>
      <c r="E1337" s="2" t="s">
        <v>13</v>
      </c>
      <c r="F1337">
        <v>368</v>
      </c>
      <c r="G1337">
        <v>403</v>
      </c>
      <c r="H1337">
        <v>148304</v>
      </c>
      <c r="I1337">
        <v>18382.304700000001</v>
      </c>
      <c r="J1337" s="2" t="s">
        <v>38</v>
      </c>
    </row>
    <row r="1338" spans="1:10" x14ac:dyDescent="0.35">
      <c r="A1338" s="1">
        <v>45354</v>
      </c>
      <c r="B1338" s="2" t="s">
        <v>34</v>
      </c>
      <c r="C1338" s="2" t="s">
        <v>27</v>
      </c>
      <c r="D1338" s="2" t="s">
        <v>12</v>
      </c>
      <c r="E1338" s="2" t="s">
        <v>32</v>
      </c>
      <c r="F1338">
        <v>186</v>
      </c>
      <c r="G1338">
        <v>134</v>
      </c>
      <c r="H1338">
        <v>24924</v>
      </c>
      <c r="I1338">
        <v>5917.6372000000001</v>
      </c>
      <c r="J1338" s="2" t="s">
        <v>38</v>
      </c>
    </row>
    <row r="1339" spans="1:10" x14ac:dyDescent="0.35">
      <c r="A1339" s="1">
        <v>45354</v>
      </c>
      <c r="B1339" s="2" t="s">
        <v>19</v>
      </c>
      <c r="C1339" s="2" t="s">
        <v>29</v>
      </c>
      <c r="D1339" s="2" t="s">
        <v>17</v>
      </c>
      <c r="E1339" s="2" t="s">
        <v>28</v>
      </c>
      <c r="F1339">
        <v>120</v>
      </c>
      <c r="G1339">
        <v>102</v>
      </c>
      <c r="H1339">
        <v>12240</v>
      </c>
      <c r="I1339">
        <v>2245.5131999999999</v>
      </c>
      <c r="J1339" s="2" t="s">
        <v>38</v>
      </c>
    </row>
    <row r="1340" spans="1:10" x14ac:dyDescent="0.35">
      <c r="A1340" s="1">
        <v>45355</v>
      </c>
      <c r="B1340" s="2" t="s">
        <v>19</v>
      </c>
      <c r="C1340" s="2" t="s">
        <v>23</v>
      </c>
      <c r="D1340" s="2" t="s">
        <v>17</v>
      </c>
      <c r="E1340" s="2" t="s">
        <v>35</v>
      </c>
      <c r="F1340">
        <v>290</v>
      </c>
      <c r="G1340">
        <v>176</v>
      </c>
      <c r="H1340">
        <v>51040</v>
      </c>
      <c r="I1340">
        <v>6934.1138000000001</v>
      </c>
      <c r="J1340" s="2" t="s">
        <v>38</v>
      </c>
    </row>
    <row r="1341" spans="1:10" x14ac:dyDescent="0.35">
      <c r="A1341" s="1">
        <v>45355</v>
      </c>
      <c r="B1341" s="2" t="s">
        <v>26</v>
      </c>
      <c r="C1341" s="2" t="s">
        <v>11</v>
      </c>
      <c r="D1341" s="2" t="s">
        <v>17</v>
      </c>
      <c r="E1341" s="2" t="s">
        <v>18</v>
      </c>
      <c r="F1341">
        <v>998</v>
      </c>
      <c r="G1341">
        <v>257</v>
      </c>
      <c r="H1341">
        <v>256486</v>
      </c>
      <c r="I1341">
        <v>48185.568899999998</v>
      </c>
      <c r="J1341" s="2" t="s">
        <v>38</v>
      </c>
    </row>
    <row r="1342" spans="1:10" x14ac:dyDescent="0.35">
      <c r="A1342" s="1">
        <v>45356</v>
      </c>
      <c r="B1342" s="2" t="s">
        <v>15</v>
      </c>
      <c r="C1342" s="2" t="s">
        <v>23</v>
      </c>
      <c r="D1342" s="2" t="s">
        <v>30</v>
      </c>
      <c r="E1342" s="2" t="s">
        <v>24</v>
      </c>
      <c r="F1342">
        <v>591</v>
      </c>
      <c r="G1342">
        <v>122</v>
      </c>
      <c r="H1342">
        <v>72102</v>
      </c>
      <c r="I1342">
        <v>9714.8161999999993</v>
      </c>
      <c r="J1342" s="2" t="s">
        <v>38</v>
      </c>
    </row>
    <row r="1343" spans="1:10" x14ac:dyDescent="0.35">
      <c r="A1343" s="1">
        <v>45357</v>
      </c>
      <c r="B1343" s="2" t="s">
        <v>31</v>
      </c>
      <c r="C1343" s="2" t="s">
        <v>20</v>
      </c>
      <c r="D1343" s="2" t="s">
        <v>17</v>
      </c>
      <c r="E1343" s="2" t="s">
        <v>13</v>
      </c>
      <c r="F1343">
        <v>170</v>
      </c>
      <c r="G1343">
        <v>169</v>
      </c>
      <c r="H1343">
        <v>28730</v>
      </c>
      <c r="I1343">
        <v>3263.5302999999999</v>
      </c>
      <c r="J1343" s="2" t="s">
        <v>38</v>
      </c>
    </row>
    <row r="1344" spans="1:10" x14ac:dyDescent="0.35">
      <c r="A1344" s="1">
        <v>45357</v>
      </c>
      <c r="B1344" s="2" t="s">
        <v>31</v>
      </c>
      <c r="C1344" s="2" t="s">
        <v>20</v>
      </c>
      <c r="D1344" s="2" t="s">
        <v>17</v>
      </c>
      <c r="E1344" s="2" t="s">
        <v>24</v>
      </c>
      <c r="F1344">
        <v>394</v>
      </c>
      <c r="G1344">
        <v>438</v>
      </c>
      <c r="H1344">
        <v>172572</v>
      </c>
      <c r="I1344">
        <v>24962.357100000001</v>
      </c>
      <c r="J1344" s="2" t="s">
        <v>38</v>
      </c>
    </row>
    <row r="1345" spans="1:10" x14ac:dyDescent="0.35">
      <c r="A1345" s="1">
        <v>45357</v>
      </c>
      <c r="B1345" s="2" t="s">
        <v>34</v>
      </c>
      <c r="C1345" s="2" t="s">
        <v>20</v>
      </c>
      <c r="D1345" s="2" t="s">
        <v>30</v>
      </c>
      <c r="E1345" s="2" t="s">
        <v>28</v>
      </c>
      <c r="F1345">
        <v>966</v>
      </c>
      <c r="G1345">
        <v>460</v>
      </c>
      <c r="H1345">
        <v>444360</v>
      </c>
      <c r="I1345">
        <v>105922.9915</v>
      </c>
      <c r="J1345" s="2" t="s">
        <v>38</v>
      </c>
    </row>
    <row r="1346" spans="1:10" x14ac:dyDescent="0.35">
      <c r="A1346" s="1">
        <v>45358</v>
      </c>
      <c r="B1346" s="2" t="s">
        <v>26</v>
      </c>
      <c r="C1346" s="2" t="s">
        <v>23</v>
      </c>
      <c r="D1346" s="2" t="s">
        <v>21</v>
      </c>
      <c r="E1346" s="2" t="s">
        <v>13</v>
      </c>
      <c r="F1346">
        <v>368</v>
      </c>
      <c r="G1346">
        <v>442</v>
      </c>
      <c r="H1346">
        <v>162656</v>
      </c>
      <c r="I1346">
        <v>27928.392100000001</v>
      </c>
      <c r="J1346" s="2" t="s">
        <v>38</v>
      </c>
    </row>
    <row r="1347" spans="1:10" x14ac:dyDescent="0.35">
      <c r="A1347" s="1">
        <v>45358</v>
      </c>
      <c r="B1347" s="2" t="s">
        <v>36</v>
      </c>
      <c r="C1347" s="2" t="s">
        <v>29</v>
      </c>
      <c r="D1347" s="2" t="s">
        <v>17</v>
      </c>
      <c r="E1347" s="2" t="s">
        <v>28</v>
      </c>
      <c r="F1347">
        <v>200</v>
      </c>
      <c r="G1347">
        <v>194</v>
      </c>
      <c r="H1347">
        <v>38800</v>
      </c>
      <c r="I1347">
        <v>3981.9376999999999</v>
      </c>
      <c r="J1347" s="2" t="s">
        <v>38</v>
      </c>
    </row>
    <row r="1348" spans="1:10" x14ac:dyDescent="0.35">
      <c r="A1348" s="1">
        <v>45358</v>
      </c>
      <c r="B1348" s="2" t="s">
        <v>15</v>
      </c>
      <c r="C1348" s="2" t="s">
        <v>29</v>
      </c>
      <c r="D1348" s="2" t="s">
        <v>12</v>
      </c>
      <c r="E1348" s="2" t="s">
        <v>22</v>
      </c>
      <c r="F1348">
        <v>583</v>
      </c>
      <c r="G1348">
        <v>310</v>
      </c>
      <c r="H1348">
        <v>180730</v>
      </c>
      <c r="I1348">
        <v>35245.8151</v>
      </c>
      <c r="J1348" s="2" t="s">
        <v>38</v>
      </c>
    </row>
    <row r="1349" spans="1:10" x14ac:dyDescent="0.35">
      <c r="A1349" s="1">
        <v>45358</v>
      </c>
      <c r="B1349" s="2" t="s">
        <v>34</v>
      </c>
      <c r="C1349" s="2" t="s">
        <v>27</v>
      </c>
      <c r="D1349" s="2" t="s">
        <v>30</v>
      </c>
      <c r="E1349" s="2" t="s">
        <v>32</v>
      </c>
      <c r="F1349">
        <v>406</v>
      </c>
      <c r="G1349">
        <v>279</v>
      </c>
      <c r="H1349">
        <v>113274</v>
      </c>
      <c r="I1349">
        <v>19305.894100000001</v>
      </c>
      <c r="J1349" s="2" t="s">
        <v>38</v>
      </c>
    </row>
    <row r="1350" spans="1:10" x14ac:dyDescent="0.35">
      <c r="A1350" s="1">
        <v>45359</v>
      </c>
      <c r="B1350" s="2" t="s">
        <v>26</v>
      </c>
      <c r="C1350" s="2" t="s">
        <v>23</v>
      </c>
      <c r="D1350" s="2" t="s">
        <v>30</v>
      </c>
      <c r="E1350" s="2" t="s">
        <v>35</v>
      </c>
      <c r="F1350">
        <v>182</v>
      </c>
      <c r="G1350">
        <v>349</v>
      </c>
      <c r="H1350">
        <v>63518</v>
      </c>
      <c r="I1350">
        <v>6231.3936000000003</v>
      </c>
      <c r="J1350" s="2" t="s">
        <v>38</v>
      </c>
    </row>
    <row r="1351" spans="1:10" x14ac:dyDescent="0.35">
      <c r="A1351" s="1">
        <v>45360</v>
      </c>
      <c r="B1351" s="2" t="s">
        <v>36</v>
      </c>
      <c r="C1351" s="2" t="s">
        <v>29</v>
      </c>
      <c r="D1351" s="2" t="s">
        <v>12</v>
      </c>
      <c r="E1351" s="2" t="s">
        <v>18</v>
      </c>
      <c r="F1351">
        <v>992</v>
      </c>
      <c r="G1351">
        <v>427</v>
      </c>
      <c r="H1351">
        <v>423584</v>
      </c>
      <c r="I1351">
        <v>78271.801900000006</v>
      </c>
      <c r="J1351" s="2" t="s">
        <v>38</v>
      </c>
    </row>
    <row r="1352" spans="1:10" x14ac:dyDescent="0.35">
      <c r="A1352" s="1">
        <v>45361</v>
      </c>
      <c r="B1352" s="2" t="s">
        <v>19</v>
      </c>
      <c r="C1352" s="2" t="s">
        <v>29</v>
      </c>
      <c r="D1352" s="2" t="s">
        <v>17</v>
      </c>
      <c r="E1352" s="2" t="s">
        <v>28</v>
      </c>
      <c r="F1352">
        <v>234</v>
      </c>
      <c r="G1352">
        <v>165</v>
      </c>
      <c r="H1352">
        <v>38610</v>
      </c>
      <c r="I1352">
        <v>7083.3469999999998</v>
      </c>
      <c r="J1352" s="2" t="s">
        <v>38</v>
      </c>
    </row>
    <row r="1353" spans="1:10" x14ac:dyDescent="0.35">
      <c r="A1353" s="1">
        <v>45361</v>
      </c>
      <c r="B1353" s="2" t="s">
        <v>19</v>
      </c>
      <c r="C1353" s="2" t="s">
        <v>29</v>
      </c>
      <c r="D1353" s="2" t="s">
        <v>17</v>
      </c>
      <c r="E1353" s="2" t="s">
        <v>35</v>
      </c>
      <c r="F1353">
        <v>247</v>
      </c>
      <c r="G1353">
        <v>483</v>
      </c>
      <c r="H1353">
        <v>119301</v>
      </c>
      <c r="I1353">
        <v>21891.298699999999</v>
      </c>
      <c r="J1353" s="2" t="s">
        <v>38</v>
      </c>
    </row>
    <row r="1354" spans="1:10" x14ac:dyDescent="0.35">
      <c r="A1354" s="1">
        <v>45361</v>
      </c>
      <c r="B1354" s="2" t="s">
        <v>26</v>
      </c>
      <c r="C1354" s="2" t="s">
        <v>29</v>
      </c>
      <c r="D1354" s="2" t="s">
        <v>12</v>
      </c>
      <c r="E1354" s="2" t="s">
        <v>24</v>
      </c>
      <c r="F1354">
        <v>409</v>
      </c>
      <c r="G1354">
        <v>362</v>
      </c>
      <c r="H1354">
        <v>148058</v>
      </c>
      <c r="I1354">
        <v>23628.689699999999</v>
      </c>
      <c r="J1354" s="2" t="s">
        <v>38</v>
      </c>
    </row>
    <row r="1355" spans="1:10" x14ac:dyDescent="0.35">
      <c r="A1355" s="1">
        <v>45361</v>
      </c>
      <c r="B1355" s="2" t="s">
        <v>34</v>
      </c>
      <c r="C1355" s="2" t="s">
        <v>27</v>
      </c>
      <c r="D1355" s="2" t="s">
        <v>12</v>
      </c>
      <c r="E1355" s="2" t="s">
        <v>33</v>
      </c>
      <c r="F1355">
        <v>736</v>
      </c>
      <c r="G1355">
        <v>298</v>
      </c>
      <c r="H1355">
        <v>219328</v>
      </c>
      <c r="I1355">
        <v>38786.472099999999</v>
      </c>
      <c r="J1355" s="2" t="s">
        <v>38</v>
      </c>
    </row>
    <row r="1356" spans="1:10" x14ac:dyDescent="0.35">
      <c r="A1356" s="1">
        <v>45361</v>
      </c>
      <c r="B1356" s="2" t="s">
        <v>34</v>
      </c>
      <c r="C1356" s="2" t="s">
        <v>20</v>
      </c>
      <c r="D1356" s="2" t="s">
        <v>21</v>
      </c>
      <c r="E1356" s="2" t="s">
        <v>22</v>
      </c>
      <c r="F1356">
        <v>460</v>
      </c>
      <c r="G1356">
        <v>471</v>
      </c>
      <c r="H1356">
        <v>216660</v>
      </c>
      <c r="I1356">
        <v>49955.844899999996</v>
      </c>
      <c r="J1356" s="2" t="s">
        <v>38</v>
      </c>
    </row>
    <row r="1357" spans="1:10" x14ac:dyDescent="0.35">
      <c r="A1357" s="1">
        <v>45361</v>
      </c>
      <c r="B1357" s="2" t="s">
        <v>26</v>
      </c>
      <c r="C1357" s="2" t="s">
        <v>23</v>
      </c>
      <c r="D1357" s="2" t="s">
        <v>30</v>
      </c>
      <c r="E1357" s="2" t="s">
        <v>35</v>
      </c>
      <c r="F1357">
        <v>87</v>
      </c>
      <c r="G1357">
        <v>400</v>
      </c>
      <c r="H1357">
        <v>34800</v>
      </c>
      <c r="I1357">
        <v>4225.4570999999996</v>
      </c>
      <c r="J1357" s="2" t="s">
        <v>38</v>
      </c>
    </row>
    <row r="1358" spans="1:10" x14ac:dyDescent="0.35">
      <c r="A1358" s="1">
        <v>45362</v>
      </c>
      <c r="B1358" s="2" t="s">
        <v>36</v>
      </c>
      <c r="C1358" s="2" t="s">
        <v>20</v>
      </c>
      <c r="D1358" s="2" t="s">
        <v>17</v>
      </c>
      <c r="E1358" s="2" t="s">
        <v>28</v>
      </c>
      <c r="F1358">
        <v>762</v>
      </c>
      <c r="G1358">
        <v>395</v>
      </c>
      <c r="H1358">
        <v>300990</v>
      </c>
      <c r="I1358">
        <v>34339.395400000001</v>
      </c>
      <c r="J1358" s="2" t="s">
        <v>38</v>
      </c>
    </row>
    <row r="1359" spans="1:10" x14ac:dyDescent="0.35">
      <c r="A1359" s="1">
        <v>45362</v>
      </c>
      <c r="B1359" s="2" t="s">
        <v>34</v>
      </c>
      <c r="C1359" s="2" t="s">
        <v>20</v>
      </c>
      <c r="D1359" s="2" t="s">
        <v>21</v>
      </c>
      <c r="E1359" s="2" t="s">
        <v>18</v>
      </c>
      <c r="F1359">
        <v>724</v>
      </c>
      <c r="G1359">
        <v>260</v>
      </c>
      <c r="H1359">
        <v>188240</v>
      </c>
      <c r="I1359">
        <v>32270.135200000001</v>
      </c>
      <c r="J1359" s="2" t="s">
        <v>38</v>
      </c>
    </row>
    <row r="1360" spans="1:10" x14ac:dyDescent="0.35">
      <c r="A1360" s="1">
        <v>45362</v>
      </c>
      <c r="B1360" s="2" t="s">
        <v>31</v>
      </c>
      <c r="C1360" s="2" t="s">
        <v>16</v>
      </c>
      <c r="D1360" s="2" t="s">
        <v>30</v>
      </c>
      <c r="E1360" s="2" t="s">
        <v>13</v>
      </c>
      <c r="F1360">
        <v>790</v>
      </c>
      <c r="G1360">
        <v>299</v>
      </c>
      <c r="H1360">
        <v>236210</v>
      </c>
      <c r="I1360">
        <v>58210.409200000002</v>
      </c>
      <c r="J1360" s="2" t="s">
        <v>38</v>
      </c>
    </row>
    <row r="1361" spans="1:10" x14ac:dyDescent="0.35">
      <c r="A1361" s="1">
        <v>45363</v>
      </c>
      <c r="B1361" s="2" t="s">
        <v>10</v>
      </c>
      <c r="C1361" s="2" t="s">
        <v>29</v>
      </c>
      <c r="D1361" s="2" t="s">
        <v>12</v>
      </c>
      <c r="E1361" s="2" t="s">
        <v>35</v>
      </c>
      <c r="F1361">
        <v>721</v>
      </c>
      <c r="G1361">
        <v>417</v>
      </c>
      <c r="H1361">
        <v>300657</v>
      </c>
      <c r="I1361">
        <v>33049.894</v>
      </c>
      <c r="J1361" s="2" t="s">
        <v>38</v>
      </c>
    </row>
    <row r="1362" spans="1:10" x14ac:dyDescent="0.35">
      <c r="A1362" s="1">
        <v>45364</v>
      </c>
      <c r="B1362" s="2" t="s">
        <v>15</v>
      </c>
      <c r="C1362" s="2" t="s">
        <v>11</v>
      </c>
      <c r="D1362" s="2" t="s">
        <v>30</v>
      </c>
      <c r="E1362" s="2" t="s">
        <v>28</v>
      </c>
      <c r="F1362">
        <v>432</v>
      </c>
      <c r="G1362">
        <v>441</v>
      </c>
      <c r="H1362">
        <v>190512</v>
      </c>
      <c r="I1362">
        <v>36116.962500000001</v>
      </c>
      <c r="J1362" s="2" t="s">
        <v>38</v>
      </c>
    </row>
    <row r="1363" spans="1:10" x14ac:dyDescent="0.35">
      <c r="A1363" s="1">
        <v>45364</v>
      </c>
      <c r="B1363" s="2" t="s">
        <v>34</v>
      </c>
      <c r="C1363" s="2" t="s">
        <v>23</v>
      </c>
      <c r="D1363" s="2" t="s">
        <v>17</v>
      </c>
      <c r="E1363" s="2" t="s">
        <v>18</v>
      </c>
      <c r="F1363">
        <v>260</v>
      </c>
      <c r="G1363">
        <v>245</v>
      </c>
      <c r="H1363">
        <v>63700</v>
      </c>
      <c r="I1363">
        <v>12240.0789</v>
      </c>
      <c r="J1363" s="2" t="s">
        <v>38</v>
      </c>
    </row>
    <row r="1364" spans="1:10" x14ac:dyDescent="0.35">
      <c r="A1364" s="1">
        <v>45364</v>
      </c>
      <c r="B1364" s="2" t="s">
        <v>19</v>
      </c>
      <c r="C1364" s="2" t="s">
        <v>23</v>
      </c>
      <c r="D1364" s="2" t="s">
        <v>17</v>
      </c>
      <c r="E1364" s="2" t="s">
        <v>22</v>
      </c>
      <c r="F1364">
        <v>695</v>
      </c>
      <c r="G1364">
        <v>279</v>
      </c>
      <c r="H1364">
        <v>193905</v>
      </c>
      <c r="I1364">
        <v>32821.317000000003</v>
      </c>
      <c r="J1364" s="2" t="s">
        <v>38</v>
      </c>
    </row>
    <row r="1365" spans="1:10" x14ac:dyDescent="0.35">
      <c r="A1365" s="1">
        <v>45366</v>
      </c>
      <c r="B1365" s="2" t="s">
        <v>19</v>
      </c>
      <c r="C1365" s="2" t="s">
        <v>20</v>
      </c>
      <c r="D1365" s="2" t="s">
        <v>17</v>
      </c>
      <c r="E1365" s="2" t="s">
        <v>35</v>
      </c>
      <c r="F1365">
        <v>874</v>
      </c>
      <c r="G1365">
        <v>395</v>
      </c>
      <c r="H1365">
        <v>345230</v>
      </c>
      <c r="I1365">
        <v>64029.961300000003</v>
      </c>
      <c r="J1365" s="2" t="s">
        <v>38</v>
      </c>
    </row>
    <row r="1366" spans="1:10" x14ac:dyDescent="0.35">
      <c r="A1366" s="1">
        <v>45367</v>
      </c>
      <c r="B1366" s="2" t="s">
        <v>34</v>
      </c>
      <c r="C1366" s="2" t="s">
        <v>27</v>
      </c>
      <c r="D1366" s="2" t="s">
        <v>12</v>
      </c>
      <c r="E1366" s="2" t="s">
        <v>32</v>
      </c>
      <c r="F1366">
        <v>775</v>
      </c>
      <c r="G1366">
        <v>108</v>
      </c>
      <c r="H1366">
        <v>83700</v>
      </c>
      <c r="I1366">
        <v>9131.1744999999992</v>
      </c>
      <c r="J1366" s="2" t="s">
        <v>38</v>
      </c>
    </row>
    <row r="1367" spans="1:10" x14ac:dyDescent="0.35">
      <c r="A1367" s="1">
        <v>45367</v>
      </c>
      <c r="B1367" s="2" t="s">
        <v>36</v>
      </c>
      <c r="C1367" s="2" t="s">
        <v>16</v>
      </c>
      <c r="D1367" s="2" t="s">
        <v>17</v>
      </c>
      <c r="E1367" s="2" t="s">
        <v>13</v>
      </c>
      <c r="F1367">
        <v>565</v>
      </c>
      <c r="G1367">
        <v>256</v>
      </c>
      <c r="H1367">
        <v>144640</v>
      </c>
      <c r="I1367">
        <v>13356.092199999999</v>
      </c>
      <c r="J1367" s="2" t="s">
        <v>38</v>
      </c>
    </row>
    <row r="1368" spans="1:10" x14ac:dyDescent="0.35">
      <c r="A1368" s="1">
        <v>45368</v>
      </c>
      <c r="B1368" s="2" t="s">
        <v>26</v>
      </c>
      <c r="C1368" s="2" t="s">
        <v>27</v>
      </c>
      <c r="D1368" s="2" t="s">
        <v>17</v>
      </c>
      <c r="E1368" s="2" t="s">
        <v>33</v>
      </c>
      <c r="F1368">
        <v>885</v>
      </c>
      <c r="G1368">
        <v>350</v>
      </c>
      <c r="H1368">
        <v>309750</v>
      </c>
      <c r="I1368">
        <v>74636.082999999999</v>
      </c>
      <c r="J1368" s="2" t="s">
        <v>38</v>
      </c>
    </row>
    <row r="1369" spans="1:10" x14ac:dyDescent="0.35">
      <c r="A1369" s="1">
        <v>45368</v>
      </c>
      <c r="B1369" s="2" t="s">
        <v>19</v>
      </c>
      <c r="C1369" s="2" t="s">
        <v>11</v>
      </c>
      <c r="D1369" s="2" t="s">
        <v>17</v>
      </c>
      <c r="E1369" s="2" t="s">
        <v>33</v>
      </c>
      <c r="F1369">
        <v>919</v>
      </c>
      <c r="G1369">
        <v>132</v>
      </c>
      <c r="H1369">
        <v>121308</v>
      </c>
      <c r="I1369">
        <v>30058.807799999999</v>
      </c>
      <c r="J1369" s="2" t="s">
        <v>38</v>
      </c>
    </row>
    <row r="1370" spans="1:10" x14ac:dyDescent="0.35">
      <c r="A1370" s="1">
        <v>45368</v>
      </c>
      <c r="B1370" s="2" t="s">
        <v>26</v>
      </c>
      <c r="C1370" s="2" t="s">
        <v>11</v>
      </c>
      <c r="D1370" s="2" t="s">
        <v>30</v>
      </c>
      <c r="E1370" s="2" t="s">
        <v>24</v>
      </c>
      <c r="F1370">
        <v>284</v>
      </c>
      <c r="G1370">
        <v>206</v>
      </c>
      <c r="H1370">
        <v>58504</v>
      </c>
      <c r="I1370">
        <v>13855.635200000001</v>
      </c>
      <c r="J1370" s="2" t="s">
        <v>38</v>
      </c>
    </row>
    <row r="1371" spans="1:10" x14ac:dyDescent="0.35">
      <c r="A1371" s="1">
        <v>45368</v>
      </c>
      <c r="B1371" s="2" t="s">
        <v>31</v>
      </c>
      <c r="C1371" s="2" t="s">
        <v>20</v>
      </c>
      <c r="D1371" s="2" t="s">
        <v>17</v>
      </c>
      <c r="E1371" s="2" t="s">
        <v>13</v>
      </c>
      <c r="F1371">
        <v>87</v>
      </c>
      <c r="G1371">
        <v>349</v>
      </c>
      <c r="H1371">
        <v>30363</v>
      </c>
      <c r="I1371">
        <v>2519.6154000000001</v>
      </c>
      <c r="J1371" s="2" t="s">
        <v>38</v>
      </c>
    </row>
    <row r="1372" spans="1:10" x14ac:dyDescent="0.35">
      <c r="A1372" s="1">
        <v>45368</v>
      </c>
      <c r="B1372" s="2" t="s">
        <v>34</v>
      </c>
      <c r="C1372" s="2" t="s">
        <v>11</v>
      </c>
      <c r="D1372" s="2" t="s">
        <v>17</v>
      </c>
      <c r="E1372" s="2" t="s">
        <v>24</v>
      </c>
      <c r="F1372">
        <v>157</v>
      </c>
      <c r="G1372">
        <v>234</v>
      </c>
      <c r="H1372">
        <v>36738</v>
      </c>
      <c r="I1372">
        <v>4713.7673999999997</v>
      </c>
      <c r="J1372" s="2" t="s">
        <v>38</v>
      </c>
    </row>
    <row r="1373" spans="1:10" x14ac:dyDescent="0.35">
      <c r="A1373" s="1">
        <v>45369</v>
      </c>
      <c r="B1373" s="2" t="s">
        <v>10</v>
      </c>
      <c r="C1373" s="2" t="s">
        <v>16</v>
      </c>
      <c r="D1373" s="2" t="s">
        <v>21</v>
      </c>
      <c r="E1373" s="2" t="s">
        <v>35</v>
      </c>
      <c r="F1373">
        <v>258</v>
      </c>
      <c r="G1373">
        <v>164</v>
      </c>
      <c r="H1373">
        <v>42312</v>
      </c>
      <c r="I1373">
        <v>4468.6507000000001</v>
      </c>
      <c r="J1373" s="2" t="s">
        <v>38</v>
      </c>
    </row>
    <row r="1374" spans="1:10" x14ac:dyDescent="0.35">
      <c r="A1374" s="1">
        <v>45369</v>
      </c>
      <c r="B1374" s="2" t="s">
        <v>34</v>
      </c>
      <c r="C1374" s="2" t="s">
        <v>11</v>
      </c>
      <c r="D1374" s="2" t="s">
        <v>21</v>
      </c>
      <c r="E1374" s="2" t="s">
        <v>33</v>
      </c>
      <c r="F1374">
        <v>443</v>
      </c>
      <c r="G1374">
        <v>437</v>
      </c>
      <c r="H1374">
        <v>193591</v>
      </c>
      <c r="I1374">
        <v>38665.841099999998</v>
      </c>
      <c r="J1374" s="2" t="s">
        <v>38</v>
      </c>
    </row>
    <row r="1375" spans="1:10" x14ac:dyDescent="0.35">
      <c r="A1375" s="1">
        <v>45369</v>
      </c>
      <c r="B1375" s="2" t="s">
        <v>26</v>
      </c>
      <c r="C1375" s="2" t="s">
        <v>23</v>
      </c>
      <c r="D1375" s="2" t="s">
        <v>17</v>
      </c>
      <c r="E1375" s="2" t="s">
        <v>13</v>
      </c>
      <c r="F1375">
        <v>406</v>
      </c>
      <c r="G1375">
        <v>256</v>
      </c>
      <c r="H1375">
        <v>103936</v>
      </c>
      <c r="I1375">
        <v>10995.349899999999</v>
      </c>
      <c r="J1375" s="2" t="s">
        <v>38</v>
      </c>
    </row>
    <row r="1376" spans="1:10" x14ac:dyDescent="0.35">
      <c r="A1376" s="1">
        <v>45369</v>
      </c>
      <c r="B1376" s="2" t="s">
        <v>31</v>
      </c>
      <c r="C1376" s="2" t="s">
        <v>29</v>
      </c>
      <c r="D1376" s="2" t="s">
        <v>12</v>
      </c>
      <c r="E1376" s="2" t="s">
        <v>33</v>
      </c>
      <c r="F1376">
        <v>342</v>
      </c>
      <c r="G1376">
        <v>461</v>
      </c>
      <c r="H1376">
        <v>157662</v>
      </c>
      <c r="I1376">
        <v>38906.314700000003</v>
      </c>
      <c r="J1376" s="2" t="s">
        <v>38</v>
      </c>
    </row>
    <row r="1377" spans="1:10" x14ac:dyDescent="0.35">
      <c r="A1377" s="1">
        <v>45370</v>
      </c>
      <c r="B1377" s="2" t="s">
        <v>26</v>
      </c>
      <c r="C1377" s="2" t="s">
        <v>27</v>
      </c>
      <c r="D1377" s="2" t="s">
        <v>21</v>
      </c>
      <c r="E1377" s="2" t="s">
        <v>13</v>
      </c>
      <c r="F1377">
        <v>561</v>
      </c>
      <c r="G1377">
        <v>234</v>
      </c>
      <c r="H1377">
        <v>131274</v>
      </c>
      <c r="I1377">
        <v>30067.978500000001</v>
      </c>
      <c r="J1377" s="2" t="s">
        <v>38</v>
      </c>
    </row>
    <row r="1378" spans="1:10" x14ac:dyDescent="0.35">
      <c r="A1378" s="1">
        <v>45371</v>
      </c>
      <c r="B1378" s="2" t="s">
        <v>31</v>
      </c>
      <c r="C1378" s="2" t="s">
        <v>23</v>
      </c>
      <c r="D1378" s="2" t="s">
        <v>21</v>
      </c>
      <c r="E1378" s="2" t="s">
        <v>33</v>
      </c>
      <c r="F1378">
        <v>255</v>
      </c>
      <c r="G1378">
        <v>327</v>
      </c>
      <c r="H1378">
        <v>83385</v>
      </c>
      <c r="I1378">
        <v>14407.852500000001</v>
      </c>
      <c r="J1378" s="2" t="s">
        <v>38</v>
      </c>
    </row>
    <row r="1379" spans="1:10" x14ac:dyDescent="0.35">
      <c r="A1379" s="1">
        <v>45371</v>
      </c>
      <c r="B1379" s="2" t="s">
        <v>31</v>
      </c>
      <c r="C1379" s="2" t="s">
        <v>27</v>
      </c>
      <c r="D1379" s="2" t="s">
        <v>17</v>
      </c>
      <c r="E1379" s="2" t="s">
        <v>13</v>
      </c>
      <c r="F1379">
        <v>898</v>
      </c>
      <c r="G1379">
        <v>382</v>
      </c>
      <c r="H1379">
        <v>343036</v>
      </c>
      <c r="I1379">
        <v>31992.627799999998</v>
      </c>
      <c r="J1379" s="2" t="s">
        <v>38</v>
      </c>
    </row>
    <row r="1380" spans="1:10" x14ac:dyDescent="0.35">
      <c r="A1380" s="1">
        <v>45371</v>
      </c>
      <c r="B1380" s="2" t="s">
        <v>26</v>
      </c>
      <c r="C1380" s="2" t="s">
        <v>29</v>
      </c>
      <c r="D1380" s="2" t="s">
        <v>21</v>
      </c>
      <c r="E1380" s="2" t="s">
        <v>33</v>
      </c>
      <c r="F1380">
        <v>490</v>
      </c>
      <c r="G1380">
        <v>319</v>
      </c>
      <c r="H1380">
        <v>156310</v>
      </c>
      <c r="I1380">
        <v>21080.7729</v>
      </c>
      <c r="J1380" s="2" t="s">
        <v>38</v>
      </c>
    </row>
    <row r="1381" spans="1:10" x14ac:dyDescent="0.35">
      <c r="A1381" s="1">
        <v>45371</v>
      </c>
      <c r="B1381" s="2" t="s">
        <v>31</v>
      </c>
      <c r="C1381" s="2" t="s">
        <v>29</v>
      </c>
      <c r="D1381" s="2" t="s">
        <v>12</v>
      </c>
      <c r="E1381" s="2" t="s">
        <v>13</v>
      </c>
      <c r="F1381">
        <v>611</v>
      </c>
      <c r="G1381">
        <v>243</v>
      </c>
      <c r="H1381">
        <v>148473</v>
      </c>
      <c r="I1381">
        <v>22695.946400000001</v>
      </c>
      <c r="J1381" s="2" t="s">
        <v>38</v>
      </c>
    </row>
    <row r="1382" spans="1:10" x14ac:dyDescent="0.35">
      <c r="A1382" s="1">
        <v>45371</v>
      </c>
      <c r="B1382" s="2" t="s">
        <v>36</v>
      </c>
      <c r="C1382" s="2" t="s">
        <v>27</v>
      </c>
      <c r="D1382" s="2" t="s">
        <v>30</v>
      </c>
      <c r="E1382" s="2" t="s">
        <v>35</v>
      </c>
      <c r="F1382">
        <v>951</v>
      </c>
      <c r="G1382">
        <v>473</v>
      </c>
      <c r="H1382">
        <v>449823</v>
      </c>
      <c r="I1382">
        <v>96351.795100000003</v>
      </c>
      <c r="J1382" s="2" t="s">
        <v>38</v>
      </c>
    </row>
    <row r="1383" spans="1:10" x14ac:dyDescent="0.35">
      <c r="A1383" s="1">
        <v>45371</v>
      </c>
      <c r="B1383" s="2" t="s">
        <v>19</v>
      </c>
      <c r="C1383" s="2" t="s">
        <v>16</v>
      </c>
      <c r="D1383" s="2" t="s">
        <v>30</v>
      </c>
      <c r="E1383" s="2" t="s">
        <v>13</v>
      </c>
      <c r="F1383">
        <v>707</v>
      </c>
      <c r="G1383">
        <v>114</v>
      </c>
      <c r="H1383">
        <v>80598</v>
      </c>
      <c r="I1383">
        <v>17256.669999999998</v>
      </c>
      <c r="J1383" s="2" t="s">
        <v>38</v>
      </c>
    </row>
    <row r="1384" spans="1:10" x14ac:dyDescent="0.35">
      <c r="A1384" s="1">
        <v>45371</v>
      </c>
      <c r="B1384" s="2" t="s">
        <v>25</v>
      </c>
      <c r="C1384" s="2" t="s">
        <v>27</v>
      </c>
      <c r="D1384" s="2" t="s">
        <v>30</v>
      </c>
      <c r="E1384" s="2" t="s">
        <v>33</v>
      </c>
      <c r="F1384">
        <v>874</v>
      </c>
      <c r="G1384">
        <v>472</v>
      </c>
      <c r="H1384">
        <v>412528</v>
      </c>
      <c r="I1384">
        <v>39442.487800000003</v>
      </c>
      <c r="J1384" s="2" t="s">
        <v>38</v>
      </c>
    </row>
    <row r="1385" spans="1:10" x14ac:dyDescent="0.35">
      <c r="A1385" s="1">
        <v>45372</v>
      </c>
      <c r="B1385" s="2" t="s">
        <v>31</v>
      </c>
      <c r="C1385" s="2" t="s">
        <v>23</v>
      </c>
      <c r="D1385" s="2" t="s">
        <v>12</v>
      </c>
      <c r="E1385" s="2" t="s">
        <v>13</v>
      </c>
      <c r="F1385">
        <v>983</v>
      </c>
      <c r="G1385">
        <v>429</v>
      </c>
      <c r="H1385">
        <v>421707</v>
      </c>
      <c r="I1385">
        <v>91305.172099999996</v>
      </c>
      <c r="J1385" s="2" t="s">
        <v>38</v>
      </c>
    </row>
    <row r="1386" spans="1:10" x14ac:dyDescent="0.35">
      <c r="A1386" s="1">
        <v>45372</v>
      </c>
      <c r="B1386" s="2" t="s">
        <v>15</v>
      </c>
      <c r="C1386" s="2" t="s">
        <v>16</v>
      </c>
      <c r="D1386" s="2" t="s">
        <v>17</v>
      </c>
      <c r="E1386" s="2" t="s">
        <v>35</v>
      </c>
      <c r="F1386">
        <v>976</v>
      </c>
      <c r="G1386">
        <v>258</v>
      </c>
      <c r="H1386">
        <v>251808</v>
      </c>
      <c r="I1386">
        <v>27924.7742</v>
      </c>
      <c r="J1386" s="2" t="s">
        <v>38</v>
      </c>
    </row>
    <row r="1387" spans="1:10" x14ac:dyDescent="0.35">
      <c r="A1387" s="1">
        <v>45372</v>
      </c>
      <c r="B1387" s="2" t="s">
        <v>26</v>
      </c>
      <c r="C1387" s="2" t="s">
        <v>27</v>
      </c>
      <c r="D1387" s="2" t="s">
        <v>30</v>
      </c>
      <c r="E1387" s="2" t="s">
        <v>28</v>
      </c>
      <c r="F1387">
        <v>227</v>
      </c>
      <c r="G1387">
        <v>241</v>
      </c>
      <c r="H1387">
        <v>54707</v>
      </c>
      <c r="I1387">
        <v>7391.9989999999998</v>
      </c>
      <c r="J1387" s="2" t="s">
        <v>38</v>
      </c>
    </row>
    <row r="1388" spans="1:10" x14ac:dyDescent="0.35">
      <c r="A1388" s="1">
        <v>45373</v>
      </c>
      <c r="B1388" s="2" t="s">
        <v>10</v>
      </c>
      <c r="C1388" s="2" t="s">
        <v>16</v>
      </c>
      <c r="D1388" s="2" t="s">
        <v>17</v>
      </c>
      <c r="E1388" s="2" t="s">
        <v>24</v>
      </c>
      <c r="F1388">
        <v>317</v>
      </c>
      <c r="G1388">
        <v>362</v>
      </c>
      <c r="H1388">
        <v>114754</v>
      </c>
      <c r="I1388">
        <v>20949.876199999999</v>
      </c>
      <c r="J1388" s="2" t="s">
        <v>38</v>
      </c>
    </row>
    <row r="1389" spans="1:10" x14ac:dyDescent="0.35">
      <c r="A1389" s="1">
        <v>45373</v>
      </c>
      <c r="B1389" s="2" t="s">
        <v>10</v>
      </c>
      <c r="C1389" s="2" t="s">
        <v>23</v>
      </c>
      <c r="D1389" s="2" t="s">
        <v>17</v>
      </c>
      <c r="E1389" s="2" t="s">
        <v>18</v>
      </c>
      <c r="F1389">
        <v>835</v>
      </c>
      <c r="G1389">
        <v>467</v>
      </c>
      <c r="H1389">
        <v>389945</v>
      </c>
      <c r="I1389">
        <v>74729.555999999997</v>
      </c>
      <c r="J1389" s="2" t="s">
        <v>38</v>
      </c>
    </row>
    <row r="1390" spans="1:10" x14ac:dyDescent="0.35">
      <c r="A1390" s="1">
        <v>45373</v>
      </c>
      <c r="B1390" s="2" t="s">
        <v>15</v>
      </c>
      <c r="C1390" s="2" t="s">
        <v>29</v>
      </c>
      <c r="D1390" s="2" t="s">
        <v>12</v>
      </c>
      <c r="E1390" s="2" t="s">
        <v>28</v>
      </c>
      <c r="F1390">
        <v>689</v>
      </c>
      <c r="G1390">
        <v>357</v>
      </c>
      <c r="H1390">
        <v>245973</v>
      </c>
      <c r="I1390">
        <v>59194.318899999998</v>
      </c>
      <c r="J1390" s="2" t="s">
        <v>38</v>
      </c>
    </row>
    <row r="1391" spans="1:10" x14ac:dyDescent="0.35">
      <c r="A1391" s="1">
        <v>45374</v>
      </c>
      <c r="B1391" s="2" t="s">
        <v>19</v>
      </c>
      <c r="C1391" s="2" t="s">
        <v>11</v>
      </c>
      <c r="D1391" s="2" t="s">
        <v>12</v>
      </c>
      <c r="E1391" s="2" t="s">
        <v>18</v>
      </c>
      <c r="F1391">
        <v>276</v>
      </c>
      <c r="G1391">
        <v>221</v>
      </c>
      <c r="H1391">
        <v>60996</v>
      </c>
      <c r="I1391">
        <v>11935.1896</v>
      </c>
      <c r="J1391" s="2" t="s">
        <v>38</v>
      </c>
    </row>
    <row r="1392" spans="1:10" x14ac:dyDescent="0.35">
      <c r="A1392" s="1">
        <v>45374</v>
      </c>
      <c r="B1392" s="2" t="s">
        <v>15</v>
      </c>
      <c r="C1392" s="2" t="s">
        <v>27</v>
      </c>
      <c r="D1392" s="2" t="s">
        <v>21</v>
      </c>
      <c r="E1392" s="2" t="s">
        <v>18</v>
      </c>
      <c r="F1392">
        <v>933</v>
      </c>
      <c r="G1392">
        <v>385</v>
      </c>
      <c r="H1392">
        <v>359205</v>
      </c>
      <c r="I1392">
        <v>51615.036099999998</v>
      </c>
      <c r="J1392" s="2" t="s">
        <v>38</v>
      </c>
    </row>
    <row r="1393" spans="1:10" x14ac:dyDescent="0.35">
      <c r="A1393" s="1">
        <v>45375</v>
      </c>
      <c r="B1393" s="2" t="s">
        <v>34</v>
      </c>
      <c r="C1393" s="2" t="s">
        <v>27</v>
      </c>
      <c r="D1393" s="2" t="s">
        <v>12</v>
      </c>
      <c r="E1393" s="2" t="s">
        <v>22</v>
      </c>
      <c r="F1393">
        <v>964</v>
      </c>
      <c r="G1393">
        <v>245</v>
      </c>
      <c r="H1393">
        <v>236180</v>
      </c>
      <c r="I1393">
        <v>20468.176500000001</v>
      </c>
      <c r="J1393" s="2" t="s">
        <v>38</v>
      </c>
    </row>
    <row r="1394" spans="1:10" x14ac:dyDescent="0.35">
      <c r="A1394" s="1">
        <v>45375</v>
      </c>
      <c r="B1394" s="2" t="s">
        <v>31</v>
      </c>
      <c r="C1394" s="2" t="s">
        <v>20</v>
      </c>
      <c r="D1394" s="2" t="s">
        <v>21</v>
      </c>
      <c r="E1394" s="2" t="s">
        <v>35</v>
      </c>
      <c r="F1394">
        <v>161</v>
      </c>
      <c r="G1394">
        <v>462</v>
      </c>
      <c r="H1394">
        <v>74382</v>
      </c>
      <c r="I1394">
        <v>11995.0728</v>
      </c>
      <c r="J1394" s="2" t="s">
        <v>38</v>
      </c>
    </row>
    <row r="1395" spans="1:10" x14ac:dyDescent="0.35">
      <c r="A1395" s="1">
        <v>45375</v>
      </c>
      <c r="B1395" s="2" t="s">
        <v>31</v>
      </c>
      <c r="C1395" s="2" t="s">
        <v>23</v>
      </c>
      <c r="D1395" s="2" t="s">
        <v>12</v>
      </c>
      <c r="E1395" s="2" t="s">
        <v>13</v>
      </c>
      <c r="F1395">
        <v>977</v>
      </c>
      <c r="G1395">
        <v>450</v>
      </c>
      <c r="H1395">
        <v>439650</v>
      </c>
      <c r="I1395">
        <v>47406.293700000002</v>
      </c>
      <c r="J1395" s="2" t="s">
        <v>38</v>
      </c>
    </row>
    <row r="1396" spans="1:10" x14ac:dyDescent="0.35">
      <c r="A1396" s="1">
        <v>45375</v>
      </c>
      <c r="B1396" s="2" t="s">
        <v>36</v>
      </c>
      <c r="C1396" s="2" t="s">
        <v>11</v>
      </c>
      <c r="D1396" s="2" t="s">
        <v>30</v>
      </c>
      <c r="E1396" s="2" t="s">
        <v>35</v>
      </c>
      <c r="F1396">
        <v>964</v>
      </c>
      <c r="G1396">
        <v>434</v>
      </c>
      <c r="H1396">
        <v>418376</v>
      </c>
      <c r="I1396">
        <v>75528.065900000001</v>
      </c>
      <c r="J1396" s="2" t="s">
        <v>38</v>
      </c>
    </row>
    <row r="1397" spans="1:10" x14ac:dyDescent="0.35">
      <c r="A1397" s="1">
        <v>45375</v>
      </c>
      <c r="B1397" s="2" t="s">
        <v>10</v>
      </c>
      <c r="C1397" s="2" t="s">
        <v>23</v>
      </c>
      <c r="D1397" s="2" t="s">
        <v>12</v>
      </c>
      <c r="E1397" s="2" t="s">
        <v>33</v>
      </c>
      <c r="F1397">
        <v>82</v>
      </c>
      <c r="G1397">
        <v>196</v>
      </c>
      <c r="H1397">
        <v>16072</v>
      </c>
      <c r="I1397">
        <v>2343.6477</v>
      </c>
      <c r="J1397" s="2" t="s">
        <v>38</v>
      </c>
    </row>
    <row r="1398" spans="1:10" x14ac:dyDescent="0.35">
      <c r="A1398" s="1">
        <v>45376</v>
      </c>
      <c r="B1398" s="2" t="s">
        <v>10</v>
      </c>
      <c r="C1398" s="2" t="s">
        <v>16</v>
      </c>
      <c r="D1398" s="2" t="s">
        <v>12</v>
      </c>
      <c r="E1398" s="2" t="s">
        <v>28</v>
      </c>
      <c r="F1398">
        <v>522</v>
      </c>
      <c r="G1398">
        <v>409</v>
      </c>
      <c r="H1398">
        <v>213498</v>
      </c>
      <c r="I1398">
        <v>49827.842799999999</v>
      </c>
      <c r="J1398" s="2" t="s">
        <v>38</v>
      </c>
    </row>
    <row r="1399" spans="1:10" x14ac:dyDescent="0.35">
      <c r="A1399" s="1">
        <v>45376</v>
      </c>
      <c r="B1399" s="2" t="s">
        <v>19</v>
      </c>
      <c r="C1399" s="2" t="s">
        <v>23</v>
      </c>
      <c r="D1399" s="2" t="s">
        <v>30</v>
      </c>
      <c r="E1399" s="2" t="s">
        <v>32</v>
      </c>
      <c r="F1399">
        <v>68</v>
      </c>
      <c r="G1399">
        <v>403</v>
      </c>
      <c r="H1399">
        <v>27404</v>
      </c>
      <c r="I1399">
        <v>3566.4555</v>
      </c>
      <c r="J1399" s="2" t="s">
        <v>38</v>
      </c>
    </row>
    <row r="1400" spans="1:10" x14ac:dyDescent="0.35">
      <c r="A1400" s="1">
        <v>45376</v>
      </c>
      <c r="B1400" s="2" t="s">
        <v>31</v>
      </c>
      <c r="C1400" s="2" t="s">
        <v>20</v>
      </c>
      <c r="D1400" s="2" t="s">
        <v>21</v>
      </c>
      <c r="E1400" s="2" t="s">
        <v>35</v>
      </c>
      <c r="F1400">
        <v>270</v>
      </c>
      <c r="G1400">
        <v>455</v>
      </c>
      <c r="H1400">
        <v>122850</v>
      </c>
      <c r="I1400">
        <v>16284.115100000001</v>
      </c>
      <c r="J1400" s="2" t="s">
        <v>38</v>
      </c>
    </row>
    <row r="1401" spans="1:10" x14ac:dyDescent="0.35">
      <c r="A1401" s="1">
        <v>45376</v>
      </c>
      <c r="B1401" s="2" t="s">
        <v>10</v>
      </c>
      <c r="C1401" s="2" t="s">
        <v>11</v>
      </c>
      <c r="D1401" s="2" t="s">
        <v>17</v>
      </c>
      <c r="E1401" s="2" t="s">
        <v>35</v>
      </c>
      <c r="F1401">
        <v>911</v>
      </c>
      <c r="G1401">
        <v>420</v>
      </c>
      <c r="H1401">
        <v>382620</v>
      </c>
      <c r="I1401">
        <v>38108.851499999997</v>
      </c>
      <c r="J1401" s="2" t="s">
        <v>38</v>
      </c>
    </row>
    <row r="1402" spans="1:10" x14ac:dyDescent="0.35">
      <c r="A1402" s="1">
        <v>45376</v>
      </c>
      <c r="B1402" s="2" t="s">
        <v>25</v>
      </c>
      <c r="C1402" s="2" t="s">
        <v>23</v>
      </c>
      <c r="D1402" s="2" t="s">
        <v>21</v>
      </c>
      <c r="E1402" s="2" t="s">
        <v>33</v>
      </c>
      <c r="F1402">
        <v>904</v>
      </c>
      <c r="G1402">
        <v>293</v>
      </c>
      <c r="H1402">
        <v>264872</v>
      </c>
      <c r="I1402">
        <v>65516.2814</v>
      </c>
      <c r="J1402" s="2" t="s">
        <v>38</v>
      </c>
    </row>
    <row r="1403" spans="1:10" x14ac:dyDescent="0.35">
      <c r="A1403" s="1">
        <v>45377</v>
      </c>
      <c r="B1403" s="2" t="s">
        <v>26</v>
      </c>
      <c r="C1403" s="2" t="s">
        <v>27</v>
      </c>
      <c r="D1403" s="2" t="s">
        <v>21</v>
      </c>
      <c r="E1403" s="2" t="s">
        <v>32</v>
      </c>
      <c r="F1403">
        <v>145</v>
      </c>
      <c r="G1403">
        <v>161</v>
      </c>
      <c r="H1403">
        <v>23345</v>
      </c>
      <c r="I1403">
        <v>4810.1157000000003</v>
      </c>
      <c r="J1403" s="2" t="s">
        <v>38</v>
      </c>
    </row>
    <row r="1404" spans="1:10" x14ac:dyDescent="0.35">
      <c r="A1404" s="1">
        <v>45378</v>
      </c>
      <c r="B1404" s="2" t="s">
        <v>31</v>
      </c>
      <c r="C1404" s="2" t="s">
        <v>29</v>
      </c>
      <c r="D1404" s="2" t="s">
        <v>17</v>
      </c>
      <c r="E1404" s="2" t="s">
        <v>35</v>
      </c>
      <c r="F1404">
        <v>641</v>
      </c>
      <c r="G1404">
        <v>233</v>
      </c>
      <c r="H1404">
        <v>149353</v>
      </c>
      <c r="I1404">
        <v>27162.920600000001</v>
      </c>
      <c r="J1404" s="2" t="s">
        <v>38</v>
      </c>
    </row>
    <row r="1405" spans="1:10" x14ac:dyDescent="0.35">
      <c r="A1405" s="1">
        <v>45378</v>
      </c>
      <c r="B1405" s="2" t="s">
        <v>10</v>
      </c>
      <c r="C1405" s="2" t="s">
        <v>29</v>
      </c>
      <c r="D1405" s="2" t="s">
        <v>21</v>
      </c>
      <c r="E1405" s="2" t="s">
        <v>13</v>
      </c>
      <c r="F1405">
        <v>801</v>
      </c>
      <c r="G1405">
        <v>299</v>
      </c>
      <c r="H1405">
        <v>239499</v>
      </c>
      <c r="I1405">
        <v>27138.268700000001</v>
      </c>
      <c r="J1405" s="2" t="s">
        <v>38</v>
      </c>
    </row>
    <row r="1406" spans="1:10" x14ac:dyDescent="0.35">
      <c r="A1406" s="1">
        <v>45378</v>
      </c>
      <c r="B1406" s="2" t="s">
        <v>31</v>
      </c>
      <c r="C1406" s="2" t="s">
        <v>16</v>
      </c>
      <c r="D1406" s="2" t="s">
        <v>30</v>
      </c>
      <c r="E1406" s="2" t="s">
        <v>35</v>
      </c>
      <c r="F1406">
        <v>522</v>
      </c>
      <c r="G1406">
        <v>220</v>
      </c>
      <c r="H1406">
        <v>114840</v>
      </c>
      <c r="I1406">
        <v>27168.3701</v>
      </c>
      <c r="J1406" s="2" t="s">
        <v>38</v>
      </c>
    </row>
    <row r="1407" spans="1:10" x14ac:dyDescent="0.35">
      <c r="A1407" s="1">
        <v>45379</v>
      </c>
      <c r="B1407" s="2" t="s">
        <v>34</v>
      </c>
      <c r="C1407" s="2" t="s">
        <v>11</v>
      </c>
      <c r="D1407" s="2" t="s">
        <v>21</v>
      </c>
      <c r="E1407" s="2" t="s">
        <v>32</v>
      </c>
      <c r="F1407">
        <v>669</v>
      </c>
      <c r="G1407">
        <v>206</v>
      </c>
      <c r="H1407">
        <v>137814</v>
      </c>
      <c r="I1407">
        <v>29178.736099999998</v>
      </c>
      <c r="J1407" s="2" t="s">
        <v>38</v>
      </c>
    </row>
    <row r="1408" spans="1:10" x14ac:dyDescent="0.35">
      <c r="A1408" s="1">
        <v>45379</v>
      </c>
      <c r="B1408" s="2" t="s">
        <v>15</v>
      </c>
      <c r="C1408" s="2" t="s">
        <v>20</v>
      </c>
      <c r="D1408" s="2" t="s">
        <v>30</v>
      </c>
      <c r="E1408" s="2" t="s">
        <v>13</v>
      </c>
      <c r="F1408">
        <v>973</v>
      </c>
      <c r="G1408">
        <v>108</v>
      </c>
      <c r="H1408">
        <v>105084</v>
      </c>
      <c r="I1408">
        <v>23113.481400000001</v>
      </c>
      <c r="J1408" s="2" t="s">
        <v>38</v>
      </c>
    </row>
    <row r="1409" spans="1:10" x14ac:dyDescent="0.35">
      <c r="A1409" s="1">
        <v>45379</v>
      </c>
      <c r="B1409" s="2" t="s">
        <v>34</v>
      </c>
      <c r="C1409" s="2" t="s">
        <v>11</v>
      </c>
      <c r="D1409" s="2" t="s">
        <v>30</v>
      </c>
      <c r="E1409" s="2" t="s">
        <v>18</v>
      </c>
      <c r="F1409">
        <v>473</v>
      </c>
      <c r="G1409">
        <v>284</v>
      </c>
      <c r="H1409">
        <v>134332</v>
      </c>
      <c r="I1409">
        <v>30064.630499999999</v>
      </c>
      <c r="J1409" s="2" t="s">
        <v>38</v>
      </c>
    </row>
    <row r="1410" spans="1:10" x14ac:dyDescent="0.35">
      <c r="A1410" s="1">
        <v>45379</v>
      </c>
      <c r="B1410" s="2" t="s">
        <v>34</v>
      </c>
      <c r="C1410" s="2" t="s">
        <v>23</v>
      </c>
      <c r="D1410" s="2" t="s">
        <v>30</v>
      </c>
      <c r="E1410" s="2" t="s">
        <v>35</v>
      </c>
      <c r="F1410">
        <v>688</v>
      </c>
      <c r="G1410">
        <v>300</v>
      </c>
      <c r="H1410">
        <v>206400</v>
      </c>
      <c r="I1410">
        <v>44337.218999999997</v>
      </c>
      <c r="J1410" s="2" t="s">
        <v>38</v>
      </c>
    </row>
    <row r="1411" spans="1:10" x14ac:dyDescent="0.35">
      <c r="A1411" s="1">
        <v>45379</v>
      </c>
      <c r="B1411" s="2" t="s">
        <v>15</v>
      </c>
      <c r="C1411" s="2" t="s">
        <v>11</v>
      </c>
      <c r="D1411" s="2" t="s">
        <v>12</v>
      </c>
      <c r="E1411" s="2" t="s">
        <v>22</v>
      </c>
      <c r="F1411">
        <v>791</v>
      </c>
      <c r="G1411">
        <v>279</v>
      </c>
      <c r="H1411">
        <v>220689</v>
      </c>
      <c r="I1411">
        <v>42778.884899999997</v>
      </c>
      <c r="J1411" s="2" t="s">
        <v>38</v>
      </c>
    </row>
    <row r="1412" spans="1:10" x14ac:dyDescent="0.35">
      <c r="A1412" s="1">
        <v>45380</v>
      </c>
      <c r="B1412" s="2" t="s">
        <v>31</v>
      </c>
      <c r="C1412" s="2" t="s">
        <v>11</v>
      </c>
      <c r="D1412" s="2" t="s">
        <v>30</v>
      </c>
      <c r="E1412" s="2" t="s">
        <v>32</v>
      </c>
      <c r="F1412">
        <v>398</v>
      </c>
      <c r="G1412">
        <v>259</v>
      </c>
      <c r="H1412">
        <v>103082</v>
      </c>
      <c r="I1412">
        <v>15980.2983</v>
      </c>
      <c r="J1412" s="2" t="s">
        <v>38</v>
      </c>
    </row>
    <row r="1413" spans="1:10" x14ac:dyDescent="0.35">
      <c r="A1413" s="1">
        <v>45380</v>
      </c>
      <c r="B1413" s="2" t="s">
        <v>34</v>
      </c>
      <c r="C1413" s="2" t="s">
        <v>11</v>
      </c>
      <c r="D1413" s="2" t="s">
        <v>21</v>
      </c>
      <c r="E1413" s="2" t="s">
        <v>13</v>
      </c>
      <c r="F1413">
        <v>979</v>
      </c>
      <c r="G1413">
        <v>298</v>
      </c>
      <c r="H1413">
        <v>291742</v>
      </c>
      <c r="I1413">
        <v>47687.349699999999</v>
      </c>
      <c r="J1413" s="2" t="s">
        <v>38</v>
      </c>
    </row>
    <row r="1414" spans="1:10" x14ac:dyDescent="0.35">
      <c r="A1414" s="1">
        <v>45380</v>
      </c>
      <c r="B1414" s="2" t="s">
        <v>19</v>
      </c>
      <c r="C1414" s="2" t="s">
        <v>23</v>
      </c>
      <c r="D1414" s="2" t="s">
        <v>17</v>
      </c>
      <c r="E1414" s="2" t="s">
        <v>35</v>
      </c>
      <c r="F1414">
        <v>520</v>
      </c>
      <c r="G1414">
        <v>322</v>
      </c>
      <c r="H1414">
        <v>167440</v>
      </c>
      <c r="I1414">
        <v>30011.248800000001</v>
      </c>
      <c r="J1414" s="2" t="s">
        <v>38</v>
      </c>
    </row>
    <row r="1415" spans="1:10" x14ac:dyDescent="0.35">
      <c r="A1415" s="1">
        <v>45380</v>
      </c>
      <c r="B1415" s="2" t="s">
        <v>26</v>
      </c>
      <c r="C1415" s="2" t="s">
        <v>29</v>
      </c>
      <c r="D1415" s="2" t="s">
        <v>30</v>
      </c>
      <c r="E1415" s="2" t="s">
        <v>13</v>
      </c>
      <c r="F1415">
        <v>311</v>
      </c>
      <c r="G1415">
        <v>444</v>
      </c>
      <c r="H1415">
        <v>138084</v>
      </c>
      <c r="I1415">
        <v>25727.468799999999</v>
      </c>
      <c r="J1415" s="2" t="s">
        <v>38</v>
      </c>
    </row>
    <row r="1416" spans="1:10" x14ac:dyDescent="0.35">
      <c r="A1416" s="1">
        <v>45381</v>
      </c>
      <c r="B1416" s="2" t="s">
        <v>36</v>
      </c>
      <c r="C1416" s="2" t="s">
        <v>20</v>
      </c>
      <c r="D1416" s="2" t="s">
        <v>17</v>
      </c>
      <c r="E1416" s="2" t="s">
        <v>28</v>
      </c>
      <c r="F1416">
        <v>994</v>
      </c>
      <c r="G1416">
        <v>453</v>
      </c>
      <c r="H1416">
        <v>450282</v>
      </c>
      <c r="I1416">
        <v>108626.20050000001</v>
      </c>
      <c r="J1416" s="2" t="s">
        <v>38</v>
      </c>
    </row>
    <row r="1417" spans="1:10" x14ac:dyDescent="0.35">
      <c r="A1417" s="1">
        <v>45381</v>
      </c>
      <c r="B1417" s="2" t="s">
        <v>26</v>
      </c>
      <c r="C1417" s="2" t="s">
        <v>11</v>
      </c>
      <c r="D1417" s="2" t="s">
        <v>21</v>
      </c>
      <c r="E1417" s="2" t="s">
        <v>35</v>
      </c>
      <c r="F1417">
        <v>583</v>
      </c>
      <c r="G1417">
        <v>410</v>
      </c>
      <c r="H1417">
        <v>239030</v>
      </c>
      <c r="I1417">
        <v>51521.759299999998</v>
      </c>
      <c r="J1417" s="2" t="s">
        <v>38</v>
      </c>
    </row>
    <row r="1418" spans="1:10" x14ac:dyDescent="0.35">
      <c r="A1418" s="1">
        <v>45381</v>
      </c>
      <c r="B1418" s="2" t="s">
        <v>36</v>
      </c>
      <c r="C1418" s="2" t="s">
        <v>27</v>
      </c>
      <c r="D1418" s="2" t="s">
        <v>21</v>
      </c>
      <c r="E1418" s="2" t="s">
        <v>33</v>
      </c>
      <c r="F1418">
        <v>713</v>
      </c>
      <c r="G1418">
        <v>109</v>
      </c>
      <c r="H1418">
        <v>77717</v>
      </c>
      <c r="I1418">
        <v>13589.4931</v>
      </c>
      <c r="J1418" s="2" t="s">
        <v>38</v>
      </c>
    </row>
    <row r="1419" spans="1:10" x14ac:dyDescent="0.35">
      <c r="A1419" s="1">
        <v>45381</v>
      </c>
      <c r="B1419" s="2" t="s">
        <v>10</v>
      </c>
      <c r="C1419" s="2" t="s">
        <v>29</v>
      </c>
      <c r="D1419" s="2" t="s">
        <v>12</v>
      </c>
      <c r="E1419" s="2" t="s">
        <v>13</v>
      </c>
      <c r="F1419">
        <v>426</v>
      </c>
      <c r="G1419">
        <v>206</v>
      </c>
      <c r="H1419">
        <v>87756</v>
      </c>
      <c r="I1419">
        <v>20744.544699999999</v>
      </c>
      <c r="J1419" s="2" t="s">
        <v>38</v>
      </c>
    </row>
    <row r="1420" spans="1:10" x14ac:dyDescent="0.35">
      <c r="A1420" s="1">
        <v>45381</v>
      </c>
      <c r="B1420" s="2" t="s">
        <v>19</v>
      </c>
      <c r="C1420" s="2" t="s">
        <v>27</v>
      </c>
      <c r="D1420" s="2" t="s">
        <v>21</v>
      </c>
      <c r="E1420" s="2" t="s">
        <v>33</v>
      </c>
      <c r="F1420">
        <v>863</v>
      </c>
      <c r="G1420">
        <v>434</v>
      </c>
      <c r="H1420">
        <v>374542</v>
      </c>
      <c r="I1420">
        <v>44970.161599999999</v>
      </c>
      <c r="J1420" s="2" t="s">
        <v>38</v>
      </c>
    </row>
    <row r="1421" spans="1:10" x14ac:dyDescent="0.35">
      <c r="A1421" s="1">
        <v>45381</v>
      </c>
      <c r="B1421" s="2" t="s">
        <v>26</v>
      </c>
      <c r="C1421" s="2" t="s">
        <v>27</v>
      </c>
      <c r="D1421" s="2" t="s">
        <v>17</v>
      </c>
      <c r="E1421" s="2" t="s">
        <v>28</v>
      </c>
      <c r="F1421">
        <v>532</v>
      </c>
      <c r="G1421">
        <v>330</v>
      </c>
      <c r="H1421">
        <v>175560</v>
      </c>
      <c r="I1421">
        <v>16330.5347</v>
      </c>
      <c r="J1421" s="2" t="s">
        <v>38</v>
      </c>
    </row>
    <row r="1422" spans="1:10" x14ac:dyDescent="0.35">
      <c r="A1422" s="1">
        <v>45382</v>
      </c>
      <c r="B1422" s="2" t="s">
        <v>31</v>
      </c>
      <c r="C1422" s="2" t="s">
        <v>23</v>
      </c>
      <c r="D1422" s="2" t="s">
        <v>30</v>
      </c>
      <c r="E1422" s="2" t="s">
        <v>32</v>
      </c>
      <c r="F1422">
        <v>380</v>
      </c>
      <c r="G1422">
        <v>233</v>
      </c>
      <c r="H1422">
        <v>88540</v>
      </c>
      <c r="I1422">
        <v>9855.4475000000002</v>
      </c>
      <c r="J1422" s="2" t="s">
        <v>38</v>
      </c>
    </row>
    <row r="1423" spans="1:10" x14ac:dyDescent="0.35">
      <c r="A1423" s="1">
        <v>45382</v>
      </c>
      <c r="B1423" s="2" t="s">
        <v>19</v>
      </c>
      <c r="C1423" s="2" t="s">
        <v>20</v>
      </c>
      <c r="D1423" s="2" t="s">
        <v>21</v>
      </c>
      <c r="E1423" s="2" t="s">
        <v>32</v>
      </c>
      <c r="F1423">
        <v>904</v>
      </c>
      <c r="G1423">
        <v>201</v>
      </c>
      <c r="H1423">
        <v>181704</v>
      </c>
      <c r="I1423">
        <v>32457.643400000001</v>
      </c>
      <c r="J1423" s="2" t="s">
        <v>38</v>
      </c>
    </row>
    <row r="1424" spans="1:10" x14ac:dyDescent="0.35">
      <c r="A1424" s="1">
        <v>45382</v>
      </c>
      <c r="B1424" s="2" t="s">
        <v>10</v>
      </c>
      <c r="C1424" s="2" t="s">
        <v>16</v>
      </c>
      <c r="D1424" s="2" t="s">
        <v>21</v>
      </c>
      <c r="E1424" s="2" t="s">
        <v>22</v>
      </c>
      <c r="F1424">
        <v>641</v>
      </c>
      <c r="G1424">
        <v>413</v>
      </c>
      <c r="H1424">
        <v>264733</v>
      </c>
      <c r="I1424">
        <v>23203.5533</v>
      </c>
      <c r="J1424" s="2" t="s">
        <v>38</v>
      </c>
    </row>
    <row r="1425" spans="1:10" x14ac:dyDescent="0.35">
      <c r="A1425" s="1">
        <v>45382</v>
      </c>
      <c r="B1425" s="2" t="s">
        <v>15</v>
      </c>
      <c r="C1425" s="2" t="s">
        <v>11</v>
      </c>
      <c r="D1425" s="2" t="s">
        <v>12</v>
      </c>
      <c r="E1425" s="2" t="s">
        <v>13</v>
      </c>
      <c r="F1425">
        <v>427</v>
      </c>
      <c r="G1425">
        <v>357</v>
      </c>
      <c r="H1425">
        <v>152439</v>
      </c>
      <c r="I1425">
        <v>28129.991699999999</v>
      </c>
      <c r="J1425" s="2" t="s">
        <v>38</v>
      </c>
    </row>
    <row r="1426" spans="1:10" x14ac:dyDescent="0.35">
      <c r="A1426" s="1">
        <v>45382</v>
      </c>
      <c r="B1426" s="2" t="s">
        <v>34</v>
      </c>
      <c r="C1426" s="2" t="s">
        <v>23</v>
      </c>
      <c r="D1426" s="2" t="s">
        <v>21</v>
      </c>
      <c r="E1426" s="2" t="s">
        <v>24</v>
      </c>
      <c r="F1426">
        <v>744</v>
      </c>
      <c r="G1426">
        <v>496</v>
      </c>
      <c r="H1426">
        <v>369024</v>
      </c>
      <c r="I1426">
        <v>81931.099900000001</v>
      </c>
      <c r="J1426" s="2" t="s">
        <v>38</v>
      </c>
    </row>
    <row r="1427" spans="1:10" x14ac:dyDescent="0.35">
      <c r="A1427" s="1">
        <v>45382</v>
      </c>
      <c r="B1427" s="2" t="s">
        <v>36</v>
      </c>
      <c r="C1427" s="2" t="s">
        <v>29</v>
      </c>
      <c r="D1427" s="2" t="s">
        <v>21</v>
      </c>
      <c r="E1427" s="2" t="s">
        <v>32</v>
      </c>
      <c r="F1427">
        <v>59</v>
      </c>
      <c r="G1427">
        <v>338</v>
      </c>
      <c r="H1427">
        <v>19942</v>
      </c>
      <c r="I1427">
        <v>4972.8600999999999</v>
      </c>
      <c r="J1427" s="2" t="s">
        <v>38</v>
      </c>
    </row>
    <row r="1428" spans="1:10" x14ac:dyDescent="0.35">
      <c r="A1428" s="1">
        <v>45383</v>
      </c>
      <c r="B1428" s="2" t="s">
        <v>15</v>
      </c>
      <c r="C1428" s="2" t="s">
        <v>11</v>
      </c>
      <c r="D1428" s="2" t="s">
        <v>21</v>
      </c>
      <c r="E1428" s="2" t="s">
        <v>35</v>
      </c>
      <c r="F1428">
        <v>765</v>
      </c>
      <c r="G1428">
        <v>162</v>
      </c>
      <c r="H1428">
        <v>123930</v>
      </c>
      <c r="I1428">
        <v>26650.190699999999</v>
      </c>
      <c r="J1428" s="2" t="s">
        <v>39</v>
      </c>
    </row>
    <row r="1429" spans="1:10" x14ac:dyDescent="0.35">
      <c r="A1429" s="1">
        <v>45383</v>
      </c>
      <c r="B1429" s="2" t="s">
        <v>19</v>
      </c>
      <c r="C1429" s="2" t="s">
        <v>11</v>
      </c>
      <c r="D1429" s="2" t="s">
        <v>12</v>
      </c>
      <c r="E1429" s="2" t="s">
        <v>22</v>
      </c>
      <c r="F1429">
        <v>312</v>
      </c>
      <c r="G1429">
        <v>154</v>
      </c>
      <c r="H1429">
        <v>48048</v>
      </c>
      <c r="I1429">
        <v>10503.1047</v>
      </c>
      <c r="J1429" s="2" t="s">
        <v>39</v>
      </c>
    </row>
    <row r="1430" spans="1:10" x14ac:dyDescent="0.35">
      <c r="A1430" s="1">
        <v>45383</v>
      </c>
      <c r="B1430" s="2" t="s">
        <v>19</v>
      </c>
      <c r="C1430" s="2" t="s">
        <v>16</v>
      </c>
      <c r="D1430" s="2" t="s">
        <v>21</v>
      </c>
      <c r="E1430" s="2" t="s">
        <v>22</v>
      </c>
      <c r="F1430">
        <v>73</v>
      </c>
      <c r="G1430">
        <v>307</v>
      </c>
      <c r="H1430">
        <v>22411</v>
      </c>
      <c r="I1430">
        <v>3346.0538999999999</v>
      </c>
      <c r="J1430" s="2" t="s">
        <v>39</v>
      </c>
    </row>
    <row r="1431" spans="1:10" x14ac:dyDescent="0.35">
      <c r="A1431" s="1">
        <v>45383</v>
      </c>
      <c r="B1431" s="2" t="s">
        <v>26</v>
      </c>
      <c r="C1431" s="2" t="s">
        <v>29</v>
      </c>
      <c r="D1431" s="2" t="s">
        <v>30</v>
      </c>
      <c r="E1431" s="2" t="s">
        <v>35</v>
      </c>
      <c r="F1431">
        <v>138</v>
      </c>
      <c r="G1431">
        <v>258</v>
      </c>
      <c r="H1431">
        <v>35604</v>
      </c>
      <c r="I1431">
        <v>3321.6738</v>
      </c>
      <c r="J1431" s="2" t="s">
        <v>39</v>
      </c>
    </row>
    <row r="1432" spans="1:10" x14ac:dyDescent="0.35">
      <c r="A1432" s="1">
        <v>45383</v>
      </c>
      <c r="B1432" s="2" t="s">
        <v>26</v>
      </c>
      <c r="C1432" s="2" t="s">
        <v>20</v>
      </c>
      <c r="D1432" s="2" t="s">
        <v>17</v>
      </c>
      <c r="E1432" s="2" t="s">
        <v>28</v>
      </c>
      <c r="F1432">
        <v>352</v>
      </c>
      <c r="G1432">
        <v>421</v>
      </c>
      <c r="H1432">
        <v>148192</v>
      </c>
      <c r="I1432">
        <v>35071.054300000003</v>
      </c>
      <c r="J1432" s="2" t="s">
        <v>39</v>
      </c>
    </row>
    <row r="1433" spans="1:10" x14ac:dyDescent="0.35">
      <c r="A1433" s="1">
        <v>45383</v>
      </c>
      <c r="B1433" s="2" t="s">
        <v>15</v>
      </c>
      <c r="C1433" s="2" t="s">
        <v>23</v>
      </c>
      <c r="D1433" s="2" t="s">
        <v>30</v>
      </c>
      <c r="E1433" s="2" t="s">
        <v>22</v>
      </c>
      <c r="F1433">
        <v>705</v>
      </c>
      <c r="G1433">
        <v>410</v>
      </c>
      <c r="H1433">
        <v>289050</v>
      </c>
      <c r="I1433">
        <v>33091.292399999998</v>
      </c>
      <c r="J1433" s="2" t="s">
        <v>39</v>
      </c>
    </row>
    <row r="1434" spans="1:10" x14ac:dyDescent="0.35">
      <c r="A1434" s="1">
        <v>45385</v>
      </c>
      <c r="B1434" s="2" t="s">
        <v>15</v>
      </c>
      <c r="C1434" s="2" t="s">
        <v>11</v>
      </c>
      <c r="D1434" s="2" t="s">
        <v>17</v>
      </c>
      <c r="E1434" s="2" t="s">
        <v>18</v>
      </c>
      <c r="F1434">
        <v>739</v>
      </c>
      <c r="G1434">
        <v>431</v>
      </c>
      <c r="H1434">
        <v>318509</v>
      </c>
      <c r="I1434">
        <v>63032.769500000002</v>
      </c>
      <c r="J1434" s="2" t="s">
        <v>39</v>
      </c>
    </row>
    <row r="1435" spans="1:10" x14ac:dyDescent="0.35">
      <c r="A1435" s="1">
        <v>45385</v>
      </c>
      <c r="B1435" s="2" t="s">
        <v>25</v>
      </c>
      <c r="C1435" s="2" t="s">
        <v>29</v>
      </c>
      <c r="D1435" s="2" t="s">
        <v>21</v>
      </c>
      <c r="E1435" s="2" t="s">
        <v>18</v>
      </c>
      <c r="F1435">
        <v>820</v>
      </c>
      <c r="G1435">
        <v>278</v>
      </c>
      <c r="H1435">
        <v>227960</v>
      </c>
      <c r="I1435">
        <v>45656.116300000002</v>
      </c>
      <c r="J1435" s="2" t="s">
        <v>39</v>
      </c>
    </row>
    <row r="1436" spans="1:10" x14ac:dyDescent="0.35">
      <c r="A1436" s="1">
        <v>45385</v>
      </c>
      <c r="B1436" s="2" t="s">
        <v>25</v>
      </c>
      <c r="C1436" s="2" t="s">
        <v>27</v>
      </c>
      <c r="D1436" s="2" t="s">
        <v>12</v>
      </c>
      <c r="E1436" s="2" t="s">
        <v>33</v>
      </c>
      <c r="F1436">
        <v>954</v>
      </c>
      <c r="G1436">
        <v>163</v>
      </c>
      <c r="H1436">
        <v>155502</v>
      </c>
      <c r="I1436">
        <v>14671.0581</v>
      </c>
      <c r="J1436" s="2" t="s">
        <v>39</v>
      </c>
    </row>
    <row r="1437" spans="1:10" x14ac:dyDescent="0.35">
      <c r="A1437" s="1">
        <v>45385</v>
      </c>
      <c r="B1437" s="2" t="s">
        <v>19</v>
      </c>
      <c r="C1437" s="2" t="s">
        <v>23</v>
      </c>
      <c r="D1437" s="2" t="s">
        <v>12</v>
      </c>
      <c r="E1437" s="2" t="s">
        <v>35</v>
      </c>
      <c r="F1437">
        <v>752</v>
      </c>
      <c r="G1437">
        <v>192</v>
      </c>
      <c r="H1437">
        <v>144384</v>
      </c>
      <c r="I1437">
        <v>32290.241399999999</v>
      </c>
      <c r="J1437" s="2" t="s">
        <v>39</v>
      </c>
    </row>
    <row r="1438" spans="1:10" x14ac:dyDescent="0.35">
      <c r="A1438" s="1">
        <v>45386</v>
      </c>
      <c r="B1438" s="2" t="s">
        <v>31</v>
      </c>
      <c r="C1438" s="2" t="s">
        <v>27</v>
      </c>
      <c r="D1438" s="2" t="s">
        <v>21</v>
      </c>
      <c r="E1438" s="2" t="s">
        <v>32</v>
      </c>
      <c r="F1438">
        <v>469</v>
      </c>
      <c r="G1438">
        <v>433</v>
      </c>
      <c r="H1438">
        <v>203077</v>
      </c>
      <c r="I1438">
        <v>47029.226799999997</v>
      </c>
      <c r="J1438" s="2" t="s">
        <v>39</v>
      </c>
    </row>
    <row r="1439" spans="1:10" x14ac:dyDescent="0.35">
      <c r="A1439" s="1">
        <v>45386</v>
      </c>
      <c r="B1439" s="2" t="s">
        <v>19</v>
      </c>
      <c r="C1439" s="2" t="s">
        <v>11</v>
      </c>
      <c r="D1439" s="2" t="s">
        <v>21</v>
      </c>
      <c r="E1439" s="2" t="s">
        <v>24</v>
      </c>
      <c r="F1439">
        <v>997</v>
      </c>
      <c r="G1439">
        <v>317</v>
      </c>
      <c r="H1439">
        <v>316049</v>
      </c>
      <c r="I1439">
        <v>59406.811300000001</v>
      </c>
      <c r="J1439" s="2" t="s">
        <v>39</v>
      </c>
    </row>
    <row r="1440" spans="1:10" x14ac:dyDescent="0.35">
      <c r="A1440" s="1">
        <v>45386</v>
      </c>
      <c r="B1440" s="2" t="s">
        <v>15</v>
      </c>
      <c r="C1440" s="2" t="s">
        <v>23</v>
      </c>
      <c r="D1440" s="2" t="s">
        <v>30</v>
      </c>
      <c r="E1440" s="2" t="s">
        <v>33</v>
      </c>
      <c r="F1440">
        <v>824</v>
      </c>
      <c r="G1440">
        <v>488</v>
      </c>
      <c r="H1440">
        <v>402112</v>
      </c>
      <c r="I1440">
        <v>98581.204800000007</v>
      </c>
      <c r="J1440" s="2" t="s">
        <v>39</v>
      </c>
    </row>
    <row r="1441" spans="1:10" x14ac:dyDescent="0.35">
      <c r="A1441" s="1">
        <v>45386</v>
      </c>
      <c r="B1441" s="2" t="s">
        <v>26</v>
      </c>
      <c r="C1441" s="2" t="s">
        <v>11</v>
      </c>
      <c r="D1441" s="2" t="s">
        <v>17</v>
      </c>
      <c r="E1441" s="2" t="s">
        <v>24</v>
      </c>
      <c r="F1441">
        <v>875</v>
      </c>
      <c r="G1441">
        <v>362</v>
      </c>
      <c r="H1441">
        <v>316750</v>
      </c>
      <c r="I1441">
        <v>74214.106799999994</v>
      </c>
      <c r="J1441" s="2" t="s">
        <v>39</v>
      </c>
    </row>
    <row r="1442" spans="1:10" x14ac:dyDescent="0.35">
      <c r="A1442" s="1">
        <v>45386</v>
      </c>
      <c r="B1442" s="2" t="s">
        <v>10</v>
      </c>
      <c r="C1442" s="2" t="s">
        <v>16</v>
      </c>
      <c r="D1442" s="2" t="s">
        <v>12</v>
      </c>
      <c r="E1442" s="2" t="s">
        <v>13</v>
      </c>
      <c r="F1442">
        <v>350</v>
      </c>
      <c r="G1442">
        <v>303</v>
      </c>
      <c r="H1442">
        <v>106050</v>
      </c>
      <c r="I1442">
        <v>20876.365300000001</v>
      </c>
      <c r="J1442" s="2" t="s">
        <v>39</v>
      </c>
    </row>
    <row r="1443" spans="1:10" x14ac:dyDescent="0.35">
      <c r="A1443" s="1">
        <v>45386</v>
      </c>
      <c r="B1443" s="2" t="s">
        <v>19</v>
      </c>
      <c r="C1443" s="2" t="s">
        <v>23</v>
      </c>
      <c r="D1443" s="2" t="s">
        <v>17</v>
      </c>
      <c r="E1443" s="2" t="s">
        <v>33</v>
      </c>
      <c r="F1443">
        <v>810</v>
      </c>
      <c r="G1443">
        <v>414</v>
      </c>
      <c r="H1443">
        <v>335340</v>
      </c>
      <c r="I1443">
        <v>76818.537400000001</v>
      </c>
      <c r="J1443" s="2" t="s">
        <v>39</v>
      </c>
    </row>
    <row r="1444" spans="1:10" x14ac:dyDescent="0.35">
      <c r="A1444" s="1">
        <v>45387</v>
      </c>
      <c r="B1444" s="2" t="s">
        <v>31</v>
      </c>
      <c r="C1444" s="2" t="s">
        <v>29</v>
      </c>
      <c r="D1444" s="2" t="s">
        <v>21</v>
      </c>
      <c r="E1444" s="2" t="s">
        <v>22</v>
      </c>
      <c r="F1444">
        <v>115</v>
      </c>
      <c r="G1444">
        <v>416</v>
      </c>
      <c r="H1444">
        <v>47840</v>
      </c>
      <c r="I1444">
        <v>8609.1831999999995</v>
      </c>
      <c r="J1444" s="2" t="s">
        <v>39</v>
      </c>
    </row>
    <row r="1445" spans="1:10" x14ac:dyDescent="0.35">
      <c r="A1445" s="1">
        <v>45387</v>
      </c>
      <c r="B1445" s="2" t="s">
        <v>25</v>
      </c>
      <c r="C1445" s="2" t="s">
        <v>16</v>
      </c>
      <c r="D1445" s="2" t="s">
        <v>30</v>
      </c>
      <c r="E1445" s="2" t="s">
        <v>18</v>
      </c>
      <c r="F1445">
        <v>117</v>
      </c>
      <c r="G1445">
        <v>438</v>
      </c>
      <c r="H1445">
        <v>51246</v>
      </c>
      <c r="I1445">
        <v>4404.8694999999998</v>
      </c>
      <c r="J1445" s="2" t="s">
        <v>39</v>
      </c>
    </row>
    <row r="1446" spans="1:10" x14ac:dyDescent="0.35">
      <c r="A1446" s="1">
        <v>45387</v>
      </c>
      <c r="B1446" s="2" t="s">
        <v>25</v>
      </c>
      <c r="C1446" s="2" t="s">
        <v>20</v>
      </c>
      <c r="D1446" s="2" t="s">
        <v>12</v>
      </c>
      <c r="E1446" s="2" t="s">
        <v>32</v>
      </c>
      <c r="F1446">
        <v>256</v>
      </c>
      <c r="G1446">
        <v>411</v>
      </c>
      <c r="H1446">
        <v>105216</v>
      </c>
      <c r="I1446">
        <v>26150.443299999999</v>
      </c>
      <c r="J1446" s="2" t="s">
        <v>39</v>
      </c>
    </row>
    <row r="1447" spans="1:10" x14ac:dyDescent="0.35">
      <c r="A1447" s="1">
        <v>45388</v>
      </c>
      <c r="B1447" s="2" t="s">
        <v>15</v>
      </c>
      <c r="C1447" s="2" t="s">
        <v>11</v>
      </c>
      <c r="D1447" s="2" t="s">
        <v>21</v>
      </c>
      <c r="E1447" s="2" t="s">
        <v>13</v>
      </c>
      <c r="F1447">
        <v>420</v>
      </c>
      <c r="G1447">
        <v>119</v>
      </c>
      <c r="H1447">
        <v>49980</v>
      </c>
      <c r="I1447">
        <v>9307.3917000000001</v>
      </c>
      <c r="J1447" s="2" t="s">
        <v>39</v>
      </c>
    </row>
    <row r="1448" spans="1:10" x14ac:dyDescent="0.35">
      <c r="A1448" s="1">
        <v>45389</v>
      </c>
      <c r="B1448" s="2" t="s">
        <v>26</v>
      </c>
      <c r="C1448" s="2" t="s">
        <v>29</v>
      </c>
      <c r="D1448" s="2" t="s">
        <v>30</v>
      </c>
      <c r="E1448" s="2" t="s">
        <v>32</v>
      </c>
      <c r="F1448">
        <v>230</v>
      </c>
      <c r="G1448">
        <v>498</v>
      </c>
      <c r="H1448">
        <v>114540</v>
      </c>
      <c r="I1448">
        <v>27621.705399999999</v>
      </c>
      <c r="J1448" s="2" t="s">
        <v>39</v>
      </c>
    </row>
    <row r="1449" spans="1:10" x14ac:dyDescent="0.35">
      <c r="A1449" s="1">
        <v>45389</v>
      </c>
      <c r="B1449" s="2" t="s">
        <v>36</v>
      </c>
      <c r="C1449" s="2" t="s">
        <v>27</v>
      </c>
      <c r="D1449" s="2" t="s">
        <v>30</v>
      </c>
      <c r="E1449" s="2" t="s">
        <v>33</v>
      </c>
      <c r="F1449">
        <v>159</v>
      </c>
      <c r="G1449">
        <v>422</v>
      </c>
      <c r="H1449">
        <v>67098</v>
      </c>
      <c r="I1449">
        <v>11778.1005</v>
      </c>
      <c r="J1449" s="2" t="s">
        <v>39</v>
      </c>
    </row>
    <row r="1450" spans="1:10" x14ac:dyDescent="0.35">
      <c r="A1450" s="1">
        <v>45390</v>
      </c>
      <c r="B1450" s="2" t="s">
        <v>19</v>
      </c>
      <c r="C1450" s="2" t="s">
        <v>16</v>
      </c>
      <c r="D1450" s="2" t="s">
        <v>17</v>
      </c>
      <c r="E1450" s="2" t="s">
        <v>13</v>
      </c>
      <c r="F1450">
        <v>681</v>
      </c>
      <c r="G1450">
        <v>158</v>
      </c>
      <c r="H1450">
        <v>107598</v>
      </c>
      <c r="I1450">
        <v>26236.960299999999</v>
      </c>
      <c r="J1450" s="2" t="s">
        <v>39</v>
      </c>
    </row>
    <row r="1451" spans="1:10" x14ac:dyDescent="0.35">
      <c r="A1451" s="1">
        <v>45390</v>
      </c>
      <c r="B1451" s="2" t="s">
        <v>15</v>
      </c>
      <c r="C1451" s="2" t="s">
        <v>27</v>
      </c>
      <c r="D1451" s="2" t="s">
        <v>30</v>
      </c>
      <c r="E1451" s="2" t="s">
        <v>22</v>
      </c>
      <c r="F1451">
        <v>636</v>
      </c>
      <c r="G1451">
        <v>196</v>
      </c>
      <c r="H1451">
        <v>124656</v>
      </c>
      <c r="I1451">
        <v>17386.100699999999</v>
      </c>
      <c r="J1451" s="2" t="s">
        <v>39</v>
      </c>
    </row>
    <row r="1452" spans="1:10" x14ac:dyDescent="0.35">
      <c r="A1452" s="1">
        <v>45391</v>
      </c>
      <c r="B1452" s="2" t="s">
        <v>31</v>
      </c>
      <c r="C1452" s="2" t="s">
        <v>27</v>
      </c>
      <c r="D1452" s="2" t="s">
        <v>12</v>
      </c>
      <c r="E1452" s="2" t="s">
        <v>28</v>
      </c>
      <c r="F1452">
        <v>793</v>
      </c>
      <c r="G1452">
        <v>313</v>
      </c>
      <c r="H1452">
        <v>248209</v>
      </c>
      <c r="I1452">
        <v>43719.285100000001</v>
      </c>
      <c r="J1452" s="2" t="s">
        <v>39</v>
      </c>
    </row>
    <row r="1453" spans="1:10" x14ac:dyDescent="0.35">
      <c r="A1453" s="1">
        <v>45391</v>
      </c>
      <c r="B1453" s="2" t="s">
        <v>36</v>
      </c>
      <c r="C1453" s="2" t="s">
        <v>23</v>
      </c>
      <c r="D1453" s="2" t="s">
        <v>21</v>
      </c>
      <c r="E1453" s="2" t="s">
        <v>28</v>
      </c>
      <c r="F1453">
        <v>309</v>
      </c>
      <c r="G1453">
        <v>373</v>
      </c>
      <c r="H1453">
        <v>115257</v>
      </c>
      <c r="I1453">
        <v>20140.358</v>
      </c>
      <c r="J1453" s="2" t="s">
        <v>39</v>
      </c>
    </row>
    <row r="1454" spans="1:10" x14ac:dyDescent="0.35">
      <c r="A1454" s="1">
        <v>45391</v>
      </c>
      <c r="B1454" s="2" t="s">
        <v>10</v>
      </c>
      <c r="C1454" s="2" t="s">
        <v>11</v>
      </c>
      <c r="D1454" s="2" t="s">
        <v>12</v>
      </c>
      <c r="E1454" s="2" t="s">
        <v>28</v>
      </c>
      <c r="F1454">
        <v>419</v>
      </c>
      <c r="G1454">
        <v>398</v>
      </c>
      <c r="H1454">
        <v>166762</v>
      </c>
      <c r="I1454">
        <v>17459.471099999999</v>
      </c>
      <c r="J1454" s="2" t="s">
        <v>39</v>
      </c>
    </row>
    <row r="1455" spans="1:10" x14ac:dyDescent="0.35">
      <c r="A1455" s="1">
        <v>45391</v>
      </c>
      <c r="B1455" s="2" t="s">
        <v>34</v>
      </c>
      <c r="C1455" s="2" t="s">
        <v>29</v>
      </c>
      <c r="D1455" s="2" t="s">
        <v>30</v>
      </c>
      <c r="E1455" s="2" t="s">
        <v>18</v>
      </c>
      <c r="F1455">
        <v>597</v>
      </c>
      <c r="G1455">
        <v>231</v>
      </c>
      <c r="H1455">
        <v>137907</v>
      </c>
      <c r="I1455">
        <v>16371.142900000001</v>
      </c>
      <c r="J1455" s="2" t="s">
        <v>39</v>
      </c>
    </row>
    <row r="1456" spans="1:10" x14ac:dyDescent="0.35">
      <c r="A1456" s="1">
        <v>45392</v>
      </c>
      <c r="B1456" s="2" t="s">
        <v>26</v>
      </c>
      <c r="C1456" s="2" t="s">
        <v>27</v>
      </c>
      <c r="D1456" s="2" t="s">
        <v>30</v>
      </c>
      <c r="E1456" s="2" t="s">
        <v>35</v>
      </c>
      <c r="F1456">
        <v>662</v>
      </c>
      <c r="G1456">
        <v>289</v>
      </c>
      <c r="H1456">
        <v>191318</v>
      </c>
      <c r="I1456">
        <v>26734.163400000001</v>
      </c>
      <c r="J1456" s="2" t="s">
        <v>39</v>
      </c>
    </row>
    <row r="1457" spans="1:10" x14ac:dyDescent="0.35">
      <c r="A1457" s="1">
        <v>45393</v>
      </c>
      <c r="B1457" s="2" t="s">
        <v>19</v>
      </c>
      <c r="C1457" s="2" t="s">
        <v>29</v>
      </c>
      <c r="D1457" s="2" t="s">
        <v>12</v>
      </c>
      <c r="E1457" s="2" t="s">
        <v>18</v>
      </c>
      <c r="F1457">
        <v>388</v>
      </c>
      <c r="G1457">
        <v>484</v>
      </c>
      <c r="H1457">
        <v>187792</v>
      </c>
      <c r="I1457">
        <v>27470.61</v>
      </c>
      <c r="J1457" s="2" t="s">
        <v>39</v>
      </c>
    </row>
    <row r="1458" spans="1:10" x14ac:dyDescent="0.35">
      <c r="A1458" s="1">
        <v>45393</v>
      </c>
      <c r="B1458" s="2" t="s">
        <v>25</v>
      </c>
      <c r="C1458" s="2" t="s">
        <v>27</v>
      </c>
      <c r="D1458" s="2" t="s">
        <v>12</v>
      </c>
      <c r="E1458" s="2" t="s">
        <v>35</v>
      </c>
      <c r="F1458">
        <v>733</v>
      </c>
      <c r="G1458">
        <v>319</v>
      </c>
      <c r="H1458">
        <v>233827</v>
      </c>
      <c r="I1458">
        <v>41404.079599999997</v>
      </c>
      <c r="J1458" s="2" t="s">
        <v>39</v>
      </c>
    </row>
    <row r="1459" spans="1:10" x14ac:dyDescent="0.35">
      <c r="A1459" s="1">
        <v>45393</v>
      </c>
      <c r="B1459" s="2" t="s">
        <v>15</v>
      </c>
      <c r="C1459" s="2" t="s">
        <v>27</v>
      </c>
      <c r="D1459" s="2" t="s">
        <v>30</v>
      </c>
      <c r="E1459" s="2" t="s">
        <v>28</v>
      </c>
      <c r="F1459">
        <v>948</v>
      </c>
      <c r="G1459">
        <v>121</v>
      </c>
      <c r="H1459">
        <v>114708</v>
      </c>
      <c r="I1459">
        <v>14180.955099999999</v>
      </c>
      <c r="J1459" s="2" t="s">
        <v>39</v>
      </c>
    </row>
    <row r="1460" spans="1:10" x14ac:dyDescent="0.35">
      <c r="A1460" s="1">
        <v>45393</v>
      </c>
      <c r="B1460" s="2" t="s">
        <v>36</v>
      </c>
      <c r="C1460" s="2" t="s">
        <v>16</v>
      </c>
      <c r="D1460" s="2" t="s">
        <v>17</v>
      </c>
      <c r="E1460" s="2" t="s">
        <v>32</v>
      </c>
      <c r="F1460">
        <v>512</v>
      </c>
      <c r="G1460">
        <v>215</v>
      </c>
      <c r="H1460">
        <v>110080</v>
      </c>
      <c r="I1460">
        <v>18736.373</v>
      </c>
      <c r="J1460" s="2" t="s">
        <v>39</v>
      </c>
    </row>
    <row r="1461" spans="1:10" x14ac:dyDescent="0.35">
      <c r="A1461" s="1">
        <v>45394</v>
      </c>
      <c r="B1461" s="2" t="s">
        <v>36</v>
      </c>
      <c r="C1461" s="2" t="s">
        <v>23</v>
      </c>
      <c r="D1461" s="2" t="s">
        <v>21</v>
      </c>
      <c r="E1461" s="2" t="s">
        <v>28</v>
      </c>
      <c r="F1461">
        <v>126</v>
      </c>
      <c r="G1461">
        <v>396</v>
      </c>
      <c r="H1461">
        <v>49896</v>
      </c>
      <c r="I1461">
        <v>11462.5159</v>
      </c>
      <c r="J1461" s="2" t="s">
        <v>39</v>
      </c>
    </row>
    <row r="1462" spans="1:10" x14ac:dyDescent="0.35">
      <c r="A1462" s="1">
        <v>45394</v>
      </c>
      <c r="B1462" s="2" t="s">
        <v>34</v>
      </c>
      <c r="C1462" s="2" t="s">
        <v>20</v>
      </c>
      <c r="D1462" s="2" t="s">
        <v>17</v>
      </c>
      <c r="E1462" s="2" t="s">
        <v>32</v>
      </c>
      <c r="F1462">
        <v>614</v>
      </c>
      <c r="G1462">
        <v>398</v>
      </c>
      <c r="H1462">
        <v>244372</v>
      </c>
      <c r="I1462">
        <v>40607.215900000003</v>
      </c>
      <c r="J1462" s="2" t="s">
        <v>39</v>
      </c>
    </row>
    <row r="1463" spans="1:10" x14ac:dyDescent="0.35">
      <c r="A1463" s="1">
        <v>45395</v>
      </c>
      <c r="B1463" s="2" t="s">
        <v>34</v>
      </c>
      <c r="C1463" s="2" t="s">
        <v>27</v>
      </c>
      <c r="D1463" s="2" t="s">
        <v>21</v>
      </c>
      <c r="E1463" s="2" t="s">
        <v>35</v>
      </c>
      <c r="F1463">
        <v>720</v>
      </c>
      <c r="G1463">
        <v>234</v>
      </c>
      <c r="H1463">
        <v>168480</v>
      </c>
      <c r="I1463">
        <v>17473.916700000002</v>
      </c>
      <c r="J1463" s="2" t="s">
        <v>39</v>
      </c>
    </row>
    <row r="1464" spans="1:10" x14ac:dyDescent="0.35">
      <c r="A1464" s="1">
        <v>45396</v>
      </c>
      <c r="B1464" s="2" t="s">
        <v>31</v>
      </c>
      <c r="C1464" s="2" t="s">
        <v>29</v>
      </c>
      <c r="D1464" s="2" t="s">
        <v>12</v>
      </c>
      <c r="E1464" s="2" t="s">
        <v>35</v>
      </c>
      <c r="F1464">
        <v>889</v>
      </c>
      <c r="G1464">
        <v>411</v>
      </c>
      <c r="H1464">
        <v>365379</v>
      </c>
      <c r="I1464">
        <v>89466.407900000006</v>
      </c>
      <c r="J1464" s="2" t="s">
        <v>39</v>
      </c>
    </row>
    <row r="1465" spans="1:10" x14ac:dyDescent="0.35">
      <c r="A1465" s="1">
        <v>45396</v>
      </c>
      <c r="B1465" s="2" t="s">
        <v>19</v>
      </c>
      <c r="C1465" s="2" t="s">
        <v>29</v>
      </c>
      <c r="D1465" s="2" t="s">
        <v>30</v>
      </c>
      <c r="E1465" s="2" t="s">
        <v>24</v>
      </c>
      <c r="F1465">
        <v>898</v>
      </c>
      <c r="G1465">
        <v>390</v>
      </c>
      <c r="H1465">
        <v>350220</v>
      </c>
      <c r="I1465">
        <v>40748.7952</v>
      </c>
      <c r="J1465" s="2" t="s">
        <v>39</v>
      </c>
    </row>
    <row r="1466" spans="1:10" x14ac:dyDescent="0.35">
      <c r="A1466" s="1">
        <v>45397</v>
      </c>
      <c r="B1466" s="2" t="s">
        <v>31</v>
      </c>
      <c r="C1466" s="2" t="s">
        <v>27</v>
      </c>
      <c r="D1466" s="2" t="s">
        <v>17</v>
      </c>
      <c r="E1466" s="2" t="s">
        <v>22</v>
      </c>
      <c r="F1466">
        <v>661</v>
      </c>
      <c r="G1466">
        <v>325</v>
      </c>
      <c r="H1466">
        <v>214825</v>
      </c>
      <c r="I1466">
        <v>47843.710599999999</v>
      </c>
      <c r="J1466" s="2" t="s">
        <v>39</v>
      </c>
    </row>
    <row r="1467" spans="1:10" x14ac:dyDescent="0.35">
      <c r="A1467" s="1">
        <v>45397</v>
      </c>
      <c r="B1467" s="2" t="s">
        <v>34</v>
      </c>
      <c r="C1467" s="2" t="s">
        <v>29</v>
      </c>
      <c r="D1467" s="2" t="s">
        <v>17</v>
      </c>
      <c r="E1467" s="2" t="s">
        <v>28</v>
      </c>
      <c r="F1467">
        <v>197</v>
      </c>
      <c r="G1467">
        <v>197</v>
      </c>
      <c r="H1467">
        <v>38809</v>
      </c>
      <c r="I1467">
        <v>4181.0402000000004</v>
      </c>
      <c r="J1467" s="2" t="s">
        <v>39</v>
      </c>
    </row>
    <row r="1468" spans="1:10" x14ac:dyDescent="0.35">
      <c r="A1468" s="1">
        <v>45397</v>
      </c>
      <c r="B1468" s="2" t="s">
        <v>19</v>
      </c>
      <c r="C1468" s="2" t="s">
        <v>29</v>
      </c>
      <c r="D1468" s="2" t="s">
        <v>21</v>
      </c>
      <c r="E1468" s="2" t="s">
        <v>32</v>
      </c>
      <c r="F1468">
        <v>897</v>
      </c>
      <c r="G1468">
        <v>385</v>
      </c>
      <c r="H1468">
        <v>345345</v>
      </c>
      <c r="I1468">
        <v>58729.591500000002</v>
      </c>
      <c r="J1468" s="2" t="s">
        <v>39</v>
      </c>
    </row>
    <row r="1469" spans="1:10" x14ac:dyDescent="0.35">
      <c r="A1469" s="1">
        <v>45397</v>
      </c>
      <c r="B1469" s="2" t="s">
        <v>25</v>
      </c>
      <c r="C1469" s="2" t="s">
        <v>29</v>
      </c>
      <c r="D1469" s="2" t="s">
        <v>21</v>
      </c>
      <c r="E1469" s="2" t="s">
        <v>33</v>
      </c>
      <c r="F1469">
        <v>624</v>
      </c>
      <c r="G1469">
        <v>133</v>
      </c>
      <c r="H1469">
        <v>82992</v>
      </c>
      <c r="I1469">
        <v>11497.9085</v>
      </c>
      <c r="J1469" s="2" t="s">
        <v>39</v>
      </c>
    </row>
    <row r="1470" spans="1:10" x14ac:dyDescent="0.35">
      <c r="A1470" s="1">
        <v>45397</v>
      </c>
      <c r="B1470" s="2" t="s">
        <v>31</v>
      </c>
      <c r="C1470" s="2" t="s">
        <v>16</v>
      </c>
      <c r="D1470" s="2" t="s">
        <v>17</v>
      </c>
      <c r="E1470" s="2" t="s">
        <v>22</v>
      </c>
      <c r="F1470">
        <v>430</v>
      </c>
      <c r="G1470">
        <v>474</v>
      </c>
      <c r="H1470">
        <v>203820</v>
      </c>
      <c r="I1470">
        <v>36548.424700000003</v>
      </c>
      <c r="J1470" s="2" t="s">
        <v>39</v>
      </c>
    </row>
    <row r="1471" spans="1:10" x14ac:dyDescent="0.35">
      <c r="A1471" s="1">
        <v>45397</v>
      </c>
      <c r="B1471" s="2" t="s">
        <v>34</v>
      </c>
      <c r="C1471" s="2" t="s">
        <v>23</v>
      </c>
      <c r="D1471" s="2" t="s">
        <v>12</v>
      </c>
      <c r="E1471" s="2" t="s">
        <v>18</v>
      </c>
      <c r="F1471">
        <v>620</v>
      </c>
      <c r="G1471">
        <v>174</v>
      </c>
      <c r="H1471">
        <v>107880</v>
      </c>
      <c r="I1471">
        <v>12384.384599999999</v>
      </c>
      <c r="J1471" s="2" t="s">
        <v>39</v>
      </c>
    </row>
    <row r="1472" spans="1:10" x14ac:dyDescent="0.35">
      <c r="A1472" s="1">
        <v>45397</v>
      </c>
      <c r="B1472" s="2" t="s">
        <v>36</v>
      </c>
      <c r="C1472" s="2" t="s">
        <v>11</v>
      </c>
      <c r="D1472" s="2" t="s">
        <v>12</v>
      </c>
      <c r="E1472" s="2" t="s">
        <v>18</v>
      </c>
      <c r="F1472">
        <v>127</v>
      </c>
      <c r="G1472">
        <v>353</v>
      </c>
      <c r="H1472">
        <v>44831</v>
      </c>
      <c r="I1472">
        <v>8318.8778000000002</v>
      </c>
      <c r="J1472" s="2" t="s">
        <v>39</v>
      </c>
    </row>
    <row r="1473" spans="1:10" x14ac:dyDescent="0.35">
      <c r="A1473" s="1">
        <v>45399</v>
      </c>
      <c r="B1473" s="2" t="s">
        <v>36</v>
      </c>
      <c r="C1473" s="2" t="s">
        <v>20</v>
      </c>
      <c r="D1473" s="2" t="s">
        <v>21</v>
      </c>
      <c r="E1473" s="2" t="s">
        <v>22</v>
      </c>
      <c r="F1473">
        <v>898</v>
      </c>
      <c r="G1473">
        <v>427</v>
      </c>
      <c r="H1473">
        <v>383446</v>
      </c>
      <c r="I1473">
        <v>64659.269899999999</v>
      </c>
      <c r="J1473" s="2" t="s">
        <v>39</v>
      </c>
    </row>
    <row r="1474" spans="1:10" x14ac:dyDescent="0.35">
      <c r="A1474" s="1">
        <v>45399</v>
      </c>
      <c r="B1474" s="2" t="s">
        <v>25</v>
      </c>
      <c r="C1474" s="2" t="s">
        <v>29</v>
      </c>
      <c r="D1474" s="2" t="s">
        <v>30</v>
      </c>
      <c r="E1474" s="2" t="s">
        <v>18</v>
      </c>
      <c r="F1474">
        <v>236</v>
      </c>
      <c r="G1474">
        <v>128</v>
      </c>
      <c r="H1474">
        <v>30208</v>
      </c>
      <c r="I1474">
        <v>6304.7434000000003</v>
      </c>
      <c r="J1474" s="2" t="s">
        <v>39</v>
      </c>
    </row>
    <row r="1475" spans="1:10" x14ac:dyDescent="0.35">
      <c r="A1475" s="1">
        <v>45400</v>
      </c>
      <c r="B1475" s="2" t="s">
        <v>25</v>
      </c>
      <c r="C1475" s="2" t="s">
        <v>11</v>
      </c>
      <c r="D1475" s="2" t="s">
        <v>30</v>
      </c>
      <c r="E1475" s="2" t="s">
        <v>28</v>
      </c>
      <c r="F1475">
        <v>800</v>
      </c>
      <c r="G1475">
        <v>104</v>
      </c>
      <c r="H1475">
        <v>83200</v>
      </c>
      <c r="I1475">
        <v>13968.8138</v>
      </c>
      <c r="J1475" s="2" t="s">
        <v>39</v>
      </c>
    </row>
    <row r="1476" spans="1:10" x14ac:dyDescent="0.35">
      <c r="A1476" s="1">
        <v>45400</v>
      </c>
      <c r="B1476" s="2" t="s">
        <v>25</v>
      </c>
      <c r="C1476" s="2" t="s">
        <v>29</v>
      </c>
      <c r="D1476" s="2" t="s">
        <v>17</v>
      </c>
      <c r="E1476" s="2" t="s">
        <v>32</v>
      </c>
      <c r="F1476">
        <v>678</v>
      </c>
      <c r="G1476">
        <v>475</v>
      </c>
      <c r="H1476">
        <v>322050</v>
      </c>
      <c r="I1476">
        <v>44728.043700000002</v>
      </c>
      <c r="J1476" s="2" t="s">
        <v>39</v>
      </c>
    </row>
    <row r="1477" spans="1:10" x14ac:dyDescent="0.35">
      <c r="A1477" s="1">
        <v>45400</v>
      </c>
      <c r="B1477" s="2" t="s">
        <v>26</v>
      </c>
      <c r="C1477" s="2" t="s">
        <v>29</v>
      </c>
      <c r="D1477" s="2" t="s">
        <v>30</v>
      </c>
      <c r="E1477" s="2" t="s">
        <v>24</v>
      </c>
      <c r="F1477">
        <v>320</v>
      </c>
      <c r="G1477">
        <v>178</v>
      </c>
      <c r="H1477">
        <v>56960</v>
      </c>
      <c r="I1477">
        <v>14038.3619</v>
      </c>
      <c r="J1477" s="2" t="s">
        <v>39</v>
      </c>
    </row>
    <row r="1478" spans="1:10" x14ac:dyDescent="0.35">
      <c r="A1478" s="1">
        <v>45401</v>
      </c>
      <c r="B1478" s="2" t="s">
        <v>34</v>
      </c>
      <c r="C1478" s="2" t="s">
        <v>16</v>
      </c>
      <c r="D1478" s="2" t="s">
        <v>12</v>
      </c>
      <c r="E1478" s="2" t="s">
        <v>32</v>
      </c>
      <c r="F1478">
        <v>99</v>
      </c>
      <c r="G1478">
        <v>443</v>
      </c>
      <c r="H1478">
        <v>43857</v>
      </c>
      <c r="I1478">
        <v>6184.2452999999996</v>
      </c>
      <c r="J1478" s="2" t="s">
        <v>39</v>
      </c>
    </row>
    <row r="1479" spans="1:10" x14ac:dyDescent="0.35">
      <c r="A1479" s="1">
        <v>45401</v>
      </c>
      <c r="B1479" s="2" t="s">
        <v>36</v>
      </c>
      <c r="C1479" s="2" t="s">
        <v>29</v>
      </c>
      <c r="D1479" s="2" t="s">
        <v>30</v>
      </c>
      <c r="E1479" s="2" t="s">
        <v>24</v>
      </c>
      <c r="F1479">
        <v>612</v>
      </c>
      <c r="G1479">
        <v>295</v>
      </c>
      <c r="H1479">
        <v>180540</v>
      </c>
      <c r="I1479">
        <v>42822.2955</v>
      </c>
      <c r="J1479" s="2" t="s">
        <v>39</v>
      </c>
    </row>
    <row r="1480" spans="1:10" x14ac:dyDescent="0.35">
      <c r="A1480" s="1">
        <v>45401</v>
      </c>
      <c r="B1480" s="2" t="s">
        <v>36</v>
      </c>
      <c r="C1480" s="2" t="s">
        <v>29</v>
      </c>
      <c r="D1480" s="2" t="s">
        <v>17</v>
      </c>
      <c r="E1480" s="2" t="s">
        <v>33</v>
      </c>
      <c r="F1480">
        <v>359</v>
      </c>
      <c r="G1480">
        <v>211</v>
      </c>
      <c r="H1480">
        <v>75749</v>
      </c>
      <c r="I1480">
        <v>14155.5101</v>
      </c>
      <c r="J1480" s="2" t="s">
        <v>39</v>
      </c>
    </row>
    <row r="1481" spans="1:10" x14ac:dyDescent="0.35">
      <c r="A1481" s="1">
        <v>45402</v>
      </c>
      <c r="B1481" s="2" t="s">
        <v>36</v>
      </c>
      <c r="C1481" s="2" t="s">
        <v>23</v>
      </c>
      <c r="D1481" s="2" t="s">
        <v>21</v>
      </c>
      <c r="E1481" s="2" t="s">
        <v>22</v>
      </c>
      <c r="F1481">
        <v>995</v>
      </c>
      <c r="G1481">
        <v>148</v>
      </c>
      <c r="H1481">
        <v>147260</v>
      </c>
      <c r="I1481">
        <v>21801.414700000001</v>
      </c>
      <c r="J1481" s="2" t="s">
        <v>39</v>
      </c>
    </row>
    <row r="1482" spans="1:10" x14ac:dyDescent="0.35">
      <c r="A1482" s="1">
        <v>45402</v>
      </c>
      <c r="B1482" s="2" t="s">
        <v>15</v>
      </c>
      <c r="C1482" s="2" t="s">
        <v>23</v>
      </c>
      <c r="D1482" s="2" t="s">
        <v>17</v>
      </c>
      <c r="E1482" s="2" t="s">
        <v>35</v>
      </c>
      <c r="F1482">
        <v>862</v>
      </c>
      <c r="G1482">
        <v>284</v>
      </c>
      <c r="H1482">
        <v>244808</v>
      </c>
      <c r="I1482">
        <v>37583.315900000001</v>
      </c>
      <c r="J1482" s="2" t="s">
        <v>39</v>
      </c>
    </row>
    <row r="1483" spans="1:10" x14ac:dyDescent="0.35">
      <c r="A1483" s="1">
        <v>45402</v>
      </c>
      <c r="B1483" s="2" t="s">
        <v>31</v>
      </c>
      <c r="C1483" s="2" t="s">
        <v>20</v>
      </c>
      <c r="D1483" s="2" t="s">
        <v>17</v>
      </c>
      <c r="E1483" s="2" t="s">
        <v>35</v>
      </c>
      <c r="F1483">
        <v>617</v>
      </c>
      <c r="G1483">
        <v>434</v>
      </c>
      <c r="H1483">
        <v>267778</v>
      </c>
      <c r="I1483">
        <v>45392.239000000001</v>
      </c>
      <c r="J1483" s="2" t="s">
        <v>39</v>
      </c>
    </row>
    <row r="1484" spans="1:10" x14ac:dyDescent="0.35">
      <c r="A1484" s="1">
        <v>45402</v>
      </c>
      <c r="B1484" s="2" t="s">
        <v>26</v>
      </c>
      <c r="C1484" s="2" t="s">
        <v>23</v>
      </c>
      <c r="D1484" s="2" t="s">
        <v>30</v>
      </c>
      <c r="E1484" s="2" t="s">
        <v>35</v>
      </c>
      <c r="F1484">
        <v>576</v>
      </c>
      <c r="G1484">
        <v>483</v>
      </c>
      <c r="H1484">
        <v>278208</v>
      </c>
      <c r="I1484">
        <v>50953.941200000001</v>
      </c>
      <c r="J1484" s="2" t="s">
        <v>39</v>
      </c>
    </row>
    <row r="1485" spans="1:10" x14ac:dyDescent="0.35">
      <c r="A1485" s="1">
        <v>45402</v>
      </c>
      <c r="B1485" s="2" t="s">
        <v>26</v>
      </c>
      <c r="C1485" s="2" t="s">
        <v>27</v>
      </c>
      <c r="D1485" s="2" t="s">
        <v>17</v>
      </c>
      <c r="E1485" s="2" t="s">
        <v>24</v>
      </c>
      <c r="F1485">
        <v>543</v>
      </c>
      <c r="G1485">
        <v>368</v>
      </c>
      <c r="H1485">
        <v>199824</v>
      </c>
      <c r="I1485">
        <v>42029.845699999998</v>
      </c>
      <c r="J1485" s="2" t="s">
        <v>39</v>
      </c>
    </row>
    <row r="1486" spans="1:10" x14ac:dyDescent="0.35">
      <c r="A1486" s="1">
        <v>45402</v>
      </c>
      <c r="B1486" s="2" t="s">
        <v>34</v>
      </c>
      <c r="C1486" s="2" t="s">
        <v>23</v>
      </c>
      <c r="D1486" s="2" t="s">
        <v>30</v>
      </c>
      <c r="E1486" s="2" t="s">
        <v>35</v>
      </c>
      <c r="F1486">
        <v>754</v>
      </c>
      <c r="G1486">
        <v>167</v>
      </c>
      <c r="H1486">
        <v>125918</v>
      </c>
      <c r="I1486">
        <v>19153.027600000001</v>
      </c>
      <c r="J1486" s="2" t="s">
        <v>39</v>
      </c>
    </row>
    <row r="1487" spans="1:10" x14ac:dyDescent="0.35">
      <c r="A1487" s="1">
        <v>45402</v>
      </c>
      <c r="B1487" s="2" t="s">
        <v>36</v>
      </c>
      <c r="C1487" s="2" t="s">
        <v>23</v>
      </c>
      <c r="D1487" s="2" t="s">
        <v>21</v>
      </c>
      <c r="E1487" s="2" t="s">
        <v>18</v>
      </c>
      <c r="F1487">
        <v>284</v>
      </c>
      <c r="G1487">
        <v>140</v>
      </c>
      <c r="H1487">
        <v>39760</v>
      </c>
      <c r="I1487">
        <v>7410.6927999999998</v>
      </c>
      <c r="J1487" s="2" t="s">
        <v>39</v>
      </c>
    </row>
    <row r="1488" spans="1:10" x14ac:dyDescent="0.35">
      <c r="A1488" s="1">
        <v>45403</v>
      </c>
      <c r="B1488" s="2" t="s">
        <v>10</v>
      </c>
      <c r="C1488" s="2" t="s">
        <v>20</v>
      </c>
      <c r="D1488" s="2" t="s">
        <v>12</v>
      </c>
      <c r="E1488" s="2" t="s">
        <v>13</v>
      </c>
      <c r="F1488">
        <v>628</v>
      </c>
      <c r="G1488">
        <v>233</v>
      </c>
      <c r="H1488">
        <v>146324</v>
      </c>
      <c r="I1488">
        <v>13342.4575</v>
      </c>
      <c r="J1488" s="2" t="s">
        <v>39</v>
      </c>
    </row>
    <row r="1489" spans="1:10" x14ac:dyDescent="0.35">
      <c r="A1489" s="1">
        <v>45403</v>
      </c>
      <c r="B1489" s="2" t="s">
        <v>26</v>
      </c>
      <c r="C1489" s="2" t="s">
        <v>11</v>
      </c>
      <c r="D1489" s="2" t="s">
        <v>12</v>
      </c>
      <c r="E1489" s="2" t="s">
        <v>13</v>
      </c>
      <c r="F1489">
        <v>87</v>
      </c>
      <c r="G1489">
        <v>250</v>
      </c>
      <c r="H1489">
        <v>21750</v>
      </c>
      <c r="I1489">
        <v>5351.2026999999998</v>
      </c>
      <c r="J1489" s="2" t="s">
        <v>39</v>
      </c>
    </row>
    <row r="1490" spans="1:10" x14ac:dyDescent="0.35">
      <c r="A1490" s="1">
        <v>45403</v>
      </c>
      <c r="B1490" s="2" t="s">
        <v>36</v>
      </c>
      <c r="C1490" s="2" t="s">
        <v>20</v>
      </c>
      <c r="D1490" s="2" t="s">
        <v>17</v>
      </c>
      <c r="E1490" s="2" t="s">
        <v>32</v>
      </c>
      <c r="F1490">
        <v>494</v>
      </c>
      <c r="G1490">
        <v>274</v>
      </c>
      <c r="H1490">
        <v>135356</v>
      </c>
      <c r="I1490">
        <v>30577.5936</v>
      </c>
      <c r="J1490" s="2" t="s">
        <v>39</v>
      </c>
    </row>
    <row r="1491" spans="1:10" x14ac:dyDescent="0.35">
      <c r="A1491" s="1">
        <v>45403</v>
      </c>
      <c r="B1491" s="2" t="s">
        <v>15</v>
      </c>
      <c r="C1491" s="2" t="s">
        <v>20</v>
      </c>
      <c r="D1491" s="2" t="s">
        <v>30</v>
      </c>
      <c r="E1491" s="2" t="s">
        <v>35</v>
      </c>
      <c r="F1491">
        <v>64</v>
      </c>
      <c r="G1491">
        <v>273</v>
      </c>
      <c r="H1491">
        <v>17472</v>
      </c>
      <c r="I1491">
        <v>2992.2201</v>
      </c>
      <c r="J1491" s="2" t="s">
        <v>39</v>
      </c>
    </row>
    <row r="1492" spans="1:10" x14ac:dyDescent="0.35">
      <c r="A1492" s="1">
        <v>45404</v>
      </c>
      <c r="B1492" s="2" t="s">
        <v>25</v>
      </c>
      <c r="C1492" s="2" t="s">
        <v>16</v>
      </c>
      <c r="D1492" s="2" t="s">
        <v>17</v>
      </c>
      <c r="E1492" s="2" t="s">
        <v>28</v>
      </c>
      <c r="F1492">
        <v>835</v>
      </c>
      <c r="G1492">
        <v>333</v>
      </c>
      <c r="H1492">
        <v>278055</v>
      </c>
      <c r="I1492">
        <v>24590.4185</v>
      </c>
      <c r="J1492" s="2" t="s">
        <v>39</v>
      </c>
    </row>
    <row r="1493" spans="1:10" x14ac:dyDescent="0.35">
      <c r="A1493" s="1">
        <v>45404</v>
      </c>
      <c r="B1493" s="2" t="s">
        <v>26</v>
      </c>
      <c r="C1493" s="2" t="s">
        <v>23</v>
      </c>
      <c r="D1493" s="2" t="s">
        <v>17</v>
      </c>
      <c r="E1493" s="2" t="s">
        <v>13</v>
      </c>
      <c r="F1493">
        <v>648</v>
      </c>
      <c r="G1493">
        <v>438</v>
      </c>
      <c r="H1493">
        <v>283824</v>
      </c>
      <c r="I1493">
        <v>56463.348700000002</v>
      </c>
      <c r="J1493" s="2" t="s">
        <v>39</v>
      </c>
    </row>
    <row r="1494" spans="1:10" x14ac:dyDescent="0.35">
      <c r="A1494" s="1">
        <v>45404</v>
      </c>
      <c r="B1494" s="2" t="s">
        <v>34</v>
      </c>
      <c r="C1494" s="2" t="s">
        <v>29</v>
      </c>
      <c r="D1494" s="2" t="s">
        <v>30</v>
      </c>
      <c r="E1494" s="2" t="s">
        <v>18</v>
      </c>
      <c r="F1494">
        <v>272</v>
      </c>
      <c r="G1494">
        <v>389</v>
      </c>
      <c r="H1494">
        <v>105808</v>
      </c>
      <c r="I1494">
        <v>20041.894799999998</v>
      </c>
      <c r="J1494" s="2" t="s">
        <v>39</v>
      </c>
    </row>
    <row r="1495" spans="1:10" x14ac:dyDescent="0.35">
      <c r="A1495" s="1">
        <v>45406</v>
      </c>
      <c r="B1495" s="2" t="s">
        <v>34</v>
      </c>
      <c r="C1495" s="2" t="s">
        <v>23</v>
      </c>
      <c r="D1495" s="2" t="s">
        <v>30</v>
      </c>
      <c r="E1495" s="2" t="s">
        <v>28</v>
      </c>
      <c r="F1495">
        <v>750</v>
      </c>
      <c r="G1495">
        <v>182</v>
      </c>
      <c r="H1495">
        <v>136500</v>
      </c>
      <c r="I1495">
        <v>31271.873899999999</v>
      </c>
      <c r="J1495" s="2" t="s">
        <v>39</v>
      </c>
    </row>
    <row r="1496" spans="1:10" x14ac:dyDescent="0.35">
      <c r="A1496" s="1">
        <v>45406</v>
      </c>
      <c r="B1496" s="2" t="s">
        <v>26</v>
      </c>
      <c r="C1496" s="2" t="s">
        <v>23</v>
      </c>
      <c r="D1496" s="2" t="s">
        <v>12</v>
      </c>
      <c r="E1496" s="2" t="s">
        <v>28</v>
      </c>
      <c r="F1496">
        <v>944</v>
      </c>
      <c r="G1496">
        <v>408</v>
      </c>
      <c r="H1496">
        <v>385152</v>
      </c>
      <c r="I1496">
        <v>40053.538</v>
      </c>
      <c r="J1496" s="2" t="s">
        <v>39</v>
      </c>
    </row>
    <row r="1497" spans="1:10" x14ac:dyDescent="0.35">
      <c r="A1497" s="1">
        <v>45407</v>
      </c>
      <c r="B1497" s="2" t="s">
        <v>26</v>
      </c>
      <c r="C1497" s="2" t="s">
        <v>16</v>
      </c>
      <c r="D1497" s="2" t="s">
        <v>12</v>
      </c>
      <c r="E1497" s="2" t="s">
        <v>24</v>
      </c>
      <c r="F1497">
        <v>901</v>
      </c>
      <c r="G1497">
        <v>271</v>
      </c>
      <c r="H1497">
        <v>244171</v>
      </c>
      <c r="I1497">
        <v>53642.107400000001</v>
      </c>
      <c r="J1497" s="2" t="s">
        <v>39</v>
      </c>
    </row>
    <row r="1498" spans="1:10" x14ac:dyDescent="0.35">
      <c r="A1498" s="1">
        <v>45407</v>
      </c>
      <c r="B1498" s="2" t="s">
        <v>25</v>
      </c>
      <c r="C1498" s="2" t="s">
        <v>23</v>
      </c>
      <c r="D1498" s="2" t="s">
        <v>30</v>
      </c>
      <c r="E1498" s="2" t="s">
        <v>32</v>
      </c>
      <c r="F1498">
        <v>993</v>
      </c>
      <c r="G1498">
        <v>304</v>
      </c>
      <c r="H1498">
        <v>301872</v>
      </c>
      <c r="I1498">
        <v>43278.773500000003</v>
      </c>
      <c r="J1498" s="2" t="s">
        <v>39</v>
      </c>
    </row>
    <row r="1499" spans="1:10" x14ac:dyDescent="0.35">
      <c r="A1499" s="1">
        <v>45407</v>
      </c>
      <c r="B1499" s="2" t="s">
        <v>31</v>
      </c>
      <c r="C1499" s="2" t="s">
        <v>23</v>
      </c>
      <c r="D1499" s="2" t="s">
        <v>30</v>
      </c>
      <c r="E1499" s="2" t="s">
        <v>28</v>
      </c>
      <c r="F1499">
        <v>314</v>
      </c>
      <c r="G1499">
        <v>172</v>
      </c>
      <c r="H1499">
        <v>54008</v>
      </c>
      <c r="I1499">
        <v>5670.5753999999997</v>
      </c>
      <c r="J1499" s="2" t="s">
        <v>39</v>
      </c>
    </row>
    <row r="1500" spans="1:10" x14ac:dyDescent="0.35">
      <c r="A1500" s="1">
        <v>45408</v>
      </c>
      <c r="B1500" s="2" t="s">
        <v>15</v>
      </c>
      <c r="C1500" s="2" t="s">
        <v>29</v>
      </c>
      <c r="D1500" s="2" t="s">
        <v>17</v>
      </c>
      <c r="E1500" s="2" t="s">
        <v>18</v>
      </c>
      <c r="F1500">
        <v>548</v>
      </c>
      <c r="G1500">
        <v>149</v>
      </c>
      <c r="H1500">
        <v>81652</v>
      </c>
      <c r="I1500">
        <v>11915.3794</v>
      </c>
      <c r="J1500" s="2" t="s">
        <v>39</v>
      </c>
    </row>
    <row r="1501" spans="1:10" x14ac:dyDescent="0.35">
      <c r="A1501" s="1">
        <v>45408</v>
      </c>
      <c r="B1501" s="2" t="s">
        <v>25</v>
      </c>
      <c r="C1501" s="2" t="s">
        <v>20</v>
      </c>
      <c r="D1501" s="2" t="s">
        <v>17</v>
      </c>
      <c r="E1501" s="2" t="s">
        <v>18</v>
      </c>
      <c r="F1501">
        <v>368</v>
      </c>
      <c r="G1501">
        <v>350</v>
      </c>
      <c r="H1501">
        <v>128800</v>
      </c>
      <c r="I1501">
        <v>26426.134600000001</v>
      </c>
      <c r="J1501" s="2" t="s">
        <v>39</v>
      </c>
    </row>
    <row r="1502" spans="1:10" x14ac:dyDescent="0.35">
      <c r="A1502" s="1">
        <v>45408</v>
      </c>
      <c r="B1502" s="2" t="s">
        <v>15</v>
      </c>
      <c r="C1502" s="2" t="s">
        <v>23</v>
      </c>
      <c r="D1502" s="2" t="s">
        <v>21</v>
      </c>
      <c r="E1502" s="2" t="s">
        <v>33</v>
      </c>
      <c r="F1502">
        <v>624</v>
      </c>
      <c r="G1502">
        <v>149</v>
      </c>
      <c r="H1502">
        <v>92976</v>
      </c>
      <c r="I1502">
        <v>12341.674800000001</v>
      </c>
      <c r="J1502" s="2" t="s">
        <v>39</v>
      </c>
    </row>
    <row r="1503" spans="1:10" x14ac:dyDescent="0.35">
      <c r="A1503" s="1">
        <v>45409</v>
      </c>
      <c r="B1503" s="2" t="s">
        <v>10</v>
      </c>
      <c r="C1503" s="2" t="s">
        <v>20</v>
      </c>
      <c r="D1503" s="2" t="s">
        <v>30</v>
      </c>
      <c r="E1503" s="2" t="s">
        <v>22</v>
      </c>
      <c r="F1503">
        <v>797</v>
      </c>
      <c r="G1503">
        <v>111</v>
      </c>
      <c r="H1503">
        <v>88467</v>
      </c>
      <c r="I1503">
        <v>16590.967799999999</v>
      </c>
      <c r="J1503" s="2" t="s">
        <v>39</v>
      </c>
    </row>
    <row r="1504" spans="1:10" x14ac:dyDescent="0.35">
      <c r="A1504" s="1">
        <v>45409</v>
      </c>
      <c r="B1504" s="2" t="s">
        <v>19</v>
      </c>
      <c r="C1504" s="2" t="s">
        <v>27</v>
      </c>
      <c r="D1504" s="2" t="s">
        <v>17</v>
      </c>
      <c r="E1504" s="2" t="s">
        <v>28</v>
      </c>
      <c r="F1504">
        <v>132</v>
      </c>
      <c r="G1504">
        <v>275</v>
      </c>
      <c r="H1504">
        <v>36300</v>
      </c>
      <c r="I1504">
        <v>8247.8758999999991</v>
      </c>
      <c r="J1504" s="2" t="s">
        <v>39</v>
      </c>
    </row>
    <row r="1505" spans="1:10" x14ac:dyDescent="0.35">
      <c r="A1505" s="1">
        <v>45409</v>
      </c>
      <c r="B1505" s="2" t="s">
        <v>10</v>
      </c>
      <c r="C1505" s="2" t="s">
        <v>20</v>
      </c>
      <c r="D1505" s="2" t="s">
        <v>21</v>
      </c>
      <c r="E1505" s="2" t="s">
        <v>24</v>
      </c>
      <c r="F1505">
        <v>595</v>
      </c>
      <c r="G1505">
        <v>204</v>
      </c>
      <c r="H1505">
        <v>121380</v>
      </c>
      <c r="I1505">
        <v>17852.229200000002</v>
      </c>
      <c r="J1505" s="2" t="s">
        <v>39</v>
      </c>
    </row>
    <row r="1506" spans="1:10" x14ac:dyDescent="0.35">
      <c r="A1506" s="1">
        <v>45409</v>
      </c>
      <c r="B1506" s="2" t="s">
        <v>36</v>
      </c>
      <c r="C1506" s="2" t="s">
        <v>23</v>
      </c>
      <c r="D1506" s="2" t="s">
        <v>17</v>
      </c>
      <c r="E1506" s="2" t="s">
        <v>33</v>
      </c>
      <c r="F1506">
        <v>591</v>
      </c>
      <c r="G1506">
        <v>124</v>
      </c>
      <c r="H1506">
        <v>73284</v>
      </c>
      <c r="I1506">
        <v>6872.9573</v>
      </c>
      <c r="J1506" s="2" t="s">
        <v>39</v>
      </c>
    </row>
    <row r="1507" spans="1:10" x14ac:dyDescent="0.35">
      <c r="A1507" s="1">
        <v>45409</v>
      </c>
      <c r="B1507" s="2" t="s">
        <v>31</v>
      </c>
      <c r="C1507" s="2" t="s">
        <v>27</v>
      </c>
      <c r="D1507" s="2" t="s">
        <v>12</v>
      </c>
      <c r="E1507" s="2" t="s">
        <v>35</v>
      </c>
      <c r="F1507">
        <v>896</v>
      </c>
      <c r="G1507">
        <v>146</v>
      </c>
      <c r="H1507">
        <v>130816</v>
      </c>
      <c r="I1507">
        <v>16715.569500000001</v>
      </c>
      <c r="J1507" s="2" t="s">
        <v>39</v>
      </c>
    </row>
    <row r="1508" spans="1:10" x14ac:dyDescent="0.35">
      <c r="A1508" s="1">
        <v>45410</v>
      </c>
      <c r="B1508" s="2" t="s">
        <v>26</v>
      </c>
      <c r="C1508" s="2" t="s">
        <v>29</v>
      </c>
      <c r="D1508" s="2" t="s">
        <v>17</v>
      </c>
      <c r="E1508" s="2" t="s">
        <v>22</v>
      </c>
      <c r="F1508">
        <v>606</v>
      </c>
      <c r="G1508">
        <v>178</v>
      </c>
      <c r="H1508">
        <v>107868</v>
      </c>
      <c r="I1508">
        <v>20243.114300000001</v>
      </c>
      <c r="J1508" s="2" t="s">
        <v>39</v>
      </c>
    </row>
    <row r="1509" spans="1:10" x14ac:dyDescent="0.35">
      <c r="A1509" s="1">
        <v>45410</v>
      </c>
      <c r="B1509" s="2" t="s">
        <v>10</v>
      </c>
      <c r="C1509" s="2" t="s">
        <v>29</v>
      </c>
      <c r="D1509" s="2" t="s">
        <v>21</v>
      </c>
      <c r="E1509" s="2" t="s">
        <v>18</v>
      </c>
      <c r="F1509">
        <v>106</v>
      </c>
      <c r="G1509">
        <v>459</v>
      </c>
      <c r="H1509">
        <v>48654</v>
      </c>
      <c r="I1509">
        <v>9633.7050999999992</v>
      </c>
      <c r="J1509" s="2" t="s">
        <v>39</v>
      </c>
    </row>
    <row r="1510" spans="1:10" x14ac:dyDescent="0.35">
      <c r="A1510" s="1">
        <v>45411</v>
      </c>
      <c r="B1510" s="2" t="s">
        <v>34</v>
      </c>
      <c r="C1510" s="2" t="s">
        <v>16</v>
      </c>
      <c r="D1510" s="2" t="s">
        <v>17</v>
      </c>
      <c r="E1510" s="2" t="s">
        <v>13</v>
      </c>
      <c r="F1510">
        <v>801</v>
      </c>
      <c r="G1510">
        <v>172</v>
      </c>
      <c r="H1510">
        <v>137772</v>
      </c>
      <c r="I1510">
        <v>20587.247100000001</v>
      </c>
      <c r="J1510" s="2" t="s">
        <v>39</v>
      </c>
    </row>
    <row r="1511" spans="1:10" x14ac:dyDescent="0.35">
      <c r="A1511" s="1">
        <v>45411</v>
      </c>
      <c r="B1511" s="2" t="s">
        <v>10</v>
      </c>
      <c r="C1511" s="2" t="s">
        <v>27</v>
      </c>
      <c r="D1511" s="2" t="s">
        <v>21</v>
      </c>
      <c r="E1511" s="2" t="s">
        <v>24</v>
      </c>
      <c r="F1511">
        <v>766</v>
      </c>
      <c r="G1511">
        <v>425</v>
      </c>
      <c r="H1511">
        <v>325550</v>
      </c>
      <c r="I1511">
        <v>58721.386299999998</v>
      </c>
      <c r="J1511" s="2" t="s">
        <v>39</v>
      </c>
    </row>
    <row r="1512" spans="1:10" x14ac:dyDescent="0.35">
      <c r="A1512" s="1">
        <v>45411</v>
      </c>
      <c r="B1512" s="2" t="s">
        <v>15</v>
      </c>
      <c r="C1512" s="2" t="s">
        <v>23</v>
      </c>
      <c r="D1512" s="2" t="s">
        <v>17</v>
      </c>
      <c r="E1512" s="2" t="s">
        <v>24</v>
      </c>
      <c r="F1512">
        <v>411</v>
      </c>
      <c r="G1512">
        <v>376</v>
      </c>
      <c r="H1512">
        <v>154536</v>
      </c>
      <c r="I1512">
        <v>30429.018</v>
      </c>
      <c r="J1512" s="2" t="s">
        <v>39</v>
      </c>
    </row>
    <row r="1513" spans="1:10" x14ac:dyDescent="0.35">
      <c r="A1513" s="1">
        <v>45411</v>
      </c>
      <c r="B1513" s="2" t="s">
        <v>26</v>
      </c>
      <c r="C1513" s="2" t="s">
        <v>11</v>
      </c>
      <c r="D1513" s="2" t="s">
        <v>30</v>
      </c>
      <c r="E1513" s="2" t="s">
        <v>24</v>
      </c>
      <c r="F1513">
        <v>221</v>
      </c>
      <c r="G1513">
        <v>257</v>
      </c>
      <c r="H1513">
        <v>56797</v>
      </c>
      <c r="I1513">
        <v>9881.9848999999995</v>
      </c>
      <c r="J1513" s="2" t="s">
        <v>39</v>
      </c>
    </row>
    <row r="1514" spans="1:10" x14ac:dyDescent="0.35">
      <c r="A1514" s="1">
        <v>45411</v>
      </c>
      <c r="B1514" s="2" t="s">
        <v>36</v>
      </c>
      <c r="C1514" s="2" t="s">
        <v>20</v>
      </c>
      <c r="D1514" s="2" t="s">
        <v>17</v>
      </c>
      <c r="E1514" s="2" t="s">
        <v>32</v>
      </c>
      <c r="F1514">
        <v>307</v>
      </c>
      <c r="G1514">
        <v>158</v>
      </c>
      <c r="H1514">
        <v>48506</v>
      </c>
      <c r="I1514">
        <v>5979.2290999999996</v>
      </c>
      <c r="J1514" s="2" t="s">
        <v>39</v>
      </c>
    </row>
    <row r="1515" spans="1:10" x14ac:dyDescent="0.35">
      <c r="A1515" s="1">
        <v>45411</v>
      </c>
      <c r="B1515" s="2" t="s">
        <v>25</v>
      </c>
      <c r="C1515" s="2" t="s">
        <v>20</v>
      </c>
      <c r="D1515" s="2" t="s">
        <v>17</v>
      </c>
      <c r="E1515" s="2" t="s">
        <v>18</v>
      </c>
      <c r="F1515">
        <v>626</v>
      </c>
      <c r="G1515">
        <v>266</v>
      </c>
      <c r="H1515">
        <v>166516</v>
      </c>
      <c r="I1515">
        <v>15542.547500000001</v>
      </c>
      <c r="J1515" s="2" t="s">
        <v>39</v>
      </c>
    </row>
    <row r="1516" spans="1:10" x14ac:dyDescent="0.35">
      <c r="A1516" s="1">
        <v>45411</v>
      </c>
      <c r="B1516" s="2" t="s">
        <v>15</v>
      </c>
      <c r="C1516" s="2" t="s">
        <v>20</v>
      </c>
      <c r="D1516" s="2" t="s">
        <v>30</v>
      </c>
      <c r="E1516" s="2" t="s">
        <v>18</v>
      </c>
      <c r="F1516">
        <v>417</v>
      </c>
      <c r="G1516">
        <v>440</v>
      </c>
      <c r="H1516">
        <v>183480</v>
      </c>
      <c r="I1516">
        <v>41183.172899999998</v>
      </c>
      <c r="J1516" s="2" t="s">
        <v>39</v>
      </c>
    </row>
    <row r="1517" spans="1:10" x14ac:dyDescent="0.35">
      <c r="A1517" s="1">
        <v>45412</v>
      </c>
      <c r="B1517" s="2" t="s">
        <v>10</v>
      </c>
      <c r="C1517" s="2" t="s">
        <v>20</v>
      </c>
      <c r="D1517" s="2" t="s">
        <v>21</v>
      </c>
      <c r="E1517" s="2" t="s">
        <v>35</v>
      </c>
      <c r="F1517">
        <v>899</v>
      </c>
      <c r="G1517">
        <v>187</v>
      </c>
      <c r="H1517">
        <v>168113</v>
      </c>
      <c r="I1517">
        <v>32096.9568</v>
      </c>
      <c r="J1517" s="2" t="s">
        <v>39</v>
      </c>
    </row>
    <row r="1518" spans="1:10" x14ac:dyDescent="0.35">
      <c r="A1518" s="1">
        <v>45414</v>
      </c>
      <c r="B1518" s="2" t="s">
        <v>26</v>
      </c>
      <c r="C1518" s="2" t="s">
        <v>29</v>
      </c>
      <c r="D1518" s="2" t="s">
        <v>17</v>
      </c>
      <c r="E1518" s="2" t="s">
        <v>33</v>
      </c>
      <c r="F1518">
        <v>746</v>
      </c>
      <c r="G1518">
        <v>241</v>
      </c>
      <c r="H1518">
        <v>179786</v>
      </c>
      <c r="I1518">
        <v>27702.898099999999</v>
      </c>
      <c r="J1518" s="2" t="s">
        <v>40</v>
      </c>
    </row>
    <row r="1519" spans="1:10" x14ac:dyDescent="0.35">
      <c r="A1519" s="1">
        <v>45414</v>
      </c>
      <c r="B1519" s="2" t="s">
        <v>36</v>
      </c>
      <c r="C1519" s="2" t="s">
        <v>29</v>
      </c>
      <c r="D1519" s="2" t="s">
        <v>17</v>
      </c>
      <c r="E1519" s="2" t="s">
        <v>13</v>
      </c>
      <c r="F1519">
        <v>533</v>
      </c>
      <c r="G1519">
        <v>146</v>
      </c>
      <c r="H1519">
        <v>77818</v>
      </c>
      <c r="I1519">
        <v>8659.9820999999993</v>
      </c>
      <c r="J1519" s="2" t="s">
        <v>40</v>
      </c>
    </row>
    <row r="1520" spans="1:10" x14ac:dyDescent="0.35">
      <c r="A1520" s="1">
        <v>45414</v>
      </c>
      <c r="B1520" s="2" t="s">
        <v>26</v>
      </c>
      <c r="C1520" s="2" t="s">
        <v>27</v>
      </c>
      <c r="D1520" s="2" t="s">
        <v>17</v>
      </c>
      <c r="E1520" s="2" t="s">
        <v>35</v>
      </c>
      <c r="F1520">
        <v>642</v>
      </c>
      <c r="G1520">
        <v>459</v>
      </c>
      <c r="H1520">
        <v>294678</v>
      </c>
      <c r="I1520">
        <v>56737.781300000002</v>
      </c>
      <c r="J1520" s="2" t="s">
        <v>40</v>
      </c>
    </row>
    <row r="1521" spans="1:10" x14ac:dyDescent="0.35">
      <c r="A1521" s="1">
        <v>45414</v>
      </c>
      <c r="B1521" s="2" t="s">
        <v>34</v>
      </c>
      <c r="C1521" s="2" t="s">
        <v>11</v>
      </c>
      <c r="D1521" s="2" t="s">
        <v>30</v>
      </c>
      <c r="E1521" s="2" t="s">
        <v>18</v>
      </c>
      <c r="F1521">
        <v>405</v>
      </c>
      <c r="G1521">
        <v>176</v>
      </c>
      <c r="H1521">
        <v>71280</v>
      </c>
      <c r="I1521">
        <v>13236.234399999999</v>
      </c>
      <c r="J1521" s="2" t="s">
        <v>40</v>
      </c>
    </row>
    <row r="1522" spans="1:10" x14ac:dyDescent="0.35">
      <c r="A1522" s="1">
        <v>45414</v>
      </c>
      <c r="B1522" s="2" t="s">
        <v>34</v>
      </c>
      <c r="C1522" s="2" t="s">
        <v>23</v>
      </c>
      <c r="D1522" s="2" t="s">
        <v>17</v>
      </c>
      <c r="E1522" s="2" t="s">
        <v>35</v>
      </c>
      <c r="F1522">
        <v>545</v>
      </c>
      <c r="G1522">
        <v>489</v>
      </c>
      <c r="H1522">
        <v>266505</v>
      </c>
      <c r="I1522">
        <v>56003.447699999997</v>
      </c>
      <c r="J1522" s="2" t="s">
        <v>40</v>
      </c>
    </row>
    <row r="1523" spans="1:10" x14ac:dyDescent="0.35">
      <c r="A1523" s="1">
        <v>45415</v>
      </c>
      <c r="B1523" s="2" t="s">
        <v>26</v>
      </c>
      <c r="C1523" s="2" t="s">
        <v>16</v>
      </c>
      <c r="D1523" s="2" t="s">
        <v>17</v>
      </c>
      <c r="E1523" s="2" t="s">
        <v>18</v>
      </c>
      <c r="F1523">
        <v>205</v>
      </c>
      <c r="G1523">
        <v>362</v>
      </c>
      <c r="H1523">
        <v>74210</v>
      </c>
      <c r="I1523">
        <v>12386.0309</v>
      </c>
      <c r="J1523" s="2" t="s">
        <v>40</v>
      </c>
    </row>
    <row r="1524" spans="1:10" x14ac:dyDescent="0.35">
      <c r="A1524" s="1">
        <v>45415</v>
      </c>
      <c r="B1524" s="2" t="s">
        <v>10</v>
      </c>
      <c r="C1524" s="2" t="s">
        <v>11</v>
      </c>
      <c r="D1524" s="2" t="s">
        <v>30</v>
      </c>
      <c r="E1524" s="2" t="s">
        <v>35</v>
      </c>
      <c r="F1524">
        <v>137</v>
      </c>
      <c r="G1524">
        <v>347</v>
      </c>
      <c r="H1524">
        <v>47539</v>
      </c>
      <c r="I1524">
        <v>9962.6681000000008</v>
      </c>
      <c r="J1524" s="2" t="s">
        <v>40</v>
      </c>
    </row>
    <row r="1525" spans="1:10" x14ac:dyDescent="0.35">
      <c r="A1525" s="1">
        <v>45415</v>
      </c>
      <c r="B1525" s="2" t="s">
        <v>34</v>
      </c>
      <c r="C1525" s="2" t="s">
        <v>16</v>
      </c>
      <c r="D1525" s="2" t="s">
        <v>17</v>
      </c>
      <c r="E1525" s="2" t="s">
        <v>13</v>
      </c>
      <c r="F1525">
        <v>416</v>
      </c>
      <c r="G1525">
        <v>314</v>
      </c>
      <c r="H1525">
        <v>130624</v>
      </c>
      <c r="I1525">
        <v>31209.535800000001</v>
      </c>
      <c r="J1525" s="2" t="s">
        <v>40</v>
      </c>
    </row>
    <row r="1526" spans="1:10" x14ac:dyDescent="0.35">
      <c r="A1526" s="1">
        <v>45415</v>
      </c>
      <c r="B1526" s="2" t="s">
        <v>36</v>
      </c>
      <c r="C1526" s="2" t="s">
        <v>27</v>
      </c>
      <c r="D1526" s="2" t="s">
        <v>17</v>
      </c>
      <c r="E1526" s="2" t="s">
        <v>28</v>
      </c>
      <c r="F1526">
        <v>727</v>
      </c>
      <c r="G1526">
        <v>311</v>
      </c>
      <c r="H1526">
        <v>226097</v>
      </c>
      <c r="I1526">
        <v>28512.5154</v>
      </c>
      <c r="J1526" s="2" t="s">
        <v>40</v>
      </c>
    </row>
    <row r="1527" spans="1:10" x14ac:dyDescent="0.35">
      <c r="A1527" s="1">
        <v>45415</v>
      </c>
      <c r="B1527" s="2" t="s">
        <v>25</v>
      </c>
      <c r="C1527" s="2" t="s">
        <v>23</v>
      </c>
      <c r="D1527" s="2" t="s">
        <v>12</v>
      </c>
      <c r="E1527" s="2" t="s">
        <v>13</v>
      </c>
      <c r="F1527">
        <v>293</v>
      </c>
      <c r="G1527">
        <v>172</v>
      </c>
      <c r="H1527">
        <v>50396</v>
      </c>
      <c r="I1527">
        <v>8766.5681999999997</v>
      </c>
      <c r="J1527" s="2" t="s">
        <v>40</v>
      </c>
    </row>
    <row r="1528" spans="1:10" x14ac:dyDescent="0.35">
      <c r="A1528" s="1">
        <v>45415</v>
      </c>
      <c r="B1528" s="2" t="s">
        <v>15</v>
      </c>
      <c r="C1528" s="2" t="s">
        <v>27</v>
      </c>
      <c r="D1528" s="2" t="s">
        <v>17</v>
      </c>
      <c r="E1528" s="2" t="s">
        <v>18</v>
      </c>
      <c r="F1528">
        <v>615</v>
      </c>
      <c r="G1528">
        <v>180</v>
      </c>
      <c r="H1528">
        <v>110700</v>
      </c>
      <c r="I1528">
        <v>18374.7372</v>
      </c>
      <c r="J1528" s="2" t="s">
        <v>40</v>
      </c>
    </row>
    <row r="1529" spans="1:10" x14ac:dyDescent="0.35">
      <c r="A1529" s="1">
        <v>45416</v>
      </c>
      <c r="B1529" s="2" t="s">
        <v>10</v>
      </c>
      <c r="C1529" s="2" t="s">
        <v>23</v>
      </c>
      <c r="D1529" s="2" t="s">
        <v>12</v>
      </c>
      <c r="E1529" s="2" t="s">
        <v>28</v>
      </c>
      <c r="F1529">
        <v>533</v>
      </c>
      <c r="G1529">
        <v>200</v>
      </c>
      <c r="H1529">
        <v>106600</v>
      </c>
      <c r="I1529">
        <v>20593.127799999998</v>
      </c>
      <c r="J1529" s="2" t="s">
        <v>40</v>
      </c>
    </row>
    <row r="1530" spans="1:10" x14ac:dyDescent="0.35">
      <c r="A1530" s="1">
        <v>45416</v>
      </c>
      <c r="B1530" s="2" t="s">
        <v>36</v>
      </c>
      <c r="C1530" s="2" t="s">
        <v>29</v>
      </c>
      <c r="D1530" s="2" t="s">
        <v>21</v>
      </c>
      <c r="E1530" s="2" t="s">
        <v>22</v>
      </c>
      <c r="F1530">
        <v>200</v>
      </c>
      <c r="G1530">
        <v>255</v>
      </c>
      <c r="H1530">
        <v>51000</v>
      </c>
      <c r="I1530">
        <v>7512.6733000000004</v>
      </c>
      <c r="J1530" s="2" t="s">
        <v>40</v>
      </c>
    </row>
    <row r="1531" spans="1:10" x14ac:dyDescent="0.35">
      <c r="A1531" s="1">
        <v>45416</v>
      </c>
      <c r="B1531" s="2" t="s">
        <v>36</v>
      </c>
      <c r="C1531" s="2" t="s">
        <v>11</v>
      </c>
      <c r="D1531" s="2" t="s">
        <v>17</v>
      </c>
      <c r="E1531" s="2" t="s">
        <v>13</v>
      </c>
      <c r="F1531">
        <v>92</v>
      </c>
      <c r="G1531">
        <v>196</v>
      </c>
      <c r="H1531">
        <v>18032</v>
      </c>
      <c r="I1531">
        <v>4165.6575999999995</v>
      </c>
      <c r="J1531" s="2" t="s">
        <v>40</v>
      </c>
    </row>
    <row r="1532" spans="1:10" x14ac:dyDescent="0.35">
      <c r="A1532" s="1">
        <v>45416</v>
      </c>
      <c r="B1532" s="2" t="s">
        <v>19</v>
      </c>
      <c r="C1532" s="2" t="s">
        <v>16</v>
      </c>
      <c r="D1532" s="2" t="s">
        <v>21</v>
      </c>
      <c r="E1532" s="2" t="s">
        <v>13</v>
      </c>
      <c r="F1532">
        <v>459</v>
      </c>
      <c r="G1532">
        <v>291</v>
      </c>
      <c r="H1532">
        <v>133569</v>
      </c>
      <c r="I1532">
        <v>16580.5072</v>
      </c>
      <c r="J1532" s="2" t="s">
        <v>40</v>
      </c>
    </row>
    <row r="1533" spans="1:10" x14ac:dyDescent="0.35">
      <c r="A1533" s="1">
        <v>45416</v>
      </c>
      <c r="B1533" s="2" t="s">
        <v>15</v>
      </c>
      <c r="C1533" s="2" t="s">
        <v>23</v>
      </c>
      <c r="D1533" s="2" t="s">
        <v>12</v>
      </c>
      <c r="E1533" s="2" t="s">
        <v>13</v>
      </c>
      <c r="F1533">
        <v>504</v>
      </c>
      <c r="G1533">
        <v>227</v>
      </c>
      <c r="H1533">
        <v>114408</v>
      </c>
      <c r="I1533">
        <v>22375.1525</v>
      </c>
      <c r="J1533" s="2" t="s">
        <v>40</v>
      </c>
    </row>
    <row r="1534" spans="1:10" x14ac:dyDescent="0.35">
      <c r="A1534" s="1">
        <v>45417</v>
      </c>
      <c r="B1534" s="2" t="s">
        <v>25</v>
      </c>
      <c r="C1534" s="2" t="s">
        <v>27</v>
      </c>
      <c r="D1534" s="2" t="s">
        <v>21</v>
      </c>
      <c r="E1534" s="2" t="s">
        <v>28</v>
      </c>
      <c r="F1534">
        <v>258</v>
      </c>
      <c r="G1534">
        <v>395</v>
      </c>
      <c r="H1534">
        <v>101910</v>
      </c>
      <c r="I1534">
        <v>13988.787700000001</v>
      </c>
      <c r="J1534" s="2" t="s">
        <v>40</v>
      </c>
    </row>
    <row r="1535" spans="1:10" x14ac:dyDescent="0.35">
      <c r="A1535" s="1">
        <v>45417</v>
      </c>
      <c r="B1535" s="2" t="s">
        <v>26</v>
      </c>
      <c r="C1535" s="2" t="s">
        <v>29</v>
      </c>
      <c r="D1535" s="2" t="s">
        <v>12</v>
      </c>
      <c r="E1535" s="2" t="s">
        <v>13</v>
      </c>
      <c r="F1535">
        <v>277</v>
      </c>
      <c r="G1535">
        <v>370</v>
      </c>
      <c r="H1535">
        <v>102490</v>
      </c>
      <c r="I1535">
        <v>24502.6322</v>
      </c>
      <c r="J1535" s="2" t="s">
        <v>40</v>
      </c>
    </row>
    <row r="1536" spans="1:10" x14ac:dyDescent="0.35">
      <c r="A1536" s="1">
        <v>45418</v>
      </c>
      <c r="B1536" s="2" t="s">
        <v>26</v>
      </c>
      <c r="C1536" s="2" t="s">
        <v>16</v>
      </c>
      <c r="D1536" s="2" t="s">
        <v>12</v>
      </c>
      <c r="E1536" s="2" t="s">
        <v>28</v>
      </c>
      <c r="F1536">
        <v>575</v>
      </c>
      <c r="G1536">
        <v>396</v>
      </c>
      <c r="H1536">
        <v>227700</v>
      </c>
      <c r="I1536">
        <v>30332.2739</v>
      </c>
      <c r="J1536" s="2" t="s">
        <v>40</v>
      </c>
    </row>
    <row r="1537" spans="1:10" x14ac:dyDescent="0.35">
      <c r="A1537" s="1">
        <v>45418</v>
      </c>
      <c r="B1537" s="2" t="s">
        <v>34</v>
      </c>
      <c r="C1537" s="2" t="s">
        <v>29</v>
      </c>
      <c r="D1537" s="2" t="s">
        <v>21</v>
      </c>
      <c r="E1537" s="2" t="s">
        <v>32</v>
      </c>
      <c r="F1537">
        <v>405</v>
      </c>
      <c r="G1537">
        <v>160</v>
      </c>
      <c r="H1537">
        <v>64800</v>
      </c>
      <c r="I1537">
        <v>10612.960999999999</v>
      </c>
      <c r="J1537" s="2" t="s">
        <v>40</v>
      </c>
    </row>
    <row r="1538" spans="1:10" x14ac:dyDescent="0.35">
      <c r="A1538" s="1">
        <v>45418</v>
      </c>
      <c r="B1538" s="2" t="s">
        <v>15</v>
      </c>
      <c r="C1538" s="2" t="s">
        <v>20</v>
      </c>
      <c r="D1538" s="2" t="s">
        <v>12</v>
      </c>
      <c r="E1538" s="2" t="s">
        <v>22</v>
      </c>
      <c r="F1538">
        <v>145</v>
      </c>
      <c r="G1538">
        <v>305</v>
      </c>
      <c r="H1538">
        <v>44225</v>
      </c>
      <c r="I1538">
        <v>4895.5329000000002</v>
      </c>
      <c r="J1538" s="2" t="s">
        <v>40</v>
      </c>
    </row>
    <row r="1539" spans="1:10" x14ac:dyDescent="0.35">
      <c r="A1539" s="1">
        <v>45419</v>
      </c>
      <c r="B1539" s="2" t="s">
        <v>31</v>
      </c>
      <c r="C1539" s="2" t="s">
        <v>29</v>
      </c>
      <c r="D1539" s="2" t="s">
        <v>17</v>
      </c>
      <c r="E1539" s="2" t="s">
        <v>24</v>
      </c>
      <c r="F1539">
        <v>770</v>
      </c>
      <c r="G1539">
        <v>494</v>
      </c>
      <c r="H1539">
        <v>380380</v>
      </c>
      <c r="I1539">
        <v>55830.645600000003</v>
      </c>
      <c r="J1539" s="2" t="s">
        <v>40</v>
      </c>
    </row>
    <row r="1540" spans="1:10" x14ac:dyDescent="0.35">
      <c r="A1540" s="1">
        <v>45419</v>
      </c>
      <c r="B1540" s="2" t="s">
        <v>31</v>
      </c>
      <c r="C1540" s="2" t="s">
        <v>16</v>
      </c>
      <c r="D1540" s="2" t="s">
        <v>17</v>
      </c>
      <c r="E1540" s="2" t="s">
        <v>28</v>
      </c>
      <c r="F1540">
        <v>515</v>
      </c>
      <c r="G1540">
        <v>288</v>
      </c>
      <c r="H1540">
        <v>148320</v>
      </c>
      <c r="I1540">
        <v>17532.757699999998</v>
      </c>
      <c r="J1540" s="2" t="s">
        <v>40</v>
      </c>
    </row>
    <row r="1541" spans="1:10" x14ac:dyDescent="0.35">
      <c r="A1541" s="1">
        <v>45419</v>
      </c>
      <c r="B1541" s="2" t="s">
        <v>15</v>
      </c>
      <c r="C1541" s="2" t="s">
        <v>29</v>
      </c>
      <c r="D1541" s="2" t="s">
        <v>12</v>
      </c>
      <c r="E1541" s="2" t="s">
        <v>22</v>
      </c>
      <c r="F1541">
        <v>192</v>
      </c>
      <c r="G1541">
        <v>211</v>
      </c>
      <c r="H1541">
        <v>40512</v>
      </c>
      <c r="I1541">
        <v>5862.6013000000003</v>
      </c>
      <c r="J1541" s="2" t="s">
        <v>40</v>
      </c>
    </row>
    <row r="1542" spans="1:10" x14ac:dyDescent="0.35">
      <c r="A1542" s="1">
        <v>45419</v>
      </c>
      <c r="B1542" s="2" t="s">
        <v>26</v>
      </c>
      <c r="C1542" s="2" t="s">
        <v>11</v>
      </c>
      <c r="D1542" s="2" t="s">
        <v>17</v>
      </c>
      <c r="E1542" s="2" t="s">
        <v>35</v>
      </c>
      <c r="F1542">
        <v>421</v>
      </c>
      <c r="G1542">
        <v>338</v>
      </c>
      <c r="H1542">
        <v>142298</v>
      </c>
      <c r="I1542">
        <v>22742.678400000001</v>
      </c>
      <c r="J1542" s="2" t="s">
        <v>40</v>
      </c>
    </row>
    <row r="1543" spans="1:10" x14ac:dyDescent="0.35">
      <c r="A1543" s="1">
        <v>45420</v>
      </c>
      <c r="B1543" s="2" t="s">
        <v>19</v>
      </c>
      <c r="C1543" s="2" t="s">
        <v>20</v>
      </c>
      <c r="D1543" s="2" t="s">
        <v>21</v>
      </c>
      <c r="E1543" s="2" t="s">
        <v>13</v>
      </c>
      <c r="F1543">
        <v>59</v>
      </c>
      <c r="G1543">
        <v>461</v>
      </c>
      <c r="H1543">
        <v>27199</v>
      </c>
      <c r="I1543">
        <v>2516.7417</v>
      </c>
      <c r="J1543" s="2" t="s">
        <v>40</v>
      </c>
    </row>
    <row r="1544" spans="1:10" x14ac:dyDescent="0.35">
      <c r="A1544" s="1">
        <v>45420</v>
      </c>
      <c r="B1544" s="2" t="s">
        <v>31</v>
      </c>
      <c r="C1544" s="2" t="s">
        <v>27</v>
      </c>
      <c r="D1544" s="2" t="s">
        <v>30</v>
      </c>
      <c r="E1544" s="2" t="s">
        <v>33</v>
      </c>
      <c r="F1544">
        <v>353</v>
      </c>
      <c r="G1544">
        <v>202</v>
      </c>
      <c r="H1544">
        <v>71306</v>
      </c>
      <c r="I1544">
        <v>15155.391100000001</v>
      </c>
      <c r="J1544" s="2" t="s">
        <v>40</v>
      </c>
    </row>
    <row r="1545" spans="1:10" x14ac:dyDescent="0.35">
      <c r="A1545" s="1">
        <v>45420</v>
      </c>
      <c r="B1545" s="2" t="s">
        <v>25</v>
      </c>
      <c r="C1545" s="2" t="s">
        <v>23</v>
      </c>
      <c r="D1545" s="2" t="s">
        <v>21</v>
      </c>
      <c r="E1545" s="2" t="s">
        <v>35</v>
      </c>
      <c r="F1545">
        <v>666</v>
      </c>
      <c r="G1545">
        <v>467</v>
      </c>
      <c r="H1545">
        <v>311022</v>
      </c>
      <c r="I1545">
        <v>71572.324800000002</v>
      </c>
      <c r="J1545" s="2" t="s">
        <v>40</v>
      </c>
    </row>
    <row r="1546" spans="1:10" x14ac:dyDescent="0.35">
      <c r="A1546" s="1">
        <v>45420</v>
      </c>
      <c r="B1546" s="2" t="s">
        <v>26</v>
      </c>
      <c r="C1546" s="2" t="s">
        <v>23</v>
      </c>
      <c r="D1546" s="2" t="s">
        <v>30</v>
      </c>
      <c r="E1546" s="2" t="s">
        <v>33</v>
      </c>
      <c r="F1546">
        <v>750</v>
      </c>
      <c r="G1546">
        <v>219</v>
      </c>
      <c r="H1546">
        <v>164250</v>
      </c>
      <c r="I1546">
        <v>28067.722399999999</v>
      </c>
      <c r="J1546" s="2" t="s">
        <v>40</v>
      </c>
    </row>
    <row r="1547" spans="1:10" x14ac:dyDescent="0.35">
      <c r="A1547" s="1">
        <v>45420</v>
      </c>
      <c r="B1547" s="2" t="s">
        <v>25</v>
      </c>
      <c r="C1547" s="2" t="s">
        <v>27</v>
      </c>
      <c r="D1547" s="2" t="s">
        <v>12</v>
      </c>
      <c r="E1547" s="2" t="s">
        <v>22</v>
      </c>
      <c r="F1547">
        <v>211</v>
      </c>
      <c r="G1547">
        <v>279</v>
      </c>
      <c r="H1547">
        <v>58869</v>
      </c>
      <c r="I1547">
        <v>13397.6973</v>
      </c>
      <c r="J1547" s="2" t="s">
        <v>40</v>
      </c>
    </row>
    <row r="1548" spans="1:10" x14ac:dyDescent="0.35">
      <c r="A1548" s="1">
        <v>45421</v>
      </c>
      <c r="B1548" s="2" t="s">
        <v>10</v>
      </c>
      <c r="C1548" s="2" t="s">
        <v>16</v>
      </c>
      <c r="D1548" s="2" t="s">
        <v>17</v>
      </c>
      <c r="E1548" s="2" t="s">
        <v>28</v>
      </c>
      <c r="F1548">
        <v>843</v>
      </c>
      <c r="G1548">
        <v>157</v>
      </c>
      <c r="H1548">
        <v>132351</v>
      </c>
      <c r="I1548">
        <v>16765.853800000001</v>
      </c>
      <c r="J1548" s="2" t="s">
        <v>40</v>
      </c>
    </row>
    <row r="1549" spans="1:10" x14ac:dyDescent="0.35">
      <c r="A1549" s="1">
        <v>45421</v>
      </c>
      <c r="B1549" s="2" t="s">
        <v>15</v>
      </c>
      <c r="C1549" s="2" t="s">
        <v>11</v>
      </c>
      <c r="D1549" s="2" t="s">
        <v>30</v>
      </c>
      <c r="E1549" s="2" t="s">
        <v>33</v>
      </c>
      <c r="F1549">
        <v>251</v>
      </c>
      <c r="G1549">
        <v>257</v>
      </c>
      <c r="H1549">
        <v>64507</v>
      </c>
      <c r="I1549">
        <v>6075.9748</v>
      </c>
      <c r="J1549" s="2" t="s">
        <v>40</v>
      </c>
    </row>
    <row r="1550" spans="1:10" x14ac:dyDescent="0.35">
      <c r="A1550" s="1">
        <v>45421</v>
      </c>
      <c r="B1550" s="2" t="s">
        <v>10</v>
      </c>
      <c r="C1550" s="2" t="s">
        <v>27</v>
      </c>
      <c r="D1550" s="2" t="s">
        <v>12</v>
      </c>
      <c r="E1550" s="2" t="s">
        <v>35</v>
      </c>
      <c r="F1550">
        <v>602</v>
      </c>
      <c r="G1550">
        <v>467</v>
      </c>
      <c r="H1550">
        <v>281134</v>
      </c>
      <c r="I1550">
        <v>45993.969599999997</v>
      </c>
      <c r="J1550" s="2" t="s">
        <v>40</v>
      </c>
    </row>
    <row r="1551" spans="1:10" x14ac:dyDescent="0.35">
      <c r="A1551" s="1">
        <v>45422</v>
      </c>
      <c r="B1551" s="2" t="s">
        <v>19</v>
      </c>
      <c r="C1551" s="2" t="s">
        <v>20</v>
      </c>
      <c r="D1551" s="2" t="s">
        <v>12</v>
      </c>
      <c r="E1551" s="2" t="s">
        <v>32</v>
      </c>
      <c r="F1551">
        <v>384</v>
      </c>
      <c r="G1551">
        <v>473</v>
      </c>
      <c r="H1551">
        <v>181632</v>
      </c>
      <c r="I1551">
        <v>26095.734899999999</v>
      </c>
      <c r="J1551" s="2" t="s">
        <v>40</v>
      </c>
    </row>
    <row r="1552" spans="1:10" x14ac:dyDescent="0.35">
      <c r="A1552" s="1">
        <v>45423</v>
      </c>
      <c r="B1552" s="2" t="s">
        <v>19</v>
      </c>
      <c r="C1552" s="2" t="s">
        <v>23</v>
      </c>
      <c r="D1552" s="2" t="s">
        <v>17</v>
      </c>
      <c r="E1552" s="2" t="s">
        <v>22</v>
      </c>
      <c r="F1552">
        <v>530</v>
      </c>
      <c r="G1552">
        <v>378</v>
      </c>
      <c r="H1552">
        <v>200340</v>
      </c>
      <c r="I1552">
        <v>26886.657899999998</v>
      </c>
      <c r="J1552" s="2" t="s">
        <v>40</v>
      </c>
    </row>
    <row r="1553" spans="1:10" x14ac:dyDescent="0.35">
      <c r="A1553" s="1">
        <v>45423</v>
      </c>
      <c r="B1553" s="2" t="s">
        <v>15</v>
      </c>
      <c r="C1553" s="2" t="s">
        <v>23</v>
      </c>
      <c r="D1553" s="2" t="s">
        <v>21</v>
      </c>
      <c r="E1553" s="2" t="s">
        <v>24</v>
      </c>
      <c r="F1553">
        <v>218</v>
      </c>
      <c r="G1553">
        <v>342</v>
      </c>
      <c r="H1553">
        <v>74556</v>
      </c>
      <c r="I1553">
        <v>14845.9864</v>
      </c>
      <c r="J1553" s="2" t="s">
        <v>40</v>
      </c>
    </row>
    <row r="1554" spans="1:10" x14ac:dyDescent="0.35">
      <c r="A1554" s="1">
        <v>45423</v>
      </c>
      <c r="B1554" s="2" t="s">
        <v>34</v>
      </c>
      <c r="C1554" s="2" t="s">
        <v>23</v>
      </c>
      <c r="D1554" s="2" t="s">
        <v>12</v>
      </c>
      <c r="E1554" s="2" t="s">
        <v>13</v>
      </c>
      <c r="F1554">
        <v>132</v>
      </c>
      <c r="G1554">
        <v>413</v>
      </c>
      <c r="H1554">
        <v>54516</v>
      </c>
      <c r="I1554">
        <v>11688.3969</v>
      </c>
      <c r="J1554" s="2" t="s">
        <v>40</v>
      </c>
    </row>
    <row r="1555" spans="1:10" x14ac:dyDescent="0.35">
      <c r="A1555" s="1">
        <v>45423</v>
      </c>
      <c r="B1555" s="2" t="s">
        <v>31</v>
      </c>
      <c r="C1555" s="2" t="s">
        <v>11</v>
      </c>
      <c r="D1555" s="2" t="s">
        <v>30</v>
      </c>
      <c r="E1555" s="2" t="s">
        <v>33</v>
      </c>
      <c r="F1555">
        <v>696</v>
      </c>
      <c r="G1555">
        <v>240</v>
      </c>
      <c r="H1555">
        <v>167040</v>
      </c>
      <c r="I1555">
        <v>20991.090400000001</v>
      </c>
      <c r="J1555" s="2" t="s">
        <v>40</v>
      </c>
    </row>
    <row r="1556" spans="1:10" x14ac:dyDescent="0.35">
      <c r="A1556" s="1">
        <v>45423</v>
      </c>
      <c r="B1556" s="2" t="s">
        <v>36</v>
      </c>
      <c r="C1556" s="2" t="s">
        <v>23</v>
      </c>
      <c r="D1556" s="2" t="s">
        <v>17</v>
      </c>
      <c r="E1556" s="2" t="s">
        <v>28</v>
      </c>
      <c r="F1556">
        <v>709</v>
      </c>
      <c r="G1556">
        <v>152</v>
      </c>
      <c r="H1556">
        <v>107768</v>
      </c>
      <c r="I1556">
        <v>19295.407899999998</v>
      </c>
      <c r="J1556" s="2" t="s">
        <v>40</v>
      </c>
    </row>
    <row r="1557" spans="1:10" x14ac:dyDescent="0.35">
      <c r="A1557" s="1">
        <v>45424</v>
      </c>
      <c r="B1557" s="2" t="s">
        <v>26</v>
      </c>
      <c r="C1557" s="2" t="s">
        <v>20</v>
      </c>
      <c r="D1557" s="2" t="s">
        <v>21</v>
      </c>
      <c r="E1557" s="2" t="s">
        <v>28</v>
      </c>
      <c r="F1557">
        <v>309</v>
      </c>
      <c r="G1557">
        <v>112</v>
      </c>
      <c r="H1557">
        <v>34608</v>
      </c>
      <c r="I1557">
        <v>4480.7376999999997</v>
      </c>
      <c r="J1557" s="2" t="s">
        <v>40</v>
      </c>
    </row>
    <row r="1558" spans="1:10" x14ac:dyDescent="0.35">
      <c r="A1558" s="1">
        <v>45425</v>
      </c>
      <c r="B1558" s="2" t="s">
        <v>10</v>
      </c>
      <c r="C1558" s="2" t="s">
        <v>11</v>
      </c>
      <c r="D1558" s="2" t="s">
        <v>12</v>
      </c>
      <c r="E1558" s="2" t="s">
        <v>33</v>
      </c>
      <c r="F1558">
        <v>972</v>
      </c>
      <c r="G1558">
        <v>165</v>
      </c>
      <c r="H1558">
        <v>160380</v>
      </c>
      <c r="I1558">
        <v>20519.244500000001</v>
      </c>
      <c r="J1558" s="2" t="s">
        <v>40</v>
      </c>
    </row>
    <row r="1559" spans="1:10" x14ac:dyDescent="0.35">
      <c r="A1559" s="1">
        <v>45425</v>
      </c>
      <c r="B1559" s="2" t="s">
        <v>36</v>
      </c>
      <c r="C1559" s="2" t="s">
        <v>16</v>
      </c>
      <c r="D1559" s="2" t="s">
        <v>12</v>
      </c>
      <c r="E1559" s="2" t="s">
        <v>32</v>
      </c>
      <c r="F1559">
        <v>74</v>
      </c>
      <c r="G1559">
        <v>473</v>
      </c>
      <c r="H1559">
        <v>35002</v>
      </c>
      <c r="I1559">
        <v>7899.5311000000002</v>
      </c>
      <c r="J1559" s="2" t="s">
        <v>40</v>
      </c>
    </row>
    <row r="1560" spans="1:10" x14ac:dyDescent="0.35">
      <c r="A1560" s="1">
        <v>45425</v>
      </c>
      <c r="B1560" s="2" t="s">
        <v>31</v>
      </c>
      <c r="C1560" s="2" t="s">
        <v>27</v>
      </c>
      <c r="D1560" s="2" t="s">
        <v>12</v>
      </c>
      <c r="E1560" s="2" t="s">
        <v>28</v>
      </c>
      <c r="F1560">
        <v>741</v>
      </c>
      <c r="G1560">
        <v>338</v>
      </c>
      <c r="H1560">
        <v>250458</v>
      </c>
      <c r="I1560">
        <v>59222.261299999998</v>
      </c>
      <c r="J1560" s="2" t="s">
        <v>40</v>
      </c>
    </row>
    <row r="1561" spans="1:10" x14ac:dyDescent="0.35">
      <c r="A1561" s="1">
        <v>45425</v>
      </c>
      <c r="B1561" s="2" t="s">
        <v>36</v>
      </c>
      <c r="C1561" s="2" t="s">
        <v>23</v>
      </c>
      <c r="D1561" s="2" t="s">
        <v>30</v>
      </c>
      <c r="E1561" s="2" t="s">
        <v>35</v>
      </c>
      <c r="F1561">
        <v>894</v>
      </c>
      <c r="G1561">
        <v>430</v>
      </c>
      <c r="H1561">
        <v>384420</v>
      </c>
      <c r="I1561">
        <v>68949.364000000001</v>
      </c>
      <c r="J1561" s="2" t="s">
        <v>40</v>
      </c>
    </row>
    <row r="1562" spans="1:10" x14ac:dyDescent="0.35">
      <c r="A1562" s="1">
        <v>45425</v>
      </c>
      <c r="B1562" s="2" t="s">
        <v>34</v>
      </c>
      <c r="C1562" s="2" t="s">
        <v>20</v>
      </c>
      <c r="D1562" s="2" t="s">
        <v>12</v>
      </c>
      <c r="E1562" s="2" t="s">
        <v>13</v>
      </c>
      <c r="F1562">
        <v>111</v>
      </c>
      <c r="G1562">
        <v>130</v>
      </c>
      <c r="H1562">
        <v>14430</v>
      </c>
      <c r="I1562">
        <v>1567.7995000000001</v>
      </c>
      <c r="J1562" s="2" t="s">
        <v>40</v>
      </c>
    </row>
    <row r="1563" spans="1:10" x14ac:dyDescent="0.35">
      <c r="A1563" s="1">
        <v>45426</v>
      </c>
      <c r="B1563" s="2" t="s">
        <v>36</v>
      </c>
      <c r="C1563" s="2" t="s">
        <v>27</v>
      </c>
      <c r="D1563" s="2" t="s">
        <v>21</v>
      </c>
      <c r="E1563" s="2" t="s">
        <v>33</v>
      </c>
      <c r="F1563">
        <v>70</v>
      </c>
      <c r="G1563">
        <v>138</v>
      </c>
      <c r="H1563">
        <v>9660</v>
      </c>
      <c r="I1563">
        <v>1927.0148999999999</v>
      </c>
      <c r="J1563" s="2" t="s">
        <v>40</v>
      </c>
    </row>
    <row r="1564" spans="1:10" x14ac:dyDescent="0.35">
      <c r="A1564" s="1">
        <v>45426</v>
      </c>
      <c r="B1564" s="2" t="s">
        <v>19</v>
      </c>
      <c r="C1564" s="2" t="s">
        <v>27</v>
      </c>
      <c r="D1564" s="2" t="s">
        <v>12</v>
      </c>
      <c r="E1564" s="2" t="s">
        <v>24</v>
      </c>
      <c r="F1564">
        <v>226</v>
      </c>
      <c r="G1564">
        <v>119</v>
      </c>
      <c r="H1564">
        <v>26894</v>
      </c>
      <c r="I1564">
        <v>5968.8221999999996</v>
      </c>
      <c r="J1564" s="2" t="s">
        <v>40</v>
      </c>
    </row>
    <row r="1565" spans="1:10" x14ac:dyDescent="0.35">
      <c r="A1565" s="1">
        <v>45426</v>
      </c>
      <c r="B1565" s="2" t="s">
        <v>10</v>
      </c>
      <c r="C1565" s="2" t="s">
        <v>29</v>
      </c>
      <c r="D1565" s="2" t="s">
        <v>17</v>
      </c>
      <c r="E1565" s="2" t="s">
        <v>33</v>
      </c>
      <c r="F1565">
        <v>575</v>
      </c>
      <c r="G1565">
        <v>476</v>
      </c>
      <c r="H1565">
        <v>273700</v>
      </c>
      <c r="I1565">
        <v>51715.150900000001</v>
      </c>
      <c r="J1565" s="2" t="s">
        <v>40</v>
      </c>
    </row>
    <row r="1566" spans="1:10" x14ac:dyDescent="0.35">
      <c r="A1566" s="1">
        <v>45426</v>
      </c>
      <c r="B1566" s="2" t="s">
        <v>19</v>
      </c>
      <c r="C1566" s="2" t="s">
        <v>11</v>
      </c>
      <c r="D1566" s="2" t="s">
        <v>12</v>
      </c>
      <c r="E1566" s="2" t="s">
        <v>18</v>
      </c>
      <c r="F1566">
        <v>455</v>
      </c>
      <c r="G1566">
        <v>364</v>
      </c>
      <c r="H1566">
        <v>165620</v>
      </c>
      <c r="I1566">
        <v>14231.263499999999</v>
      </c>
      <c r="J1566" s="2" t="s">
        <v>40</v>
      </c>
    </row>
    <row r="1567" spans="1:10" x14ac:dyDescent="0.35">
      <c r="A1567" s="1">
        <v>45426</v>
      </c>
      <c r="B1567" s="2" t="s">
        <v>34</v>
      </c>
      <c r="C1567" s="2" t="s">
        <v>20</v>
      </c>
      <c r="D1567" s="2" t="s">
        <v>21</v>
      </c>
      <c r="E1567" s="2" t="s">
        <v>33</v>
      </c>
      <c r="F1567">
        <v>237</v>
      </c>
      <c r="G1567">
        <v>451</v>
      </c>
      <c r="H1567">
        <v>106887</v>
      </c>
      <c r="I1567">
        <v>12868.421399999999</v>
      </c>
      <c r="J1567" s="2" t="s">
        <v>40</v>
      </c>
    </row>
    <row r="1568" spans="1:10" x14ac:dyDescent="0.35">
      <c r="A1568" s="1">
        <v>45427</v>
      </c>
      <c r="B1568" s="2" t="s">
        <v>10</v>
      </c>
      <c r="C1568" s="2" t="s">
        <v>20</v>
      </c>
      <c r="D1568" s="2" t="s">
        <v>17</v>
      </c>
      <c r="E1568" s="2" t="s">
        <v>24</v>
      </c>
      <c r="F1568">
        <v>889</v>
      </c>
      <c r="G1568">
        <v>348</v>
      </c>
      <c r="H1568">
        <v>309372</v>
      </c>
      <c r="I1568">
        <v>64992.508900000001</v>
      </c>
      <c r="J1568" s="2" t="s">
        <v>40</v>
      </c>
    </row>
    <row r="1569" spans="1:10" x14ac:dyDescent="0.35">
      <c r="A1569" s="1">
        <v>45427</v>
      </c>
      <c r="B1569" s="2" t="s">
        <v>10</v>
      </c>
      <c r="C1569" s="2" t="s">
        <v>23</v>
      </c>
      <c r="D1569" s="2" t="s">
        <v>30</v>
      </c>
      <c r="E1569" s="2" t="s">
        <v>33</v>
      </c>
      <c r="F1569">
        <v>180</v>
      </c>
      <c r="G1569">
        <v>221</v>
      </c>
      <c r="H1569">
        <v>39780</v>
      </c>
      <c r="I1569">
        <v>8718.4498999999996</v>
      </c>
      <c r="J1569" s="2" t="s">
        <v>40</v>
      </c>
    </row>
    <row r="1570" spans="1:10" x14ac:dyDescent="0.35">
      <c r="A1570" s="1">
        <v>45428</v>
      </c>
      <c r="B1570" s="2" t="s">
        <v>10</v>
      </c>
      <c r="C1570" s="2" t="s">
        <v>23</v>
      </c>
      <c r="D1570" s="2" t="s">
        <v>12</v>
      </c>
      <c r="E1570" s="2" t="s">
        <v>32</v>
      </c>
      <c r="F1570">
        <v>675</v>
      </c>
      <c r="G1570">
        <v>454</v>
      </c>
      <c r="H1570">
        <v>306450</v>
      </c>
      <c r="I1570">
        <v>39549.2932</v>
      </c>
      <c r="J1570" s="2" t="s">
        <v>40</v>
      </c>
    </row>
    <row r="1571" spans="1:10" x14ac:dyDescent="0.35">
      <c r="A1571" s="1">
        <v>45428</v>
      </c>
      <c r="B1571" s="2" t="s">
        <v>19</v>
      </c>
      <c r="C1571" s="2" t="s">
        <v>27</v>
      </c>
      <c r="D1571" s="2" t="s">
        <v>21</v>
      </c>
      <c r="E1571" s="2" t="s">
        <v>28</v>
      </c>
      <c r="F1571">
        <v>203</v>
      </c>
      <c r="G1571">
        <v>197</v>
      </c>
      <c r="H1571">
        <v>39991</v>
      </c>
      <c r="I1571">
        <v>6011.7137000000002</v>
      </c>
      <c r="J1571" s="2" t="s">
        <v>40</v>
      </c>
    </row>
    <row r="1572" spans="1:10" x14ac:dyDescent="0.35">
      <c r="A1572" s="1">
        <v>45429</v>
      </c>
      <c r="B1572" s="2" t="s">
        <v>36</v>
      </c>
      <c r="C1572" s="2" t="s">
        <v>11</v>
      </c>
      <c r="D1572" s="2" t="s">
        <v>12</v>
      </c>
      <c r="E1572" s="2" t="s">
        <v>22</v>
      </c>
      <c r="F1572">
        <v>517</v>
      </c>
      <c r="G1572">
        <v>194</v>
      </c>
      <c r="H1572">
        <v>100298</v>
      </c>
      <c r="I1572">
        <v>10206.598400000001</v>
      </c>
      <c r="J1572" s="2" t="s">
        <v>40</v>
      </c>
    </row>
    <row r="1573" spans="1:10" x14ac:dyDescent="0.35">
      <c r="A1573" s="1">
        <v>45429</v>
      </c>
      <c r="B1573" s="2" t="s">
        <v>31</v>
      </c>
      <c r="C1573" s="2" t="s">
        <v>20</v>
      </c>
      <c r="D1573" s="2" t="s">
        <v>12</v>
      </c>
      <c r="E1573" s="2" t="s">
        <v>18</v>
      </c>
      <c r="F1573">
        <v>419</v>
      </c>
      <c r="G1573">
        <v>285</v>
      </c>
      <c r="H1573">
        <v>119415</v>
      </c>
      <c r="I1573">
        <v>28953.799500000001</v>
      </c>
      <c r="J1573" s="2" t="s">
        <v>40</v>
      </c>
    </row>
    <row r="1574" spans="1:10" x14ac:dyDescent="0.35">
      <c r="A1574" s="1">
        <v>45429</v>
      </c>
      <c r="B1574" s="2" t="s">
        <v>10</v>
      </c>
      <c r="C1574" s="2" t="s">
        <v>29</v>
      </c>
      <c r="D1574" s="2" t="s">
        <v>30</v>
      </c>
      <c r="E1574" s="2" t="s">
        <v>13</v>
      </c>
      <c r="F1574">
        <v>241</v>
      </c>
      <c r="G1574">
        <v>209</v>
      </c>
      <c r="H1574">
        <v>50369</v>
      </c>
      <c r="I1574">
        <v>5919.3179</v>
      </c>
      <c r="J1574" s="2" t="s">
        <v>40</v>
      </c>
    </row>
    <row r="1575" spans="1:10" x14ac:dyDescent="0.35">
      <c r="A1575" s="1">
        <v>45430</v>
      </c>
      <c r="B1575" s="2" t="s">
        <v>25</v>
      </c>
      <c r="C1575" s="2" t="s">
        <v>20</v>
      </c>
      <c r="D1575" s="2" t="s">
        <v>30</v>
      </c>
      <c r="E1575" s="2" t="s">
        <v>13</v>
      </c>
      <c r="F1575">
        <v>441</v>
      </c>
      <c r="G1575">
        <v>395</v>
      </c>
      <c r="H1575">
        <v>174195</v>
      </c>
      <c r="I1575">
        <v>32589.1764</v>
      </c>
      <c r="J1575" s="2" t="s">
        <v>40</v>
      </c>
    </row>
    <row r="1576" spans="1:10" x14ac:dyDescent="0.35">
      <c r="A1576" s="1">
        <v>45430</v>
      </c>
      <c r="B1576" s="2" t="s">
        <v>15</v>
      </c>
      <c r="C1576" s="2" t="s">
        <v>11</v>
      </c>
      <c r="D1576" s="2" t="s">
        <v>17</v>
      </c>
      <c r="E1576" s="2" t="s">
        <v>35</v>
      </c>
      <c r="F1576">
        <v>363</v>
      </c>
      <c r="G1576">
        <v>253</v>
      </c>
      <c r="H1576">
        <v>91839</v>
      </c>
      <c r="I1576">
        <v>19046.212899999999</v>
      </c>
      <c r="J1576" s="2" t="s">
        <v>40</v>
      </c>
    </row>
    <row r="1577" spans="1:10" x14ac:dyDescent="0.35">
      <c r="A1577" s="1">
        <v>45430</v>
      </c>
      <c r="B1577" s="2" t="s">
        <v>26</v>
      </c>
      <c r="C1577" s="2" t="s">
        <v>27</v>
      </c>
      <c r="D1577" s="2" t="s">
        <v>21</v>
      </c>
      <c r="E1577" s="2" t="s">
        <v>13</v>
      </c>
      <c r="F1577">
        <v>645</v>
      </c>
      <c r="G1577">
        <v>457</v>
      </c>
      <c r="H1577">
        <v>294765</v>
      </c>
      <c r="I1577">
        <v>48573.664700000001</v>
      </c>
      <c r="J1577" s="2" t="s">
        <v>40</v>
      </c>
    </row>
    <row r="1578" spans="1:10" x14ac:dyDescent="0.35">
      <c r="A1578" s="1">
        <v>45430</v>
      </c>
      <c r="B1578" s="2" t="s">
        <v>15</v>
      </c>
      <c r="C1578" s="2" t="s">
        <v>11</v>
      </c>
      <c r="D1578" s="2" t="s">
        <v>17</v>
      </c>
      <c r="E1578" s="2" t="s">
        <v>18</v>
      </c>
      <c r="F1578">
        <v>952</v>
      </c>
      <c r="G1578">
        <v>106</v>
      </c>
      <c r="H1578">
        <v>100912</v>
      </c>
      <c r="I1578">
        <v>17095.668099999999</v>
      </c>
      <c r="J1578" s="2" t="s">
        <v>40</v>
      </c>
    </row>
    <row r="1579" spans="1:10" x14ac:dyDescent="0.35">
      <c r="A1579" s="1">
        <v>45430</v>
      </c>
      <c r="B1579" s="2" t="s">
        <v>25</v>
      </c>
      <c r="C1579" s="2" t="s">
        <v>29</v>
      </c>
      <c r="D1579" s="2" t="s">
        <v>17</v>
      </c>
      <c r="E1579" s="2" t="s">
        <v>32</v>
      </c>
      <c r="F1579">
        <v>88</v>
      </c>
      <c r="G1579">
        <v>184</v>
      </c>
      <c r="H1579">
        <v>16192</v>
      </c>
      <c r="I1579">
        <v>1428.6409000000001</v>
      </c>
      <c r="J1579" s="2" t="s">
        <v>40</v>
      </c>
    </row>
    <row r="1580" spans="1:10" x14ac:dyDescent="0.35">
      <c r="A1580" s="1">
        <v>45431</v>
      </c>
      <c r="B1580" s="2" t="s">
        <v>15</v>
      </c>
      <c r="C1580" s="2" t="s">
        <v>23</v>
      </c>
      <c r="D1580" s="2" t="s">
        <v>17</v>
      </c>
      <c r="E1580" s="2" t="s">
        <v>13</v>
      </c>
      <c r="F1580">
        <v>836</v>
      </c>
      <c r="G1580">
        <v>303</v>
      </c>
      <c r="H1580">
        <v>253308</v>
      </c>
      <c r="I1580">
        <v>43812.710700000003</v>
      </c>
      <c r="J1580" s="2" t="s">
        <v>40</v>
      </c>
    </row>
    <row r="1581" spans="1:10" x14ac:dyDescent="0.35">
      <c r="A1581" s="1">
        <v>45431</v>
      </c>
      <c r="B1581" s="2" t="s">
        <v>10</v>
      </c>
      <c r="C1581" s="2" t="s">
        <v>20</v>
      </c>
      <c r="D1581" s="2" t="s">
        <v>12</v>
      </c>
      <c r="E1581" s="2" t="s">
        <v>28</v>
      </c>
      <c r="F1581">
        <v>197</v>
      </c>
      <c r="G1581">
        <v>327</v>
      </c>
      <c r="H1581">
        <v>64419</v>
      </c>
      <c r="I1581">
        <v>9396.4822999999997</v>
      </c>
      <c r="J1581" s="2" t="s">
        <v>40</v>
      </c>
    </row>
    <row r="1582" spans="1:10" x14ac:dyDescent="0.35">
      <c r="A1582" s="1">
        <v>45431</v>
      </c>
      <c r="B1582" s="2" t="s">
        <v>34</v>
      </c>
      <c r="C1582" s="2" t="s">
        <v>23</v>
      </c>
      <c r="D1582" s="2" t="s">
        <v>30</v>
      </c>
      <c r="E1582" s="2" t="s">
        <v>22</v>
      </c>
      <c r="F1582">
        <v>808</v>
      </c>
      <c r="G1582">
        <v>374</v>
      </c>
      <c r="H1582">
        <v>302192</v>
      </c>
      <c r="I1582">
        <v>40307.332900000001</v>
      </c>
      <c r="J1582" s="2" t="s">
        <v>40</v>
      </c>
    </row>
    <row r="1583" spans="1:10" x14ac:dyDescent="0.35">
      <c r="A1583" s="1">
        <v>45431</v>
      </c>
      <c r="B1583" s="2" t="s">
        <v>10</v>
      </c>
      <c r="C1583" s="2" t="s">
        <v>16</v>
      </c>
      <c r="D1583" s="2" t="s">
        <v>21</v>
      </c>
      <c r="E1583" s="2" t="s">
        <v>33</v>
      </c>
      <c r="F1583">
        <v>266</v>
      </c>
      <c r="G1583">
        <v>335</v>
      </c>
      <c r="H1583">
        <v>89110</v>
      </c>
      <c r="I1583">
        <v>21745.173500000001</v>
      </c>
      <c r="J1583" s="2" t="s">
        <v>40</v>
      </c>
    </row>
    <row r="1584" spans="1:10" x14ac:dyDescent="0.35">
      <c r="A1584" s="1">
        <v>45432</v>
      </c>
      <c r="B1584" s="2" t="s">
        <v>36</v>
      </c>
      <c r="C1584" s="2" t="s">
        <v>29</v>
      </c>
      <c r="D1584" s="2" t="s">
        <v>12</v>
      </c>
      <c r="E1584" s="2" t="s">
        <v>33</v>
      </c>
      <c r="F1584">
        <v>704</v>
      </c>
      <c r="G1584">
        <v>188</v>
      </c>
      <c r="H1584">
        <v>132352</v>
      </c>
      <c r="I1584">
        <v>20002.857199999999</v>
      </c>
      <c r="J1584" s="2" t="s">
        <v>40</v>
      </c>
    </row>
    <row r="1585" spans="1:10" x14ac:dyDescent="0.35">
      <c r="A1585" s="1">
        <v>45433</v>
      </c>
      <c r="B1585" s="2" t="s">
        <v>31</v>
      </c>
      <c r="C1585" s="2" t="s">
        <v>29</v>
      </c>
      <c r="D1585" s="2" t="s">
        <v>12</v>
      </c>
      <c r="E1585" s="2" t="s">
        <v>35</v>
      </c>
      <c r="F1585">
        <v>951</v>
      </c>
      <c r="G1585">
        <v>175</v>
      </c>
      <c r="H1585">
        <v>166425</v>
      </c>
      <c r="I1585">
        <v>31232.934399999998</v>
      </c>
      <c r="J1585" s="2" t="s">
        <v>40</v>
      </c>
    </row>
    <row r="1586" spans="1:10" x14ac:dyDescent="0.35">
      <c r="A1586" s="1">
        <v>45434</v>
      </c>
      <c r="B1586" s="2" t="s">
        <v>10</v>
      </c>
      <c r="C1586" s="2" t="s">
        <v>16</v>
      </c>
      <c r="D1586" s="2" t="s">
        <v>21</v>
      </c>
      <c r="E1586" s="2" t="s">
        <v>18</v>
      </c>
      <c r="F1586">
        <v>73</v>
      </c>
      <c r="G1586">
        <v>117</v>
      </c>
      <c r="H1586">
        <v>8541</v>
      </c>
      <c r="I1586">
        <v>821.35749999999996</v>
      </c>
      <c r="J1586" s="2" t="s">
        <v>40</v>
      </c>
    </row>
    <row r="1587" spans="1:10" x14ac:dyDescent="0.35">
      <c r="A1587" s="1">
        <v>45434</v>
      </c>
      <c r="B1587" s="2" t="s">
        <v>34</v>
      </c>
      <c r="C1587" s="2" t="s">
        <v>20</v>
      </c>
      <c r="D1587" s="2" t="s">
        <v>21</v>
      </c>
      <c r="E1587" s="2" t="s">
        <v>22</v>
      </c>
      <c r="F1587">
        <v>597</v>
      </c>
      <c r="G1587">
        <v>408</v>
      </c>
      <c r="H1587">
        <v>243576</v>
      </c>
      <c r="I1587">
        <v>20541.625400000001</v>
      </c>
      <c r="J1587" s="2" t="s">
        <v>40</v>
      </c>
    </row>
    <row r="1588" spans="1:10" x14ac:dyDescent="0.35">
      <c r="A1588" s="1">
        <v>45434</v>
      </c>
      <c r="B1588" s="2" t="s">
        <v>34</v>
      </c>
      <c r="C1588" s="2" t="s">
        <v>29</v>
      </c>
      <c r="D1588" s="2" t="s">
        <v>17</v>
      </c>
      <c r="E1588" s="2" t="s">
        <v>24</v>
      </c>
      <c r="F1588">
        <v>431</v>
      </c>
      <c r="G1588">
        <v>375</v>
      </c>
      <c r="H1588">
        <v>161625</v>
      </c>
      <c r="I1588">
        <v>18605.163700000001</v>
      </c>
      <c r="J1588" s="2" t="s">
        <v>40</v>
      </c>
    </row>
    <row r="1589" spans="1:10" x14ac:dyDescent="0.35">
      <c r="A1589" s="1">
        <v>45435</v>
      </c>
      <c r="B1589" s="2" t="s">
        <v>10</v>
      </c>
      <c r="C1589" s="2" t="s">
        <v>11</v>
      </c>
      <c r="D1589" s="2" t="s">
        <v>30</v>
      </c>
      <c r="E1589" s="2" t="s">
        <v>24</v>
      </c>
      <c r="F1589">
        <v>207</v>
      </c>
      <c r="G1589">
        <v>281</v>
      </c>
      <c r="H1589">
        <v>58167</v>
      </c>
      <c r="I1589">
        <v>12865.2683</v>
      </c>
      <c r="J1589" s="2" t="s">
        <v>40</v>
      </c>
    </row>
    <row r="1590" spans="1:10" x14ac:dyDescent="0.35">
      <c r="A1590" s="1">
        <v>45435</v>
      </c>
      <c r="B1590" s="2" t="s">
        <v>10</v>
      </c>
      <c r="C1590" s="2" t="s">
        <v>29</v>
      </c>
      <c r="D1590" s="2" t="s">
        <v>30</v>
      </c>
      <c r="E1590" s="2" t="s">
        <v>35</v>
      </c>
      <c r="F1590">
        <v>459</v>
      </c>
      <c r="G1590">
        <v>402</v>
      </c>
      <c r="H1590">
        <v>184518</v>
      </c>
      <c r="I1590">
        <v>38371.292600000001</v>
      </c>
      <c r="J1590" s="2" t="s">
        <v>40</v>
      </c>
    </row>
    <row r="1591" spans="1:10" x14ac:dyDescent="0.35">
      <c r="A1591" s="1">
        <v>45435</v>
      </c>
      <c r="B1591" s="2" t="s">
        <v>15</v>
      </c>
      <c r="C1591" s="2" t="s">
        <v>16</v>
      </c>
      <c r="D1591" s="2" t="s">
        <v>17</v>
      </c>
      <c r="E1591" s="2" t="s">
        <v>35</v>
      </c>
      <c r="F1591">
        <v>720</v>
      </c>
      <c r="G1591">
        <v>286</v>
      </c>
      <c r="H1591">
        <v>205920</v>
      </c>
      <c r="I1591">
        <v>25166.3361</v>
      </c>
      <c r="J1591" s="2" t="s">
        <v>40</v>
      </c>
    </row>
    <row r="1592" spans="1:10" x14ac:dyDescent="0.35">
      <c r="A1592" s="1">
        <v>45435</v>
      </c>
      <c r="B1592" s="2" t="s">
        <v>31</v>
      </c>
      <c r="C1592" s="2" t="s">
        <v>20</v>
      </c>
      <c r="D1592" s="2" t="s">
        <v>12</v>
      </c>
      <c r="E1592" s="2" t="s">
        <v>33</v>
      </c>
      <c r="F1592">
        <v>120</v>
      </c>
      <c r="G1592">
        <v>298</v>
      </c>
      <c r="H1592">
        <v>35760</v>
      </c>
      <c r="I1592">
        <v>6888.7762000000002</v>
      </c>
      <c r="J1592" s="2" t="s">
        <v>40</v>
      </c>
    </row>
    <row r="1593" spans="1:10" x14ac:dyDescent="0.35">
      <c r="A1593" s="1">
        <v>45435</v>
      </c>
      <c r="B1593" s="2" t="s">
        <v>10</v>
      </c>
      <c r="C1593" s="2" t="s">
        <v>27</v>
      </c>
      <c r="D1593" s="2" t="s">
        <v>12</v>
      </c>
      <c r="E1593" s="2" t="s">
        <v>18</v>
      </c>
      <c r="F1593">
        <v>78</v>
      </c>
      <c r="G1593">
        <v>124</v>
      </c>
      <c r="H1593">
        <v>9672</v>
      </c>
      <c r="I1593">
        <v>1989.0225</v>
      </c>
      <c r="J1593" s="2" t="s">
        <v>40</v>
      </c>
    </row>
    <row r="1594" spans="1:10" x14ac:dyDescent="0.35">
      <c r="A1594" s="1">
        <v>45435</v>
      </c>
      <c r="B1594" s="2" t="s">
        <v>10</v>
      </c>
      <c r="C1594" s="2" t="s">
        <v>27</v>
      </c>
      <c r="D1594" s="2" t="s">
        <v>21</v>
      </c>
      <c r="E1594" s="2" t="s">
        <v>33</v>
      </c>
      <c r="F1594">
        <v>911</v>
      </c>
      <c r="G1594">
        <v>179</v>
      </c>
      <c r="H1594">
        <v>163069</v>
      </c>
      <c r="I1594">
        <v>38372.315000000002</v>
      </c>
      <c r="J1594" s="2" t="s">
        <v>40</v>
      </c>
    </row>
    <row r="1595" spans="1:10" x14ac:dyDescent="0.35">
      <c r="A1595" s="1">
        <v>45436</v>
      </c>
      <c r="B1595" s="2" t="s">
        <v>15</v>
      </c>
      <c r="C1595" s="2" t="s">
        <v>29</v>
      </c>
      <c r="D1595" s="2" t="s">
        <v>17</v>
      </c>
      <c r="E1595" s="2" t="s">
        <v>22</v>
      </c>
      <c r="F1595">
        <v>309</v>
      </c>
      <c r="G1595">
        <v>277</v>
      </c>
      <c r="H1595">
        <v>85593</v>
      </c>
      <c r="I1595">
        <v>21326.8789</v>
      </c>
      <c r="J1595" s="2" t="s">
        <v>40</v>
      </c>
    </row>
    <row r="1596" spans="1:10" x14ac:dyDescent="0.35">
      <c r="A1596" s="1">
        <v>45436</v>
      </c>
      <c r="B1596" s="2" t="s">
        <v>34</v>
      </c>
      <c r="C1596" s="2" t="s">
        <v>11</v>
      </c>
      <c r="D1596" s="2" t="s">
        <v>30</v>
      </c>
      <c r="E1596" s="2" t="s">
        <v>35</v>
      </c>
      <c r="F1596">
        <v>389</v>
      </c>
      <c r="G1596">
        <v>334</v>
      </c>
      <c r="H1596">
        <v>129926</v>
      </c>
      <c r="I1596">
        <v>18985.169399999999</v>
      </c>
      <c r="J1596" s="2" t="s">
        <v>40</v>
      </c>
    </row>
    <row r="1597" spans="1:10" x14ac:dyDescent="0.35">
      <c r="A1597" s="1">
        <v>45436</v>
      </c>
      <c r="B1597" s="2" t="s">
        <v>15</v>
      </c>
      <c r="C1597" s="2" t="s">
        <v>29</v>
      </c>
      <c r="D1597" s="2" t="s">
        <v>21</v>
      </c>
      <c r="E1597" s="2" t="s">
        <v>18</v>
      </c>
      <c r="F1597">
        <v>619</v>
      </c>
      <c r="G1597">
        <v>139</v>
      </c>
      <c r="H1597">
        <v>86041</v>
      </c>
      <c r="I1597">
        <v>13528.548699999999</v>
      </c>
      <c r="J1597" s="2" t="s">
        <v>40</v>
      </c>
    </row>
    <row r="1598" spans="1:10" x14ac:dyDescent="0.35">
      <c r="A1598" s="1">
        <v>45437</v>
      </c>
      <c r="B1598" s="2" t="s">
        <v>25</v>
      </c>
      <c r="C1598" s="2" t="s">
        <v>27</v>
      </c>
      <c r="D1598" s="2" t="s">
        <v>30</v>
      </c>
      <c r="E1598" s="2" t="s">
        <v>13</v>
      </c>
      <c r="F1598">
        <v>400</v>
      </c>
      <c r="G1598">
        <v>172</v>
      </c>
      <c r="H1598">
        <v>68800</v>
      </c>
      <c r="I1598">
        <v>14870.4676</v>
      </c>
      <c r="J1598" s="2" t="s">
        <v>40</v>
      </c>
    </row>
    <row r="1599" spans="1:10" x14ac:dyDescent="0.35">
      <c r="A1599" s="1">
        <v>45437</v>
      </c>
      <c r="B1599" s="2" t="s">
        <v>36</v>
      </c>
      <c r="C1599" s="2" t="s">
        <v>11</v>
      </c>
      <c r="D1599" s="2" t="s">
        <v>12</v>
      </c>
      <c r="E1599" s="2" t="s">
        <v>32</v>
      </c>
      <c r="F1599">
        <v>393</v>
      </c>
      <c r="G1599">
        <v>230</v>
      </c>
      <c r="H1599">
        <v>90390</v>
      </c>
      <c r="I1599">
        <v>18071.338899999999</v>
      </c>
      <c r="J1599" s="2" t="s">
        <v>40</v>
      </c>
    </row>
    <row r="1600" spans="1:10" x14ac:dyDescent="0.35">
      <c r="A1600" s="1">
        <v>45437</v>
      </c>
      <c r="B1600" s="2" t="s">
        <v>15</v>
      </c>
      <c r="C1600" s="2" t="s">
        <v>29</v>
      </c>
      <c r="D1600" s="2" t="s">
        <v>17</v>
      </c>
      <c r="E1600" s="2" t="s">
        <v>18</v>
      </c>
      <c r="F1600">
        <v>924</v>
      </c>
      <c r="G1600">
        <v>222</v>
      </c>
      <c r="H1600">
        <v>205128</v>
      </c>
      <c r="I1600">
        <v>43212.548999999999</v>
      </c>
      <c r="J1600" s="2" t="s">
        <v>40</v>
      </c>
    </row>
    <row r="1601" spans="1:10" x14ac:dyDescent="0.35">
      <c r="A1601" s="1">
        <v>45437</v>
      </c>
      <c r="B1601" s="2" t="s">
        <v>34</v>
      </c>
      <c r="C1601" s="2" t="s">
        <v>20</v>
      </c>
      <c r="D1601" s="2" t="s">
        <v>21</v>
      </c>
      <c r="E1601" s="2" t="s">
        <v>13</v>
      </c>
      <c r="F1601">
        <v>169</v>
      </c>
      <c r="G1601">
        <v>356</v>
      </c>
      <c r="H1601">
        <v>60164</v>
      </c>
      <c r="I1601">
        <v>10366.7402</v>
      </c>
      <c r="J1601" s="2" t="s">
        <v>40</v>
      </c>
    </row>
    <row r="1602" spans="1:10" x14ac:dyDescent="0.35">
      <c r="A1602" s="1">
        <v>45437</v>
      </c>
      <c r="B1602" s="2" t="s">
        <v>26</v>
      </c>
      <c r="C1602" s="2" t="s">
        <v>29</v>
      </c>
      <c r="D1602" s="2" t="s">
        <v>21</v>
      </c>
      <c r="E1602" s="2" t="s">
        <v>22</v>
      </c>
      <c r="F1602">
        <v>185</v>
      </c>
      <c r="G1602">
        <v>172</v>
      </c>
      <c r="H1602">
        <v>31820</v>
      </c>
      <c r="I1602">
        <v>3623.2955000000002</v>
      </c>
      <c r="J1602" s="2" t="s">
        <v>40</v>
      </c>
    </row>
    <row r="1603" spans="1:10" x14ac:dyDescent="0.35">
      <c r="A1603" s="1">
        <v>45438</v>
      </c>
      <c r="B1603" s="2" t="s">
        <v>19</v>
      </c>
      <c r="C1603" s="2" t="s">
        <v>11</v>
      </c>
      <c r="D1603" s="2" t="s">
        <v>21</v>
      </c>
      <c r="E1603" s="2" t="s">
        <v>32</v>
      </c>
      <c r="F1603">
        <v>247</v>
      </c>
      <c r="G1603">
        <v>335</v>
      </c>
      <c r="H1603">
        <v>82745</v>
      </c>
      <c r="I1603">
        <v>17012.002899999999</v>
      </c>
      <c r="J1603" s="2" t="s">
        <v>40</v>
      </c>
    </row>
    <row r="1604" spans="1:10" x14ac:dyDescent="0.35">
      <c r="A1604" s="1">
        <v>45438</v>
      </c>
      <c r="B1604" s="2" t="s">
        <v>19</v>
      </c>
      <c r="C1604" s="2" t="s">
        <v>16</v>
      </c>
      <c r="D1604" s="2" t="s">
        <v>17</v>
      </c>
      <c r="E1604" s="2" t="s">
        <v>35</v>
      </c>
      <c r="F1604">
        <v>809</v>
      </c>
      <c r="G1604">
        <v>364</v>
      </c>
      <c r="H1604">
        <v>294476</v>
      </c>
      <c r="I1604">
        <v>35104.554799999998</v>
      </c>
      <c r="J1604" s="2" t="s">
        <v>40</v>
      </c>
    </row>
    <row r="1605" spans="1:10" x14ac:dyDescent="0.35">
      <c r="A1605" s="1">
        <v>45439</v>
      </c>
      <c r="B1605" s="2" t="s">
        <v>19</v>
      </c>
      <c r="C1605" s="2" t="s">
        <v>23</v>
      </c>
      <c r="D1605" s="2" t="s">
        <v>17</v>
      </c>
      <c r="E1605" s="2" t="s">
        <v>28</v>
      </c>
      <c r="F1605">
        <v>194</v>
      </c>
      <c r="G1605">
        <v>407</v>
      </c>
      <c r="H1605">
        <v>78958</v>
      </c>
      <c r="I1605">
        <v>7318.3091000000004</v>
      </c>
      <c r="J1605" s="2" t="s">
        <v>40</v>
      </c>
    </row>
    <row r="1606" spans="1:10" x14ac:dyDescent="0.35">
      <c r="A1606" s="1">
        <v>45439</v>
      </c>
      <c r="B1606" s="2" t="s">
        <v>36</v>
      </c>
      <c r="C1606" s="2" t="s">
        <v>16</v>
      </c>
      <c r="D1606" s="2" t="s">
        <v>21</v>
      </c>
      <c r="E1606" s="2" t="s">
        <v>18</v>
      </c>
      <c r="F1606">
        <v>614</v>
      </c>
      <c r="G1606">
        <v>360</v>
      </c>
      <c r="H1606">
        <v>221040</v>
      </c>
      <c r="I1606">
        <v>34740.8148</v>
      </c>
      <c r="J1606" s="2" t="s">
        <v>40</v>
      </c>
    </row>
    <row r="1607" spans="1:10" x14ac:dyDescent="0.35">
      <c r="A1607" s="1">
        <v>45439</v>
      </c>
      <c r="B1607" s="2" t="s">
        <v>25</v>
      </c>
      <c r="C1607" s="2" t="s">
        <v>27</v>
      </c>
      <c r="D1607" s="2" t="s">
        <v>21</v>
      </c>
      <c r="E1607" s="2" t="s">
        <v>35</v>
      </c>
      <c r="F1607">
        <v>594</v>
      </c>
      <c r="G1607">
        <v>319</v>
      </c>
      <c r="H1607">
        <v>189486</v>
      </c>
      <c r="I1607">
        <v>44564.515200000002</v>
      </c>
      <c r="J1607" s="2" t="s">
        <v>40</v>
      </c>
    </row>
    <row r="1608" spans="1:10" x14ac:dyDescent="0.35">
      <c r="A1608" s="1">
        <v>45440</v>
      </c>
      <c r="B1608" s="2" t="s">
        <v>25</v>
      </c>
      <c r="C1608" s="2" t="s">
        <v>20</v>
      </c>
      <c r="D1608" s="2" t="s">
        <v>17</v>
      </c>
      <c r="E1608" s="2" t="s">
        <v>28</v>
      </c>
      <c r="F1608">
        <v>293</v>
      </c>
      <c r="G1608">
        <v>170</v>
      </c>
      <c r="H1608">
        <v>49810</v>
      </c>
      <c r="I1608">
        <v>4921.5038999999997</v>
      </c>
      <c r="J1608" s="2" t="s">
        <v>40</v>
      </c>
    </row>
    <row r="1609" spans="1:10" x14ac:dyDescent="0.35">
      <c r="A1609" s="1">
        <v>45440</v>
      </c>
      <c r="B1609" s="2" t="s">
        <v>15</v>
      </c>
      <c r="C1609" s="2" t="s">
        <v>23</v>
      </c>
      <c r="D1609" s="2" t="s">
        <v>30</v>
      </c>
      <c r="E1609" s="2" t="s">
        <v>28</v>
      </c>
      <c r="F1609">
        <v>264</v>
      </c>
      <c r="G1609">
        <v>432</v>
      </c>
      <c r="H1609">
        <v>114048</v>
      </c>
      <c r="I1609">
        <v>17713.570599999999</v>
      </c>
      <c r="J1609" s="2" t="s">
        <v>40</v>
      </c>
    </row>
    <row r="1610" spans="1:10" x14ac:dyDescent="0.35">
      <c r="A1610" s="1">
        <v>45441</v>
      </c>
      <c r="B1610" s="2" t="s">
        <v>34</v>
      </c>
      <c r="C1610" s="2" t="s">
        <v>27</v>
      </c>
      <c r="D1610" s="2" t="s">
        <v>21</v>
      </c>
      <c r="E1610" s="2" t="s">
        <v>33</v>
      </c>
      <c r="F1610">
        <v>357</v>
      </c>
      <c r="G1610">
        <v>156</v>
      </c>
      <c r="H1610">
        <v>55692</v>
      </c>
      <c r="I1610">
        <v>7299.5324000000001</v>
      </c>
      <c r="J1610" s="2" t="s">
        <v>40</v>
      </c>
    </row>
    <row r="1611" spans="1:10" x14ac:dyDescent="0.35">
      <c r="A1611" s="1">
        <v>45441</v>
      </c>
      <c r="B1611" s="2" t="s">
        <v>19</v>
      </c>
      <c r="C1611" s="2" t="s">
        <v>23</v>
      </c>
      <c r="D1611" s="2" t="s">
        <v>21</v>
      </c>
      <c r="E1611" s="2" t="s">
        <v>33</v>
      </c>
      <c r="F1611">
        <v>421</v>
      </c>
      <c r="G1611">
        <v>133</v>
      </c>
      <c r="H1611">
        <v>55993</v>
      </c>
      <c r="I1611">
        <v>8865.2139999999999</v>
      </c>
      <c r="J1611" s="2" t="s">
        <v>40</v>
      </c>
    </row>
    <row r="1612" spans="1:10" x14ac:dyDescent="0.35">
      <c r="A1612" s="1">
        <v>45441</v>
      </c>
      <c r="B1612" s="2" t="s">
        <v>10</v>
      </c>
      <c r="C1612" s="2" t="s">
        <v>11</v>
      </c>
      <c r="D1612" s="2" t="s">
        <v>17</v>
      </c>
      <c r="E1612" s="2" t="s">
        <v>33</v>
      </c>
      <c r="F1612">
        <v>648</v>
      </c>
      <c r="G1612">
        <v>200</v>
      </c>
      <c r="H1612">
        <v>129600</v>
      </c>
      <c r="I1612">
        <v>29541.710800000001</v>
      </c>
      <c r="J1612" s="2" t="s">
        <v>40</v>
      </c>
    </row>
    <row r="1613" spans="1:10" x14ac:dyDescent="0.35">
      <c r="A1613" s="1">
        <v>45441</v>
      </c>
      <c r="B1613" s="2" t="s">
        <v>26</v>
      </c>
      <c r="C1613" s="2" t="s">
        <v>29</v>
      </c>
      <c r="D1613" s="2" t="s">
        <v>30</v>
      </c>
      <c r="E1613" s="2" t="s">
        <v>28</v>
      </c>
      <c r="F1613">
        <v>984</v>
      </c>
      <c r="G1613">
        <v>403</v>
      </c>
      <c r="H1613">
        <v>396552</v>
      </c>
      <c r="I1613">
        <v>92975.942800000004</v>
      </c>
      <c r="J1613" s="2" t="s">
        <v>40</v>
      </c>
    </row>
    <row r="1614" spans="1:10" x14ac:dyDescent="0.35">
      <c r="A1614" s="1">
        <v>45442</v>
      </c>
      <c r="B1614" s="2" t="s">
        <v>15</v>
      </c>
      <c r="C1614" s="2" t="s">
        <v>27</v>
      </c>
      <c r="D1614" s="2" t="s">
        <v>17</v>
      </c>
      <c r="E1614" s="2" t="s">
        <v>33</v>
      </c>
      <c r="F1614">
        <v>674</v>
      </c>
      <c r="G1614">
        <v>118</v>
      </c>
      <c r="H1614">
        <v>79532</v>
      </c>
      <c r="I1614">
        <v>16175.1075</v>
      </c>
      <c r="J1614" s="2" t="s">
        <v>40</v>
      </c>
    </row>
    <row r="1615" spans="1:10" x14ac:dyDescent="0.35">
      <c r="A1615" s="1">
        <v>45442</v>
      </c>
      <c r="B1615" s="2" t="s">
        <v>19</v>
      </c>
      <c r="C1615" s="2" t="s">
        <v>29</v>
      </c>
      <c r="D1615" s="2" t="s">
        <v>12</v>
      </c>
      <c r="E1615" s="2" t="s">
        <v>33</v>
      </c>
      <c r="F1615">
        <v>777</v>
      </c>
      <c r="G1615">
        <v>456</v>
      </c>
      <c r="H1615">
        <v>354312</v>
      </c>
      <c r="I1615">
        <v>63939.980100000001</v>
      </c>
      <c r="J1615" s="2" t="s">
        <v>40</v>
      </c>
    </row>
    <row r="1616" spans="1:10" x14ac:dyDescent="0.35">
      <c r="A1616" s="1">
        <v>45442</v>
      </c>
      <c r="B1616" s="2" t="s">
        <v>19</v>
      </c>
      <c r="C1616" s="2" t="s">
        <v>16</v>
      </c>
      <c r="D1616" s="2" t="s">
        <v>21</v>
      </c>
      <c r="E1616" s="2" t="s">
        <v>28</v>
      </c>
      <c r="F1616">
        <v>488</v>
      </c>
      <c r="G1616">
        <v>174</v>
      </c>
      <c r="H1616">
        <v>84912</v>
      </c>
      <c r="I1616">
        <v>17417.0681</v>
      </c>
      <c r="J1616" s="2" t="s">
        <v>40</v>
      </c>
    </row>
    <row r="1617" spans="1:10" x14ac:dyDescent="0.35">
      <c r="A1617" s="1">
        <v>45442</v>
      </c>
      <c r="B1617" s="2" t="s">
        <v>10</v>
      </c>
      <c r="C1617" s="2" t="s">
        <v>11</v>
      </c>
      <c r="D1617" s="2" t="s">
        <v>30</v>
      </c>
      <c r="E1617" s="2" t="s">
        <v>18</v>
      </c>
      <c r="F1617">
        <v>79</v>
      </c>
      <c r="G1617">
        <v>439</v>
      </c>
      <c r="H1617">
        <v>34681</v>
      </c>
      <c r="I1617">
        <v>8304.6654999999992</v>
      </c>
      <c r="J1617" s="2" t="s">
        <v>40</v>
      </c>
    </row>
    <row r="1618" spans="1:10" x14ac:dyDescent="0.35">
      <c r="A1618" s="1">
        <v>45442</v>
      </c>
      <c r="B1618" s="2" t="s">
        <v>36</v>
      </c>
      <c r="C1618" s="2" t="s">
        <v>16</v>
      </c>
      <c r="D1618" s="2" t="s">
        <v>17</v>
      </c>
      <c r="E1618" s="2" t="s">
        <v>32</v>
      </c>
      <c r="F1618">
        <v>806</v>
      </c>
      <c r="G1618">
        <v>367</v>
      </c>
      <c r="H1618">
        <v>295802</v>
      </c>
      <c r="I1618">
        <v>40437.3505</v>
      </c>
      <c r="J1618" s="2" t="s">
        <v>40</v>
      </c>
    </row>
    <row r="1619" spans="1:10" x14ac:dyDescent="0.35">
      <c r="A1619" s="1">
        <v>45442</v>
      </c>
      <c r="B1619" s="2" t="s">
        <v>26</v>
      </c>
      <c r="C1619" s="2" t="s">
        <v>27</v>
      </c>
      <c r="D1619" s="2" t="s">
        <v>21</v>
      </c>
      <c r="E1619" s="2" t="s">
        <v>24</v>
      </c>
      <c r="F1619">
        <v>973</v>
      </c>
      <c r="G1619">
        <v>302</v>
      </c>
      <c r="H1619">
        <v>293846</v>
      </c>
      <c r="I1619">
        <v>24708.4548</v>
      </c>
      <c r="J1619" s="2" t="s">
        <v>40</v>
      </c>
    </row>
    <row r="1620" spans="1:10" x14ac:dyDescent="0.35">
      <c r="A1620" s="1">
        <v>45442</v>
      </c>
      <c r="B1620" s="2" t="s">
        <v>36</v>
      </c>
      <c r="C1620" s="2" t="s">
        <v>16</v>
      </c>
      <c r="D1620" s="2" t="s">
        <v>12</v>
      </c>
      <c r="E1620" s="2" t="s">
        <v>18</v>
      </c>
      <c r="F1620">
        <v>684</v>
      </c>
      <c r="G1620">
        <v>380</v>
      </c>
      <c r="H1620">
        <v>259920</v>
      </c>
      <c r="I1620">
        <v>31658.487300000001</v>
      </c>
      <c r="J1620" s="2" t="s">
        <v>40</v>
      </c>
    </row>
    <row r="1621" spans="1:10" x14ac:dyDescent="0.35">
      <c r="A1621" s="1">
        <v>45443</v>
      </c>
      <c r="B1621" s="2" t="s">
        <v>25</v>
      </c>
      <c r="C1621" s="2" t="s">
        <v>29</v>
      </c>
      <c r="D1621" s="2" t="s">
        <v>30</v>
      </c>
      <c r="E1621" s="2" t="s">
        <v>32</v>
      </c>
      <c r="F1621">
        <v>324</v>
      </c>
      <c r="G1621">
        <v>220</v>
      </c>
      <c r="H1621">
        <v>71280</v>
      </c>
      <c r="I1621">
        <v>8226.2702000000008</v>
      </c>
      <c r="J1621" s="2" t="s">
        <v>40</v>
      </c>
    </row>
    <row r="1622" spans="1:10" x14ac:dyDescent="0.35">
      <c r="A1622" s="1">
        <v>45443</v>
      </c>
      <c r="B1622" s="2" t="s">
        <v>36</v>
      </c>
      <c r="C1622" s="2" t="s">
        <v>11</v>
      </c>
      <c r="D1622" s="2" t="s">
        <v>17</v>
      </c>
      <c r="E1622" s="2" t="s">
        <v>28</v>
      </c>
      <c r="F1622">
        <v>558</v>
      </c>
      <c r="G1622">
        <v>275</v>
      </c>
      <c r="H1622">
        <v>153450</v>
      </c>
      <c r="I1622">
        <v>17507.299900000002</v>
      </c>
      <c r="J1622" s="2" t="s">
        <v>40</v>
      </c>
    </row>
    <row r="1623" spans="1:10" x14ac:dyDescent="0.35">
      <c r="A1623" s="1">
        <v>45443</v>
      </c>
      <c r="B1623" s="2" t="s">
        <v>31</v>
      </c>
      <c r="C1623" s="2" t="s">
        <v>16</v>
      </c>
      <c r="D1623" s="2" t="s">
        <v>12</v>
      </c>
      <c r="E1623" s="2" t="s">
        <v>33</v>
      </c>
      <c r="F1623">
        <v>861</v>
      </c>
      <c r="G1623">
        <v>401</v>
      </c>
      <c r="H1623">
        <v>345261</v>
      </c>
      <c r="I1623">
        <v>28647.770100000002</v>
      </c>
      <c r="J1623" s="2" t="s">
        <v>40</v>
      </c>
    </row>
    <row r="1624" spans="1:10" x14ac:dyDescent="0.35">
      <c r="A1624" s="1">
        <v>45443</v>
      </c>
      <c r="B1624" s="2" t="s">
        <v>19</v>
      </c>
      <c r="C1624" s="2" t="s">
        <v>20</v>
      </c>
      <c r="D1624" s="2" t="s">
        <v>17</v>
      </c>
      <c r="E1624" s="2" t="s">
        <v>32</v>
      </c>
      <c r="F1624">
        <v>707</v>
      </c>
      <c r="G1624">
        <v>187</v>
      </c>
      <c r="H1624">
        <v>132209</v>
      </c>
      <c r="I1624">
        <v>26906.513800000001</v>
      </c>
      <c r="J1624" s="2" t="s">
        <v>40</v>
      </c>
    </row>
    <row r="1625" spans="1:10" x14ac:dyDescent="0.35">
      <c r="A1625" s="1">
        <v>45443</v>
      </c>
      <c r="B1625" s="2" t="s">
        <v>10</v>
      </c>
      <c r="C1625" s="2" t="s">
        <v>27</v>
      </c>
      <c r="D1625" s="2" t="s">
        <v>12</v>
      </c>
      <c r="E1625" s="2" t="s">
        <v>22</v>
      </c>
      <c r="F1625">
        <v>633</v>
      </c>
      <c r="G1625">
        <v>378</v>
      </c>
      <c r="H1625">
        <v>239274</v>
      </c>
      <c r="I1625">
        <v>36745.9251</v>
      </c>
      <c r="J1625" s="2" t="s">
        <v>40</v>
      </c>
    </row>
    <row r="1626" spans="1:10" x14ac:dyDescent="0.35">
      <c r="A1626" s="1">
        <v>45444</v>
      </c>
      <c r="B1626" s="2" t="s">
        <v>31</v>
      </c>
      <c r="C1626" s="2" t="s">
        <v>23</v>
      </c>
      <c r="D1626" s="2" t="s">
        <v>12</v>
      </c>
      <c r="E1626" s="2" t="s">
        <v>32</v>
      </c>
      <c r="F1626">
        <v>59</v>
      </c>
      <c r="G1626">
        <v>237</v>
      </c>
      <c r="H1626">
        <v>13983</v>
      </c>
      <c r="I1626">
        <v>2056.0313999999998</v>
      </c>
      <c r="J1626" s="2" t="s">
        <v>41</v>
      </c>
    </row>
    <row r="1627" spans="1:10" x14ac:dyDescent="0.35">
      <c r="A1627" s="1">
        <v>45444</v>
      </c>
      <c r="B1627" s="2" t="s">
        <v>15</v>
      </c>
      <c r="C1627" s="2" t="s">
        <v>20</v>
      </c>
      <c r="D1627" s="2" t="s">
        <v>17</v>
      </c>
      <c r="E1627" s="2" t="s">
        <v>24</v>
      </c>
      <c r="F1627">
        <v>214</v>
      </c>
      <c r="G1627">
        <v>459</v>
      </c>
      <c r="H1627">
        <v>98226</v>
      </c>
      <c r="I1627">
        <v>8319.2245000000003</v>
      </c>
      <c r="J1627" s="2" t="s">
        <v>41</v>
      </c>
    </row>
    <row r="1628" spans="1:10" x14ac:dyDescent="0.35">
      <c r="A1628" s="1">
        <v>45444</v>
      </c>
      <c r="B1628" s="2" t="s">
        <v>36</v>
      </c>
      <c r="C1628" s="2" t="s">
        <v>23</v>
      </c>
      <c r="D1628" s="2" t="s">
        <v>21</v>
      </c>
      <c r="E1628" s="2" t="s">
        <v>35</v>
      </c>
      <c r="F1628">
        <v>658</v>
      </c>
      <c r="G1628">
        <v>203</v>
      </c>
      <c r="H1628">
        <v>133574</v>
      </c>
      <c r="I1628">
        <v>25647.655299999999</v>
      </c>
      <c r="J1628" s="2" t="s">
        <v>41</v>
      </c>
    </row>
    <row r="1629" spans="1:10" x14ac:dyDescent="0.35">
      <c r="A1629" s="1">
        <v>45444</v>
      </c>
      <c r="B1629" s="2" t="s">
        <v>15</v>
      </c>
      <c r="C1629" s="2" t="s">
        <v>11</v>
      </c>
      <c r="D1629" s="2" t="s">
        <v>17</v>
      </c>
      <c r="E1629" s="2" t="s">
        <v>18</v>
      </c>
      <c r="F1629">
        <v>436</v>
      </c>
      <c r="G1629">
        <v>320</v>
      </c>
      <c r="H1629">
        <v>139520</v>
      </c>
      <c r="I1629">
        <v>33759.136599999998</v>
      </c>
      <c r="J1629" s="2" t="s">
        <v>41</v>
      </c>
    </row>
    <row r="1630" spans="1:10" x14ac:dyDescent="0.35">
      <c r="A1630" s="1">
        <v>45445</v>
      </c>
      <c r="B1630" s="2" t="s">
        <v>15</v>
      </c>
      <c r="C1630" s="2" t="s">
        <v>27</v>
      </c>
      <c r="D1630" s="2" t="s">
        <v>12</v>
      </c>
      <c r="E1630" s="2" t="s">
        <v>22</v>
      </c>
      <c r="F1630">
        <v>651</v>
      </c>
      <c r="G1630">
        <v>421</v>
      </c>
      <c r="H1630">
        <v>274071</v>
      </c>
      <c r="I1630">
        <v>57753.4836</v>
      </c>
      <c r="J1630" s="2" t="s">
        <v>41</v>
      </c>
    </row>
    <row r="1631" spans="1:10" x14ac:dyDescent="0.35">
      <c r="A1631" s="1">
        <v>45445</v>
      </c>
      <c r="B1631" s="2" t="s">
        <v>15</v>
      </c>
      <c r="C1631" s="2" t="s">
        <v>20</v>
      </c>
      <c r="D1631" s="2" t="s">
        <v>12</v>
      </c>
      <c r="E1631" s="2" t="s">
        <v>24</v>
      </c>
      <c r="F1631">
        <v>801</v>
      </c>
      <c r="G1631">
        <v>306</v>
      </c>
      <c r="H1631">
        <v>245106</v>
      </c>
      <c r="I1631">
        <v>23363.357</v>
      </c>
      <c r="J1631" s="2" t="s">
        <v>41</v>
      </c>
    </row>
    <row r="1632" spans="1:10" x14ac:dyDescent="0.35">
      <c r="A1632" s="1">
        <v>45445</v>
      </c>
      <c r="B1632" s="2" t="s">
        <v>34</v>
      </c>
      <c r="C1632" s="2" t="s">
        <v>11</v>
      </c>
      <c r="D1632" s="2" t="s">
        <v>30</v>
      </c>
      <c r="E1632" s="2" t="s">
        <v>22</v>
      </c>
      <c r="F1632">
        <v>308</v>
      </c>
      <c r="G1632">
        <v>237</v>
      </c>
      <c r="H1632">
        <v>72996</v>
      </c>
      <c r="I1632">
        <v>11077.264800000001</v>
      </c>
      <c r="J1632" s="2" t="s">
        <v>41</v>
      </c>
    </row>
    <row r="1633" spans="1:10" x14ac:dyDescent="0.35">
      <c r="A1633" s="1">
        <v>45446</v>
      </c>
      <c r="B1633" s="2" t="s">
        <v>26</v>
      </c>
      <c r="C1633" s="2" t="s">
        <v>29</v>
      </c>
      <c r="D1633" s="2" t="s">
        <v>17</v>
      </c>
      <c r="E1633" s="2" t="s">
        <v>13</v>
      </c>
      <c r="F1633">
        <v>658</v>
      </c>
      <c r="G1633">
        <v>278</v>
      </c>
      <c r="H1633">
        <v>182924</v>
      </c>
      <c r="I1633">
        <v>40125.394999999997</v>
      </c>
      <c r="J1633" s="2" t="s">
        <v>41</v>
      </c>
    </row>
    <row r="1634" spans="1:10" x14ac:dyDescent="0.35">
      <c r="A1634" s="1">
        <v>45446</v>
      </c>
      <c r="B1634" s="2" t="s">
        <v>25</v>
      </c>
      <c r="C1634" s="2" t="s">
        <v>29</v>
      </c>
      <c r="D1634" s="2" t="s">
        <v>12</v>
      </c>
      <c r="E1634" s="2" t="s">
        <v>28</v>
      </c>
      <c r="F1634">
        <v>952</v>
      </c>
      <c r="G1634">
        <v>271</v>
      </c>
      <c r="H1634">
        <v>257992</v>
      </c>
      <c r="I1634">
        <v>42378.525699999998</v>
      </c>
      <c r="J1634" s="2" t="s">
        <v>41</v>
      </c>
    </row>
    <row r="1635" spans="1:10" x14ac:dyDescent="0.35">
      <c r="A1635" s="1">
        <v>45446</v>
      </c>
      <c r="B1635" s="2" t="s">
        <v>25</v>
      </c>
      <c r="C1635" s="2" t="s">
        <v>16</v>
      </c>
      <c r="D1635" s="2" t="s">
        <v>17</v>
      </c>
      <c r="E1635" s="2" t="s">
        <v>32</v>
      </c>
      <c r="F1635">
        <v>97</v>
      </c>
      <c r="G1635">
        <v>146</v>
      </c>
      <c r="H1635">
        <v>14162</v>
      </c>
      <c r="I1635">
        <v>2035.8869</v>
      </c>
      <c r="J1635" s="2" t="s">
        <v>41</v>
      </c>
    </row>
    <row r="1636" spans="1:10" x14ac:dyDescent="0.35">
      <c r="A1636" s="1">
        <v>45446</v>
      </c>
      <c r="B1636" s="2" t="s">
        <v>34</v>
      </c>
      <c r="C1636" s="2" t="s">
        <v>27</v>
      </c>
      <c r="D1636" s="2" t="s">
        <v>30</v>
      </c>
      <c r="E1636" s="2" t="s">
        <v>22</v>
      </c>
      <c r="F1636">
        <v>683</v>
      </c>
      <c r="G1636">
        <v>334</v>
      </c>
      <c r="H1636">
        <v>228122</v>
      </c>
      <c r="I1636">
        <v>54214.527999999998</v>
      </c>
      <c r="J1636" s="2" t="s">
        <v>41</v>
      </c>
    </row>
    <row r="1637" spans="1:10" x14ac:dyDescent="0.35">
      <c r="A1637" s="1">
        <v>45446</v>
      </c>
      <c r="B1637" s="2" t="s">
        <v>15</v>
      </c>
      <c r="C1637" s="2" t="s">
        <v>11</v>
      </c>
      <c r="D1637" s="2" t="s">
        <v>17</v>
      </c>
      <c r="E1637" s="2" t="s">
        <v>32</v>
      </c>
      <c r="F1637">
        <v>110</v>
      </c>
      <c r="G1637">
        <v>143</v>
      </c>
      <c r="H1637">
        <v>15730</v>
      </c>
      <c r="I1637">
        <v>1341.7311999999999</v>
      </c>
      <c r="J1637" s="2" t="s">
        <v>41</v>
      </c>
    </row>
    <row r="1638" spans="1:10" x14ac:dyDescent="0.35">
      <c r="A1638" s="1">
        <v>45446</v>
      </c>
      <c r="B1638" s="2" t="s">
        <v>19</v>
      </c>
      <c r="C1638" s="2" t="s">
        <v>20</v>
      </c>
      <c r="D1638" s="2" t="s">
        <v>30</v>
      </c>
      <c r="E1638" s="2" t="s">
        <v>13</v>
      </c>
      <c r="F1638">
        <v>490</v>
      </c>
      <c r="G1638">
        <v>274</v>
      </c>
      <c r="H1638">
        <v>134260</v>
      </c>
      <c r="I1638">
        <v>12697.0643</v>
      </c>
      <c r="J1638" s="2" t="s">
        <v>41</v>
      </c>
    </row>
    <row r="1639" spans="1:10" x14ac:dyDescent="0.35">
      <c r="A1639" s="1">
        <v>45447</v>
      </c>
      <c r="B1639" s="2" t="s">
        <v>26</v>
      </c>
      <c r="C1639" s="2" t="s">
        <v>20</v>
      </c>
      <c r="D1639" s="2" t="s">
        <v>30</v>
      </c>
      <c r="E1639" s="2" t="s">
        <v>18</v>
      </c>
      <c r="F1639">
        <v>586</v>
      </c>
      <c r="G1639">
        <v>235</v>
      </c>
      <c r="H1639">
        <v>137710</v>
      </c>
      <c r="I1639">
        <v>34048.952299999997</v>
      </c>
      <c r="J1639" s="2" t="s">
        <v>41</v>
      </c>
    </row>
    <row r="1640" spans="1:10" x14ac:dyDescent="0.35">
      <c r="A1640" s="1">
        <v>45447</v>
      </c>
      <c r="B1640" s="2" t="s">
        <v>25</v>
      </c>
      <c r="C1640" s="2" t="s">
        <v>16</v>
      </c>
      <c r="D1640" s="2" t="s">
        <v>21</v>
      </c>
      <c r="E1640" s="2" t="s">
        <v>24</v>
      </c>
      <c r="F1640">
        <v>412</v>
      </c>
      <c r="G1640">
        <v>467</v>
      </c>
      <c r="H1640">
        <v>192404</v>
      </c>
      <c r="I1640">
        <v>43555.832399999999</v>
      </c>
      <c r="J1640" s="2" t="s">
        <v>41</v>
      </c>
    </row>
    <row r="1641" spans="1:10" x14ac:dyDescent="0.35">
      <c r="A1641" s="1">
        <v>45447</v>
      </c>
      <c r="B1641" s="2" t="s">
        <v>26</v>
      </c>
      <c r="C1641" s="2" t="s">
        <v>11</v>
      </c>
      <c r="D1641" s="2" t="s">
        <v>21</v>
      </c>
      <c r="E1641" s="2" t="s">
        <v>33</v>
      </c>
      <c r="F1641">
        <v>473</v>
      </c>
      <c r="G1641">
        <v>150</v>
      </c>
      <c r="H1641">
        <v>70950</v>
      </c>
      <c r="I1641">
        <v>16847.048200000001</v>
      </c>
      <c r="J1641" s="2" t="s">
        <v>41</v>
      </c>
    </row>
    <row r="1642" spans="1:10" x14ac:dyDescent="0.35">
      <c r="A1642" s="1">
        <v>45447</v>
      </c>
      <c r="B1642" s="2" t="s">
        <v>31</v>
      </c>
      <c r="C1642" s="2" t="s">
        <v>11</v>
      </c>
      <c r="D1642" s="2" t="s">
        <v>17</v>
      </c>
      <c r="E1642" s="2" t="s">
        <v>18</v>
      </c>
      <c r="F1642">
        <v>884</v>
      </c>
      <c r="G1642">
        <v>309</v>
      </c>
      <c r="H1642">
        <v>273156</v>
      </c>
      <c r="I1642">
        <v>34589.106200000002</v>
      </c>
      <c r="J1642" s="2" t="s">
        <v>41</v>
      </c>
    </row>
    <row r="1643" spans="1:10" x14ac:dyDescent="0.35">
      <c r="A1643" s="1">
        <v>45447</v>
      </c>
      <c r="B1643" s="2" t="s">
        <v>34</v>
      </c>
      <c r="C1643" s="2" t="s">
        <v>27</v>
      </c>
      <c r="D1643" s="2" t="s">
        <v>12</v>
      </c>
      <c r="E1643" s="2" t="s">
        <v>28</v>
      </c>
      <c r="F1643">
        <v>378</v>
      </c>
      <c r="G1643">
        <v>389</v>
      </c>
      <c r="H1643">
        <v>147042</v>
      </c>
      <c r="I1643">
        <v>29654.9139</v>
      </c>
      <c r="J1643" s="2" t="s">
        <v>41</v>
      </c>
    </row>
    <row r="1644" spans="1:10" x14ac:dyDescent="0.35">
      <c r="A1644" s="1">
        <v>45447</v>
      </c>
      <c r="B1644" s="2" t="s">
        <v>26</v>
      </c>
      <c r="C1644" s="2" t="s">
        <v>23</v>
      </c>
      <c r="D1644" s="2" t="s">
        <v>30</v>
      </c>
      <c r="E1644" s="2" t="s">
        <v>35</v>
      </c>
      <c r="F1644">
        <v>387</v>
      </c>
      <c r="G1644">
        <v>474</v>
      </c>
      <c r="H1644">
        <v>183438</v>
      </c>
      <c r="I1644">
        <v>19946.383699999998</v>
      </c>
      <c r="J1644" s="2" t="s">
        <v>41</v>
      </c>
    </row>
    <row r="1645" spans="1:10" x14ac:dyDescent="0.35">
      <c r="A1645" s="1">
        <v>45448</v>
      </c>
      <c r="B1645" s="2" t="s">
        <v>25</v>
      </c>
      <c r="C1645" s="2" t="s">
        <v>11</v>
      </c>
      <c r="D1645" s="2" t="s">
        <v>12</v>
      </c>
      <c r="E1645" s="2" t="s">
        <v>22</v>
      </c>
      <c r="F1645">
        <v>102</v>
      </c>
      <c r="G1645">
        <v>345</v>
      </c>
      <c r="H1645">
        <v>35190</v>
      </c>
      <c r="I1645">
        <v>5675.3792000000003</v>
      </c>
      <c r="J1645" s="2" t="s">
        <v>41</v>
      </c>
    </row>
    <row r="1646" spans="1:10" x14ac:dyDescent="0.35">
      <c r="A1646" s="1">
        <v>45448</v>
      </c>
      <c r="B1646" s="2" t="s">
        <v>34</v>
      </c>
      <c r="C1646" s="2" t="s">
        <v>16</v>
      </c>
      <c r="D1646" s="2" t="s">
        <v>12</v>
      </c>
      <c r="E1646" s="2" t="s">
        <v>32</v>
      </c>
      <c r="F1646">
        <v>318</v>
      </c>
      <c r="G1646">
        <v>477</v>
      </c>
      <c r="H1646">
        <v>151686</v>
      </c>
      <c r="I1646">
        <v>23701.5936</v>
      </c>
      <c r="J1646" s="2" t="s">
        <v>41</v>
      </c>
    </row>
    <row r="1647" spans="1:10" x14ac:dyDescent="0.35">
      <c r="A1647" s="1">
        <v>45449</v>
      </c>
      <c r="B1647" s="2" t="s">
        <v>36</v>
      </c>
      <c r="C1647" s="2" t="s">
        <v>16</v>
      </c>
      <c r="D1647" s="2" t="s">
        <v>17</v>
      </c>
      <c r="E1647" s="2" t="s">
        <v>24</v>
      </c>
      <c r="F1647">
        <v>211</v>
      </c>
      <c r="G1647">
        <v>145</v>
      </c>
      <c r="H1647">
        <v>30595</v>
      </c>
      <c r="I1647">
        <v>6880.6893</v>
      </c>
      <c r="J1647" s="2" t="s">
        <v>41</v>
      </c>
    </row>
    <row r="1648" spans="1:10" x14ac:dyDescent="0.35">
      <c r="A1648" s="1">
        <v>45449</v>
      </c>
      <c r="B1648" s="2" t="s">
        <v>15</v>
      </c>
      <c r="C1648" s="2" t="s">
        <v>20</v>
      </c>
      <c r="D1648" s="2" t="s">
        <v>21</v>
      </c>
      <c r="E1648" s="2" t="s">
        <v>18</v>
      </c>
      <c r="F1648">
        <v>568</v>
      </c>
      <c r="G1648">
        <v>395</v>
      </c>
      <c r="H1648">
        <v>224360</v>
      </c>
      <c r="I1648">
        <v>40226.003499999999</v>
      </c>
      <c r="J1648" s="2" t="s">
        <v>41</v>
      </c>
    </row>
    <row r="1649" spans="1:10" x14ac:dyDescent="0.35">
      <c r="A1649" s="1">
        <v>45450</v>
      </c>
      <c r="B1649" s="2" t="s">
        <v>10</v>
      </c>
      <c r="C1649" s="2" t="s">
        <v>20</v>
      </c>
      <c r="D1649" s="2" t="s">
        <v>30</v>
      </c>
      <c r="E1649" s="2" t="s">
        <v>13</v>
      </c>
      <c r="F1649">
        <v>651</v>
      </c>
      <c r="G1649">
        <v>218</v>
      </c>
      <c r="H1649">
        <v>141918</v>
      </c>
      <c r="I1649">
        <v>15359.920700000001</v>
      </c>
      <c r="J1649" s="2" t="s">
        <v>41</v>
      </c>
    </row>
    <row r="1650" spans="1:10" x14ac:dyDescent="0.35">
      <c r="A1650" s="1">
        <v>45450</v>
      </c>
      <c r="B1650" s="2" t="s">
        <v>10</v>
      </c>
      <c r="C1650" s="2" t="s">
        <v>20</v>
      </c>
      <c r="D1650" s="2" t="s">
        <v>30</v>
      </c>
      <c r="E1650" s="2" t="s">
        <v>13</v>
      </c>
      <c r="F1650">
        <v>414</v>
      </c>
      <c r="G1650">
        <v>485</v>
      </c>
      <c r="H1650">
        <v>200790</v>
      </c>
      <c r="I1650">
        <v>28900.6567</v>
      </c>
      <c r="J1650" s="2" t="s">
        <v>41</v>
      </c>
    </row>
    <row r="1651" spans="1:10" x14ac:dyDescent="0.35">
      <c r="A1651" s="1">
        <v>45450</v>
      </c>
      <c r="B1651" s="2" t="s">
        <v>31</v>
      </c>
      <c r="C1651" s="2" t="s">
        <v>23</v>
      </c>
      <c r="D1651" s="2" t="s">
        <v>17</v>
      </c>
      <c r="E1651" s="2" t="s">
        <v>24</v>
      </c>
      <c r="F1651">
        <v>616</v>
      </c>
      <c r="G1651">
        <v>410</v>
      </c>
      <c r="H1651">
        <v>252560</v>
      </c>
      <c r="I1651">
        <v>37963.522199999999</v>
      </c>
      <c r="J1651" s="2" t="s">
        <v>41</v>
      </c>
    </row>
    <row r="1652" spans="1:10" x14ac:dyDescent="0.35">
      <c r="A1652" s="1">
        <v>45451</v>
      </c>
      <c r="B1652" s="2" t="s">
        <v>19</v>
      </c>
      <c r="C1652" s="2" t="s">
        <v>29</v>
      </c>
      <c r="D1652" s="2" t="s">
        <v>17</v>
      </c>
      <c r="E1652" s="2" t="s">
        <v>18</v>
      </c>
      <c r="F1652">
        <v>102</v>
      </c>
      <c r="G1652">
        <v>319</v>
      </c>
      <c r="H1652">
        <v>32538</v>
      </c>
      <c r="I1652">
        <v>3584.7244999999998</v>
      </c>
      <c r="J1652" s="2" t="s">
        <v>41</v>
      </c>
    </row>
    <row r="1653" spans="1:10" x14ac:dyDescent="0.35">
      <c r="A1653" s="1">
        <v>45451</v>
      </c>
      <c r="B1653" s="2" t="s">
        <v>36</v>
      </c>
      <c r="C1653" s="2" t="s">
        <v>23</v>
      </c>
      <c r="D1653" s="2" t="s">
        <v>17</v>
      </c>
      <c r="E1653" s="2" t="s">
        <v>33</v>
      </c>
      <c r="F1653">
        <v>715</v>
      </c>
      <c r="G1653">
        <v>264</v>
      </c>
      <c r="H1653">
        <v>188760</v>
      </c>
      <c r="I1653">
        <v>15666.211799999999</v>
      </c>
      <c r="J1653" s="2" t="s">
        <v>41</v>
      </c>
    </row>
    <row r="1654" spans="1:10" x14ac:dyDescent="0.35">
      <c r="A1654" s="1">
        <v>45451</v>
      </c>
      <c r="B1654" s="2" t="s">
        <v>34</v>
      </c>
      <c r="C1654" s="2" t="s">
        <v>20</v>
      </c>
      <c r="D1654" s="2" t="s">
        <v>17</v>
      </c>
      <c r="E1654" s="2" t="s">
        <v>32</v>
      </c>
      <c r="F1654">
        <v>859</v>
      </c>
      <c r="G1654">
        <v>171</v>
      </c>
      <c r="H1654">
        <v>146889</v>
      </c>
      <c r="I1654">
        <v>27787.065600000002</v>
      </c>
      <c r="J1654" s="2" t="s">
        <v>41</v>
      </c>
    </row>
    <row r="1655" spans="1:10" x14ac:dyDescent="0.35">
      <c r="A1655" s="1">
        <v>45452</v>
      </c>
      <c r="B1655" s="2" t="s">
        <v>19</v>
      </c>
      <c r="C1655" s="2" t="s">
        <v>23</v>
      </c>
      <c r="D1655" s="2" t="s">
        <v>21</v>
      </c>
      <c r="E1655" s="2" t="s">
        <v>33</v>
      </c>
      <c r="F1655">
        <v>520</v>
      </c>
      <c r="G1655">
        <v>460</v>
      </c>
      <c r="H1655">
        <v>239200</v>
      </c>
      <c r="I1655">
        <v>56726.970800000003</v>
      </c>
      <c r="J1655" s="2" t="s">
        <v>41</v>
      </c>
    </row>
    <row r="1656" spans="1:10" x14ac:dyDescent="0.35">
      <c r="A1656" s="1">
        <v>45452</v>
      </c>
      <c r="B1656" s="2" t="s">
        <v>15</v>
      </c>
      <c r="C1656" s="2" t="s">
        <v>27</v>
      </c>
      <c r="D1656" s="2" t="s">
        <v>12</v>
      </c>
      <c r="E1656" s="2" t="s">
        <v>28</v>
      </c>
      <c r="F1656">
        <v>643</v>
      </c>
      <c r="G1656">
        <v>358</v>
      </c>
      <c r="H1656">
        <v>230194</v>
      </c>
      <c r="I1656">
        <v>33751.497000000003</v>
      </c>
      <c r="J1656" s="2" t="s">
        <v>41</v>
      </c>
    </row>
    <row r="1657" spans="1:10" x14ac:dyDescent="0.35">
      <c r="A1657" s="1">
        <v>45452</v>
      </c>
      <c r="B1657" s="2" t="s">
        <v>15</v>
      </c>
      <c r="C1657" s="2" t="s">
        <v>11</v>
      </c>
      <c r="D1657" s="2" t="s">
        <v>12</v>
      </c>
      <c r="E1657" s="2" t="s">
        <v>32</v>
      </c>
      <c r="F1657">
        <v>303</v>
      </c>
      <c r="G1657">
        <v>163</v>
      </c>
      <c r="H1657">
        <v>49389</v>
      </c>
      <c r="I1657">
        <v>5804.9688999999998</v>
      </c>
      <c r="J1657" s="2" t="s">
        <v>41</v>
      </c>
    </row>
    <row r="1658" spans="1:10" x14ac:dyDescent="0.35">
      <c r="A1658" s="1">
        <v>45452</v>
      </c>
      <c r="B1658" s="2" t="s">
        <v>31</v>
      </c>
      <c r="C1658" s="2" t="s">
        <v>11</v>
      </c>
      <c r="D1658" s="2" t="s">
        <v>12</v>
      </c>
      <c r="E1658" s="2" t="s">
        <v>24</v>
      </c>
      <c r="F1658">
        <v>356</v>
      </c>
      <c r="G1658">
        <v>480</v>
      </c>
      <c r="H1658">
        <v>170880</v>
      </c>
      <c r="I1658">
        <v>39047.961900000002</v>
      </c>
      <c r="J1658" s="2" t="s">
        <v>41</v>
      </c>
    </row>
    <row r="1659" spans="1:10" x14ac:dyDescent="0.35">
      <c r="A1659" s="1">
        <v>45452</v>
      </c>
      <c r="B1659" s="2" t="s">
        <v>19</v>
      </c>
      <c r="C1659" s="2" t="s">
        <v>23</v>
      </c>
      <c r="D1659" s="2" t="s">
        <v>21</v>
      </c>
      <c r="E1659" s="2" t="s">
        <v>13</v>
      </c>
      <c r="F1659">
        <v>315</v>
      </c>
      <c r="G1659">
        <v>394</v>
      </c>
      <c r="H1659">
        <v>124110</v>
      </c>
      <c r="I1659">
        <v>12529.293</v>
      </c>
      <c r="J1659" s="2" t="s">
        <v>41</v>
      </c>
    </row>
    <row r="1660" spans="1:10" x14ac:dyDescent="0.35">
      <c r="A1660" s="1">
        <v>45453</v>
      </c>
      <c r="B1660" s="2" t="s">
        <v>15</v>
      </c>
      <c r="C1660" s="2" t="s">
        <v>27</v>
      </c>
      <c r="D1660" s="2" t="s">
        <v>12</v>
      </c>
      <c r="E1660" s="2" t="s">
        <v>35</v>
      </c>
      <c r="F1660">
        <v>559</v>
      </c>
      <c r="G1660">
        <v>229</v>
      </c>
      <c r="H1660">
        <v>128011</v>
      </c>
      <c r="I1660">
        <v>29207.263999999999</v>
      </c>
      <c r="J1660" s="2" t="s">
        <v>41</v>
      </c>
    </row>
    <row r="1661" spans="1:10" x14ac:dyDescent="0.35">
      <c r="A1661" s="1">
        <v>45453</v>
      </c>
      <c r="B1661" s="2" t="s">
        <v>15</v>
      </c>
      <c r="C1661" s="2" t="s">
        <v>11</v>
      </c>
      <c r="D1661" s="2" t="s">
        <v>21</v>
      </c>
      <c r="E1661" s="2" t="s">
        <v>24</v>
      </c>
      <c r="F1661">
        <v>558</v>
      </c>
      <c r="G1661">
        <v>231</v>
      </c>
      <c r="H1661">
        <v>128898</v>
      </c>
      <c r="I1661">
        <v>25732.951300000001</v>
      </c>
      <c r="J1661" s="2" t="s">
        <v>41</v>
      </c>
    </row>
    <row r="1662" spans="1:10" x14ac:dyDescent="0.35">
      <c r="A1662" s="1">
        <v>45455</v>
      </c>
      <c r="B1662" s="2" t="s">
        <v>26</v>
      </c>
      <c r="C1662" s="2" t="s">
        <v>11</v>
      </c>
      <c r="D1662" s="2" t="s">
        <v>21</v>
      </c>
      <c r="E1662" s="2" t="s">
        <v>18</v>
      </c>
      <c r="F1662">
        <v>927</v>
      </c>
      <c r="G1662">
        <v>244</v>
      </c>
      <c r="H1662">
        <v>226188</v>
      </c>
      <c r="I1662">
        <v>46993.4686</v>
      </c>
      <c r="J1662" s="2" t="s">
        <v>41</v>
      </c>
    </row>
    <row r="1663" spans="1:10" x14ac:dyDescent="0.35">
      <c r="A1663" s="1">
        <v>45455</v>
      </c>
      <c r="B1663" s="2" t="s">
        <v>34</v>
      </c>
      <c r="C1663" s="2" t="s">
        <v>11</v>
      </c>
      <c r="D1663" s="2" t="s">
        <v>17</v>
      </c>
      <c r="E1663" s="2" t="s">
        <v>28</v>
      </c>
      <c r="F1663">
        <v>751</v>
      </c>
      <c r="G1663">
        <v>314</v>
      </c>
      <c r="H1663">
        <v>235814</v>
      </c>
      <c r="I1663">
        <v>29614.687999999998</v>
      </c>
      <c r="J1663" s="2" t="s">
        <v>41</v>
      </c>
    </row>
    <row r="1664" spans="1:10" x14ac:dyDescent="0.35">
      <c r="A1664" s="1">
        <v>45456</v>
      </c>
      <c r="B1664" s="2" t="s">
        <v>26</v>
      </c>
      <c r="C1664" s="2" t="s">
        <v>16</v>
      </c>
      <c r="D1664" s="2" t="s">
        <v>21</v>
      </c>
      <c r="E1664" s="2" t="s">
        <v>32</v>
      </c>
      <c r="F1664">
        <v>128</v>
      </c>
      <c r="G1664">
        <v>108</v>
      </c>
      <c r="H1664">
        <v>13824</v>
      </c>
      <c r="I1664">
        <v>3032.9380999999998</v>
      </c>
      <c r="J1664" s="2" t="s">
        <v>41</v>
      </c>
    </row>
    <row r="1665" spans="1:10" x14ac:dyDescent="0.35">
      <c r="A1665" s="1">
        <v>45457</v>
      </c>
      <c r="B1665" s="2" t="s">
        <v>15</v>
      </c>
      <c r="C1665" s="2" t="s">
        <v>23</v>
      </c>
      <c r="D1665" s="2" t="s">
        <v>30</v>
      </c>
      <c r="E1665" s="2" t="s">
        <v>13</v>
      </c>
      <c r="F1665">
        <v>960</v>
      </c>
      <c r="G1665">
        <v>265</v>
      </c>
      <c r="H1665">
        <v>254400</v>
      </c>
      <c r="I1665">
        <v>39915.280500000001</v>
      </c>
      <c r="J1665" s="2" t="s">
        <v>41</v>
      </c>
    </row>
    <row r="1666" spans="1:10" x14ac:dyDescent="0.35">
      <c r="A1666" s="1">
        <v>45458</v>
      </c>
      <c r="B1666" s="2" t="s">
        <v>25</v>
      </c>
      <c r="C1666" s="2" t="s">
        <v>29</v>
      </c>
      <c r="D1666" s="2" t="s">
        <v>17</v>
      </c>
      <c r="E1666" s="2" t="s">
        <v>22</v>
      </c>
      <c r="F1666">
        <v>732</v>
      </c>
      <c r="G1666">
        <v>493</v>
      </c>
      <c r="H1666">
        <v>360876</v>
      </c>
      <c r="I1666">
        <v>52026.063300000002</v>
      </c>
      <c r="J1666" s="2" t="s">
        <v>41</v>
      </c>
    </row>
    <row r="1667" spans="1:10" x14ac:dyDescent="0.35">
      <c r="A1667" s="1">
        <v>45458</v>
      </c>
      <c r="B1667" s="2" t="s">
        <v>19</v>
      </c>
      <c r="C1667" s="2" t="s">
        <v>20</v>
      </c>
      <c r="D1667" s="2" t="s">
        <v>21</v>
      </c>
      <c r="E1667" s="2" t="s">
        <v>18</v>
      </c>
      <c r="F1667">
        <v>787</v>
      </c>
      <c r="G1667">
        <v>377</v>
      </c>
      <c r="H1667">
        <v>296699</v>
      </c>
      <c r="I1667">
        <v>45205.3819</v>
      </c>
      <c r="J1667" s="2" t="s">
        <v>41</v>
      </c>
    </row>
    <row r="1668" spans="1:10" x14ac:dyDescent="0.35">
      <c r="A1668" s="1">
        <v>45458</v>
      </c>
      <c r="B1668" s="2" t="s">
        <v>19</v>
      </c>
      <c r="C1668" s="2" t="s">
        <v>27</v>
      </c>
      <c r="D1668" s="2" t="s">
        <v>21</v>
      </c>
      <c r="E1668" s="2" t="s">
        <v>28</v>
      </c>
      <c r="F1668">
        <v>814</v>
      </c>
      <c r="G1668">
        <v>294</v>
      </c>
      <c r="H1668">
        <v>239316</v>
      </c>
      <c r="I1668">
        <v>26458.052599999999</v>
      </c>
      <c r="J1668" s="2" t="s">
        <v>41</v>
      </c>
    </row>
    <row r="1669" spans="1:10" x14ac:dyDescent="0.35">
      <c r="A1669" s="1">
        <v>45458</v>
      </c>
      <c r="B1669" s="2" t="s">
        <v>10</v>
      </c>
      <c r="C1669" s="2" t="s">
        <v>23</v>
      </c>
      <c r="D1669" s="2" t="s">
        <v>21</v>
      </c>
      <c r="E1669" s="2" t="s">
        <v>33</v>
      </c>
      <c r="F1669">
        <v>672</v>
      </c>
      <c r="G1669">
        <v>152</v>
      </c>
      <c r="H1669">
        <v>102144</v>
      </c>
      <c r="I1669">
        <v>24480.167799999999</v>
      </c>
      <c r="J1669" s="2" t="s">
        <v>41</v>
      </c>
    </row>
    <row r="1670" spans="1:10" x14ac:dyDescent="0.35">
      <c r="A1670" s="1">
        <v>45459</v>
      </c>
      <c r="B1670" s="2" t="s">
        <v>25</v>
      </c>
      <c r="C1670" s="2" t="s">
        <v>20</v>
      </c>
      <c r="D1670" s="2" t="s">
        <v>21</v>
      </c>
      <c r="E1670" s="2" t="s">
        <v>28</v>
      </c>
      <c r="F1670">
        <v>879</v>
      </c>
      <c r="G1670">
        <v>226</v>
      </c>
      <c r="H1670">
        <v>198654</v>
      </c>
      <c r="I1670">
        <v>36759.652499999997</v>
      </c>
      <c r="J1670" s="2" t="s">
        <v>41</v>
      </c>
    </row>
    <row r="1671" spans="1:10" x14ac:dyDescent="0.35">
      <c r="A1671" s="1">
        <v>45459</v>
      </c>
      <c r="B1671" s="2" t="s">
        <v>34</v>
      </c>
      <c r="C1671" s="2" t="s">
        <v>16</v>
      </c>
      <c r="D1671" s="2" t="s">
        <v>17</v>
      </c>
      <c r="E1671" s="2" t="s">
        <v>28</v>
      </c>
      <c r="F1671">
        <v>448</v>
      </c>
      <c r="G1671">
        <v>379</v>
      </c>
      <c r="H1671">
        <v>169792</v>
      </c>
      <c r="I1671">
        <v>17266.554700000001</v>
      </c>
      <c r="J1671" s="2" t="s">
        <v>41</v>
      </c>
    </row>
    <row r="1672" spans="1:10" x14ac:dyDescent="0.35">
      <c r="A1672" s="1">
        <v>45459</v>
      </c>
      <c r="B1672" s="2" t="s">
        <v>31</v>
      </c>
      <c r="C1672" s="2" t="s">
        <v>20</v>
      </c>
      <c r="D1672" s="2" t="s">
        <v>21</v>
      </c>
      <c r="E1672" s="2" t="s">
        <v>13</v>
      </c>
      <c r="F1672">
        <v>116</v>
      </c>
      <c r="G1672">
        <v>258</v>
      </c>
      <c r="H1672">
        <v>29928</v>
      </c>
      <c r="I1672">
        <v>6245.8424999999997</v>
      </c>
      <c r="J1672" s="2" t="s">
        <v>41</v>
      </c>
    </row>
    <row r="1673" spans="1:10" x14ac:dyDescent="0.35">
      <c r="A1673" s="1">
        <v>45460</v>
      </c>
      <c r="B1673" s="2" t="s">
        <v>19</v>
      </c>
      <c r="C1673" s="2" t="s">
        <v>11</v>
      </c>
      <c r="D1673" s="2" t="s">
        <v>21</v>
      </c>
      <c r="E1673" s="2" t="s">
        <v>13</v>
      </c>
      <c r="F1673">
        <v>834</v>
      </c>
      <c r="G1673">
        <v>191</v>
      </c>
      <c r="H1673">
        <v>159294</v>
      </c>
      <c r="I1673">
        <v>29896.800899999998</v>
      </c>
      <c r="J1673" s="2" t="s">
        <v>41</v>
      </c>
    </row>
    <row r="1674" spans="1:10" x14ac:dyDescent="0.35">
      <c r="A1674" s="1">
        <v>45460</v>
      </c>
      <c r="B1674" s="2" t="s">
        <v>15</v>
      </c>
      <c r="C1674" s="2" t="s">
        <v>20</v>
      </c>
      <c r="D1674" s="2" t="s">
        <v>12</v>
      </c>
      <c r="E1674" s="2" t="s">
        <v>35</v>
      </c>
      <c r="F1674">
        <v>996</v>
      </c>
      <c r="G1674">
        <v>230</v>
      </c>
      <c r="H1674">
        <v>229080</v>
      </c>
      <c r="I1674">
        <v>49249.921199999997</v>
      </c>
      <c r="J1674" s="2" t="s">
        <v>41</v>
      </c>
    </row>
    <row r="1675" spans="1:10" x14ac:dyDescent="0.35">
      <c r="A1675" s="1">
        <v>45460</v>
      </c>
      <c r="B1675" s="2" t="s">
        <v>10</v>
      </c>
      <c r="C1675" s="2" t="s">
        <v>27</v>
      </c>
      <c r="D1675" s="2" t="s">
        <v>21</v>
      </c>
      <c r="E1675" s="2" t="s">
        <v>33</v>
      </c>
      <c r="F1675">
        <v>515</v>
      </c>
      <c r="G1675">
        <v>160</v>
      </c>
      <c r="H1675">
        <v>82400</v>
      </c>
      <c r="I1675">
        <v>18437.768800000002</v>
      </c>
      <c r="J1675" s="2" t="s">
        <v>41</v>
      </c>
    </row>
    <row r="1676" spans="1:10" x14ac:dyDescent="0.35">
      <c r="A1676" s="1">
        <v>45461</v>
      </c>
      <c r="B1676" s="2" t="s">
        <v>36</v>
      </c>
      <c r="C1676" s="2" t="s">
        <v>27</v>
      </c>
      <c r="D1676" s="2" t="s">
        <v>21</v>
      </c>
      <c r="E1676" s="2" t="s">
        <v>18</v>
      </c>
      <c r="F1676">
        <v>472</v>
      </c>
      <c r="G1676">
        <v>206</v>
      </c>
      <c r="H1676">
        <v>97232</v>
      </c>
      <c r="I1676">
        <v>13295.8698</v>
      </c>
      <c r="J1676" s="2" t="s">
        <v>41</v>
      </c>
    </row>
    <row r="1677" spans="1:10" x14ac:dyDescent="0.35">
      <c r="A1677" s="1">
        <v>45462</v>
      </c>
      <c r="B1677" s="2" t="s">
        <v>10</v>
      </c>
      <c r="C1677" s="2" t="s">
        <v>23</v>
      </c>
      <c r="D1677" s="2" t="s">
        <v>17</v>
      </c>
      <c r="E1677" s="2" t="s">
        <v>33</v>
      </c>
      <c r="F1677">
        <v>694</v>
      </c>
      <c r="G1677">
        <v>399</v>
      </c>
      <c r="H1677">
        <v>276906</v>
      </c>
      <c r="I1677">
        <v>25275.896400000001</v>
      </c>
      <c r="J1677" s="2" t="s">
        <v>41</v>
      </c>
    </row>
    <row r="1678" spans="1:10" x14ac:dyDescent="0.35">
      <c r="A1678" s="1">
        <v>45462</v>
      </c>
      <c r="B1678" s="2" t="s">
        <v>15</v>
      </c>
      <c r="C1678" s="2" t="s">
        <v>20</v>
      </c>
      <c r="D1678" s="2" t="s">
        <v>12</v>
      </c>
      <c r="E1678" s="2" t="s">
        <v>24</v>
      </c>
      <c r="F1678">
        <v>383</v>
      </c>
      <c r="G1678">
        <v>290</v>
      </c>
      <c r="H1678">
        <v>111070</v>
      </c>
      <c r="I1678">
        <v>26090.4774</v>
      </c>
      <c r="J1678" s="2" t="s">
        <v>41</v>
      </c>
    </row>
    <row r="1679" spans="1:10" x14ac:dyDescent="0.35">
      <c r="A1679" s="1">
        <v>45462</v>
      </c>
      <c r="B1679" s="2" t="s">
        <v>34</v>
      </c>
      <c r="C1679" s="2" t="s">
        <v>23</v>
      </c>
      <c r="D1679" s="2" t="s">
        <v>12</v>
      </c>
      <c r="E1679" s="2" t="s">
        <v>33</v>
      </c>
      <c r="F1679">
        <v>133</v>
      </c>
      <c r="G1679">
        <v>444</v>
      </c>
      <c r="H1679">
        <v>59052</v>
      </c>
      <c r="I1679">
        <v>7244.915</v>
      </c>
      <c r="J1679" s="2" t="s">
        <v>41</v>
      </c>
    </row>
    <row r="1680" spans="1:10" x14ac:dyDescent="0.35">
      <c r="A1680" s="1">
        <v>45463</v>
      </c>
      <c r="B1680" s="2" t="s">
        <v>36</v>
      </c>
      <c r="C1680" s="2" t="s">
        <v>16</v>
      </c>
      <c r="D1680" s="2" t="s">
        <v>21</v>
      </c>
      <c r="E1680" s="2" t="s">
        <v>33</v>
      </c>
      <c r="F1680">
        <v>916</v>
      </c>
      <c r="G1680">
        <v>479</v>
      </c>
      <c r="H1680">
        <v>438764</v>
      </c>
      <c r="I1680">
        <v>83693.382500000007</v>
      </c>
      <c r="J1680" s="2" t="s">
        <v>41</v>
      </c>
    </row>
    <row r="1681" spans="1:10" x14ac:dyDescent="0.35">
      <c r="A1681" s="1">
        <v>45463</v>
      </c>
      <c r="B1681" s="2" t="s">
        <v>26</v>
      </c>
      <c r="C1681" s="2" t="s">
        <v>27</v>
      </c>
      <c r="D1681" s="2" t="s">
        <v>21</v>
      </c>
      <c r="E1681" s="2" t="s">
        <v>35</v>
      </c>
      <c r="F1681">
        <v>58</v>
      </c>
      <c r="G1681">
        <v>223</v>
      </c>
      <c r="H1681">
        <v>12934</v>
      </c>
      <c r="I1681">
        <v>1956.1371999999999</v>
      </c>
      <c r="J1681" s="2" t="s">
        <v>41</v>
      </c>
    </row>
    <row r="1682" spans="1:10" x14ac:dyDescent="0.35">
      <c r="A1682" s="1">
        <v>45463</v>
      </c>
      <c r="B1682" s="2" t="s">
        <v>10</v>
      </c>
      <c r="C1682" s="2" t="s">
        <v>23</v>
      </c>
      <c r="D1682" s="2" t="s">
        <v>30</v>
      </c>
      <c r="E1682" s="2" t="s">
        <v>22</v>
      </c>
      <c r="F1682">
        <v>95</v>
      </c>
      <c r="G1682">
        <v>230</v>
      </c>
      <c r="H1682">
        <v>21850</v>
      </c>
      <c r="I1682">
        <v>4031.0237999999999</v>
      </c>
      <c r="J1682" s="2" t="s">
        <v>41</v>
      </c>
    </row>
    <row r="1683" spans="1:10" x14ac:dyDescent="0.35">
      <c r="A1683" s="1">
        <v>45463</v>
      </c>
      <c r="B1683" s="2" t="s">
        <v>10</v>
      </c>
      <c r="C1683" s="2" t="s">
        <v>11</v>
      </c>
      <c r="D1683" s="2" t="s">
        <v>30</v>
      </c>
      <c r="E1683" s="2" t="s">
        <v>35</v>
      </c>
      <c r="F1683">
        <v>921</v>
      </c>
      <c r="G1683">
        <v>195</v>
      </c>
      <c r="H1683">
        <v>179595</v>
      </c>
      <c r="I1683">
        <v>43257.178599999999</v>
      </c>
      <c r="J1683" s="2" t="s">
        <v>41</v>
      </c>
    </row>
    <row r="1684" spans="1:10" x14ac:dyDescent="0.35">
      <c r="A1684" s="1">
        <v>45464</v>
      </c>
      <c r="B1684" s="2" t="s">
        <v>34</v>
      </c>
      <c r="C1684" s="2" t="s">
        <v>20</v>
      </c>
      <c r="D1684" s="2" t="s">
        <v>12</v>
      </c>
      <c r="E1684" s="2" t="s">
        <v>24</v>
      </c>
      <c r="F1684">
        <v>162</v>
      </c>
      <c r="G1684">
        <v>158</v>
      </c>
      <c r="H1684">
        <v>25596</v>
      </c>
      <c r="I1684">
        <v>4757.2487000000001</v>
      </c>
      <c r="J1684" s="2" t="s">
        <v>41</v>
      </c>
    </row>
    <row r="1685" spans="1:10" x14ac:dyDescent="0.35">
      <c r="A1685" s="1">
        <v>45466</v>
      </c>
      <c r="B1685" s="2" t="s">
        <v>25</v>
      </c>
      <c r="C1685" s="2" t="s">
        <v>11</v>
      </c>
      <c r="D1685" s="2" t="s">
        <v>30</v>
      </c>
      <c r="E1685" s="2" t="s">
        <v>13</v>
      </c>
      <c r="F1685">
        <v>594</v>
      </c>
      <c r="G1685">
        <v>117</v>
      </c>
      <c r="H1685">
        <v>69498</v>
      </c>
      <c r="I1685">
        <v>8564.8881999999994</v>
      </c>
      <c r="J1685" s="2" t="s">
        <v>41</v>
      </c>
    </row>
    <row r="1686" spans="1:10" x14ac:dyDescent="0.35">
      <c r="A1686" s="1">
        <v>45466</v>
      </c>
      <c r="B1686" s="2" t="s">
        <v>34</v>
      </c>
      <c r="C1686" s="2" t="s">
        <v>27</v>
      </c>
      <c r="D1686" s="2" t="s">
        <v>21</v>
      </c>
      <c r="E1686" s="2" t="s">
        <v>22</v>
      </c>
      <c r="F1686">
        <v>321</v>
      </c>
      <c r="G1686">
        <v>433</v>
      </c>
      <c r="H1686">
        <v>138993</v>
      </c>
      <c r="I1686">
        <v>19540.145700000001</v>
      </c>
      <c r="J1686" s="2" t="s">
        <v>41</v>
      </c>
    </row>
    <row r="1687" spans="1:10" x14ac:dyDescent="0.35">
      <c r="A1687" s="1">
        <v>45466</v>
      </c>
      <c r="B1687" s="2" t="s">
        <v>36</v>
      </c>
      <c r="C1687" s="2" t="s">
        <v>16</v>
      </c>
      <c r="D1687" s="2" t="s">
        <v>21</v>
      </c>
      <c r="E1687" s="2" t="s">
        <v>18</v>
      </c>
      <c r="F1687">
        <v>921</v>
      </c>
      <c r="G1687">
        <v>170</v>
      </c>
      <c r="H1687">
        <v>156570</v>
      </c>
      <c r="I1687">
        <v>26195.8076</v>
      </c>
      <c r="J1687" s="2" t="s">
        <v>41</v>
      </c>
    </row>
    <row r="1688" spans="1:10" x14ac:dyDescent="0.35">
      <c r="A1688" s="1">
        <v>45466</v>
      </c>
      <c r="B1688" s="2" t="s">
        <v>36</v>
      </c>
      <c r="C1688" s="2" t="s">
        <v>29</v>
      </c>
      <c r="D1688" s="2" t="s">
        <v>30</v>
      </c>
      <c r="E1688" s="2" t="s">
        <v>28</v>
      </c>
      <c r="F1688">
        <v>960</v>
      </c>
      <c r="G1688">
        <v>289</v>
      </c>
      <c r="H1688">
        <v>277440</v>
      </c>
      <c r="I1688">
        <v>34308.024599999997</v>
      </c>
      <c r="J1688" s="2" t="s">
        <v>41</v>
      </c>
    </row>
    <row r="1689" spans="1:10" x14ac:dyDescent="0.35">
      <c r="A1689" s="1">
        <v>45466</v>
      </c>
      <c r="B1689" s="2" t="s">
        <v>26</v>
      </c>
      <c r="C1689" s="2" t="s">
        <v>11</v>
      </c>
      <c r="D1689" s="2" t="s">
        <v>30</v>
      </c>
      <c r="E1689" s="2" t="s">
        <v>13</v>
      </c>
      <c r="F1689">
        <v>653</v>
      </c>
      <c r="G1689">
        <v>389</v>
      </c>
      <c r="H1689">
        <v>254017</v>
      </c>
      <c r="I1689">
        <v>31337.807000000001</v>
      </c>
      <c r="J1689" s="2" t="s">
        <v>41</v>
      </c>
    </row>
    <row r="1690" spans="1:10" x14ac:dyDescent="0.35">
      <c r="A1690" s="1">
        <v>45466</v>
      </c>
      <c r="B1690" s="2" t="s">
        <v>19</v>
      </c>
      <c r="C1690" s="2" t="s">
        <v>23</v>
      </c>
      <c r="D1690" s="2" t="s">
        <v>12</v>
      </c>
      <c r="E1690" s="2" t="s">
        <v>32</v>
      </c>
      <c r="F1690">
        <v>619</v>
      </c>
      <c r="G1690">
        <v>389</v>
      </c>
      <c r="H1690">
        <v>240791</v>
      </c>
      <c r="I1690">
        <v>33263.639300000003</v>
      </c>
      <c r="J1690" s="2" t="s">
        <v>41</v>
      </c>
    </row>
    <row r="1691" spans="1:10" x14ac:dyDescent="0.35">
      <c r="A1691" s="1">
        <v>45467</v>
      </c>
      <c r="B1691" s="2" t="s">
        <v>25</v>
      </c>
      <c r="C1691" s="2" t="s">
        <v>29</v>
      </c>
      <c r="D1691" s="2" t="s">
        <v>17</v>
      </c>
      <c r="E1691" s="2" t="s">
        <v>35</v>
      </c>
      <c r="F1691">
        <v>476</v>
      </c>
      <c r="G1691">
        <v>212</v>
      </c>
      <c r="H1691">
        <v>100912</v>
      </c>
      <c r="I1691">
        <v>13842.140600000001</v>
      </c>
      <c r="J1691" s="2" t="s">
        <v>41</v>
      </c>
    </row>
    <row r="1692" spans="1:10" x14ac:dyDescent="0.35">
      <c r="A1692" s="1">
        <v>45467</v>
      </c>
      <c r="B1692" s="2" t="s">
        <v>15</v>
      </c>
      <c r="C1692" s="2" t="s">
        <v>29</v>
      </c>
      <c r="D1692" s="2" t="s">
        <v>12</v>
      </c>
      <c r="E1692" s="2" t="s">
        <v>35</v>
      </c>
      <c r="F1692">
        <v>249</v>
      </c>
      <c r="G1692">
        <v>163</v>
      </c>
      <c r="H1692">
        <v>40587</v>
      </c>
      <c r="I1692">
        <v>8097.9507999999996</v>
      </c>
      <c r="J1692" s="2" t="s">
        <v>41</v>
      </c>
    </row>
    <row r="1693" spans="1:10" x14ac:dyDescent="0.35">
      <c r="A1693" s="1">
        <v>45467</v>
      </c>
      <c r="B1693" s="2" t="s">
        <v>25</v>
      </c>
      <c r="C1693" s="2" t="s">
        <v>11</v>
      </c>
      <c r="D1693" s="2" t="s">
        <v>12</v>
      </c>
      <c r="E1693" s="2" t="s">
        <v>24</v>
      </c>
      <c r="F1693">
        <v>156</v>
      </c>
      <c r="G1693">
        <v>116</v>
      </c>
      <c r="H1693">
        <v>18096</v>
      </c>
      <c r="I1693">
        <v>4514.2340000000004</v>
      </c>
      <c r="J1693" s="2" t="s">
        <v>41</v>
      </c>
    </row>
    <row r="1694" spans="1:10" x14ac:dyDescent="0.35">
      <c r="A1694" s="1">
        <v>45467</v>
      </c>
      <c r="B1694" s="2" t="s">
        <v>10</v>
      </c>
      <c r="C1694" s="2" t="s">
        <v>23</v>
      </c>
      <c r="D1694" s="2" t="s">
        <v>30</v>
      </c>
      <c r="E1694" s="2" t="s">
        <v>33</v>
      </c>
      <c r="F1694">
        <v>465</v>
      </c>
      <c r="G1694">
        <v>278</v>
      </c>
      <c r="H1694">
        <v>129270</v>
      </c>
      <c r="I1694">
        <v>18118.2281</v>
      </c>
      <c r="J1694" s="2" t="s">
        <v>41</v>
      </c>
    </row>
    <row r="1695" spans="1:10" x14ac:dyDescent="0.35">
      <c r="A1695" s="1">
        <v>45468</v>
      </c>
      <c r="B1695" s="2" t="s">
        <v>15</v>
      </c>
      <c r="C1695" s="2" t="s">
        <v>11</v>
      </c>
      <c r="D1695" s="2" t="s">
        <v>12</v>
      </c>
      <c r="E1695" s="2" t="s">
        <v>35</v>
      </c>
      <c r="F1695">
        <v>567</v>
      </c>
      <c r="G1695">
        <v>245</v>
      </c>
      <c r="H1695">
        <v>138915</v>
      </c>
      <c r="I1695">
        <v>21439.731400000001</v>
      </c>
      <c r="J1695" s="2" t="s">
        <v>41</v>
      </c>
    </row>
    <row r="1696" spans="1:10" x14ac:dyDescent="0.35">
      <c r="A1696" s="1">
        <v>45468</v>
      </c>
      <c r="B1696" s="2" t="s">
        <v>10</v>
      </c>
      <c r="C1696" s="2" t="s">
        <v>27</v>
      </c>
      <c r="D1696" s="2" t="s">
        <v>30</v>
      </c>
      <c r="E1696" s="2" t="s">
        <v>33</v>
      </c>
      <c r="F1696">
        <v>633</v>
      </c>
      <c r="G1696">
        <v>440</v>
      </c>
      <c r="H1696">
        <v>278520</v>
      </c>
      <c r="I1696">
        <v>46410.434099999999</v>
      </c>
      <c r="J1696" s="2" t="s">
        <v>41</v>
      </c>
    </row>
    <row r="1697" spans="1:10" x14ac:dyDescent="0.35">
      <c r="A1697" s="1">
        <v>45468</v>
      </c>
      <c r="B1697" s="2" t="s">
        <v>34</v>
      </c>
      <c r="C1697" s="2" t="s">
        <v>29</v>
      </c>
      <c r="D1697" s="2" t="s">
        <v>21</v>
      </c>
      <c r="E1697" s="2" t="s">
        <v>28</v>
      </c>
      <c r="F1697">
        <v>562</v>
      </c>
      <c r="G1697">
        <v>476</v>
      </c>
      <c r="H1697">
        <v>267512</v>
      </c>
      <c r="I1697">
        <v>23413.058400000002</v>
      </c>
      <c r="J1697" s="2" t="s">
        <v>41</v>
      </c>
    </row>
    <row r="1698" spans="1:10" x14ac:dyDescent="0.35">
      <c r="A1698" s="1">
        <v>45468</v>
      </c>
      <c r="B1698" s="2" t="s">
        <v>26</v>
      </c>
      <c r="C1698" s="2" t="s">
        <v>16</v>
      </c>
      <c r="D1698" s="2" t="s">
        <v>21</v>
      </c>
      <c r="E1698" s="2" t="s">
        <v>33</v>
      </c>
      <c r="F1698">
        <v>509</v>
      </c>
      <c r="G1698">
        <v>188</v>
      </c>
      <c r="H1698">
        <v>95692</v>
      </c>
      <c r="I1698">
        <v>9683.4704000000002</v>
      </c>
      <c r="J1698" s="2" t="s">
        <v>41</v>
      </c>
    </row>
    <row r="1699" spans="1:10" x14ac:dyDescent="0.35">
      <c r="A1699" s="1">
        <v>45468</v>
      </c>
      <c r="B1699" s="2" t="s">
        <v>19</v>
      </c>
      <c r="C1699" s="2" t="s">
        <v>11</v>
      </c>
      <c r="D1699" s="2" t="s">
        <v>30</v>
      </c>
      <c r="E1699" s="2" t="s">
        <v>35</v>
      </c>
      <c r="F1699">
        <v>334</v>
      </c>
      <c r="G1699">
        <v>302</v>
      </c>
      <c r="H1699">
        <v>100868</v>
      </c>
      <c r="I1699">
        <v>14316.8</v>
      </c>
      <c r="J1699" s="2" t="s">
        <v>41</v>
      </c>
    </row>
    <row r="1700" spans="1:10" x14ac:dyDescent="0.35">
      <c r="A1700" s="1">
        <v>45469</v>
      </c>
      <c r="B1700" s="2" t="s">
        <v>19</v>
      </c>
      <c r="C1700" s="2" t="s">
        <v>29</v>
      </c>
      <c r="D1700" s="2" t="s">
        <v>12</v>
      </c>
      <c r="E1700" s="2" t="s">
        <v>18</v>
      </c>
      <c r="F1700">
        <v>975</v>
      </c>
      <c r="G1700">
        <v>367</v>
      </c>
      <c r="H1700">
        <v>357825</v>
      </c>
      <c r="I1700">
        <v>68362.221399999995</v>
      </c>
      <c r="J1700" s="2" t="s">
        <v>41</v>
      </c>
    </row>
    <row r="1701" spans="1:10" x14ac:dyDescent="0.35">
      <c r="A1701" s="1">
        <v>45469</v>
      </c>
      <c r="B1701" s="2" t="s">
        <v>15</v>
      </c>
      <c r="C1701" s="2" t="s">
        <v>23</v>
      </c>
      <c r="D1701" s="2" t="s">
        <v>12</v>
      </c>
      <c r="E1701" s="2" t="s">
        <v>18</v>
      </c>
      <c r="F1701">
        <v>368</v>
      </c>
      <c r="G1701">
        <v>357</v>
      </c>
      <c r="H1701">
        <v>131376</v>
      </c>
      <c r="I1701">
        <v>18153.338100000001</v>
      </c>
      <c r="J1701" s="2" t="s">
        <v>41</v>
      </c>
    </row>
    <row r="1702" spans="1:10" x14ac:dyDescent="0.35">
      <c r="A1702" s="1">
        <v>45470</v>
      </c>
      <c r="B1702" s="2" t="s">
        <v>31</v>
      </c>
      <c r="C1702" s="2" t="s">
        <v>29</v>
      </c>
      <c r="D1702" s="2" t="s">
        <v>17</v>
      </c>
      <c r="E1702" s="2" t="s">
        <v>32</v>
      </c>
      <c r="F1702">
        <v>579</v>
      </c>
      <c r="G1702">
        <v>465</v>
      </c>
      <c r="H1702">
        <v>269235</v>
      </c>
      <c r="I1702">
        <v>38092.184500000003</v>
      </c>
      <c r="J1702" s="2" t="s">
        <v>41</v>
      </c>
    </row>
    <row r="1703" spans="1:10" x14ac:dyDescent="0.35">
      <c r="A1703" s="1">
        <v>45470</v>
      </c>
      <c r="B1703" s="2" t="s">
        <v>31</v>
      </c>
      <c r="C1703" s="2" t="s">
        <v>11</v>
      </c>
      <c r="D1703" s="2" t="s">
        <v>12</v>
      </c>
      <c r="E1703" s="2" t="s">
        <v>35</v>
      </c>
      <c r="F1703">
        <v>146</v>
      </c>
      <c r="G1703">
        <v>110</v>
      </c>
      <c r="H1703">
        <v>16060</v>
      </c>
      <c r="I1703">
        <v>3220.3939</v>
      </c>
      <c r="J1703" s="2" t="s">
        <v>41</v>
      </c>
    </row>
    <row r="1704" spans="1:10" x14ac:dyDescent="0.35">
      <c r="A1704" s="1">
        <v>45470</v>
      </c>
      <c r="B1704" s="2" t="s">
        <v>34</v>
      </c>
      <c r="C1704" s="2" t="s">
        <v>11</v>
      </c>
      <c r="D1704" s="2" t="s">
        <v>12</v>
      </c>
      <c r="E1704" s="2" t="s">
        <v>18</v>
      </c>
      <c r="F1704">
        <v>862</v>
      </c>
      <c r="G1704">
        <v>384</v>
      </c>
      <c r="H1704">
        <v>331008</v>
      </c>
      <c r="I1704">
        <v>60731.460700000003</v>
      </c>
      <c r="J1704" s="2" t="s">
        <v>41</v>
      </c>
    </row>
    <row r="1705" spans="1:10" x14ac:dyDescent="0.35">
      <c r="A1705" s="1">
        <v>45472</v>
      </c>
      <c r="B1705" s="2" t="s">
        <v>10</v>
      </c>
      <c r="C1705" s="2" t="s">
        <v>20</v>
      </c>
      <c r="D1705" s="2" t="s">
        <v>30</v>
      </c>
      <c r="E1705" s="2" t="s">
        <v>33</v>
      </c>
      <c r="F1705">
        <v>627</v>
      </c>
      <c r="G1705">
        <v>461</v>
      </c>
      <c r="H1705">
        <v>289047</v>
      </c>
      <c r="I1705">
        <v>27536.217199999999</v>
      </c>
      <c r="J1705" s="2" t="s">
        <v>41</v>
      </c>
    </row>
    <row r="1706" spans="1:10" x14ac:dyDescent="0.35">
      <c r="A1706" s="1">
        <v>45472</v>
      </c>
      <c r="B1706" s="2" t="s">
        <v>26</v>
      </c>
      <c r="C1706" s="2" t="s">
        <v>20</v>
      </c>
      <c r="D1706" s="2" t="s">
        <v>30</v>
      </c>
      <c r="E1706" s="2" t="s">
        <v>13</v>
      </c>
      <c r="F1706">
        <v>205</v>
      </c>
      <c r="G1706">
        <v>214</v>
      </c>
      <c r="H1706">
        <v>43870</v>
      </c>
      <c r="I1706">
        <v>6610.2148999999999</v>
      </c>
      <c r="J1706" s="2" t="s">
        <v>41</v>
      </c>
    </row>
    <row r="1707" spans="1:10" x14ac:dyDescent="0.35">
      <c r="A1707" s="1">
        <v>45472</v>
      </c>
      <c r="B1707" s="2" t="s">
        <v>36</v>
      </c>
      <c r="C1707" s="2" t="s">
        <v>20</v>
      </c>
      <c r="D1707" s="2" t="s">
        <v>17</v>
      </c>
      <c r="E1707" s="2" t="s">
        <v>32</v>
      </c>
      <c r="F1707">
        <v>205</v>
      </c>
      <c r="G1707">
        <v>116</v>
      </c>
      <c r="H1707">
        <v>23780</v>
      </c>
      <c r="I1707">
        <v>3182.2647000000002</v>
      </c>
      <c r="J1707" s="2" t="s">
        <v>41</v>
      </c>
    </row>
    <row r="1708" spans="1:10" x14ac:dyDescent="0.35">
      <c r="A1708" s="1">
        <v>45472</v>
      </c>
      <c r="B1708" s="2" t="s">
        <v>19</v>
      </c>
      <c r="C1708" s="2" t="s">
        <v>16</v>
      </c>
      <c r="D1708" s="2" t="s">
        <v>21</v>
      </c>
      <c r="E1708" s="2" t="s">
        <v>24</v>
      </c>
      <c r="F1708">
        <v>949</v>
      </c>
      <c r="G1708">
        <v>386</v>
      </c>
      <c r="H1708">
        <v>366314</v>
      </c>
      <c r="I1708">
        <v>70933.967000000004</v>
      </c>
      <c r="J1708" s="2" t="s">
        <v>41</v>
      </c>
    </row>
    <row r="1709" spans="1:10" x14ac:dyDescent="0.35">
      <c r="A1709" s="1">
        <v>45472</v>
      </c>
      <c r="B1709" s="2" t="s">
        <v>34</v>
      </c>
      <c r="C1709" s="2" t="s">
        <v>16</v>
      </c>
      <c r="D1709" s="2" t="s">
        <v>12</v>
      </c>
      <c r="E1709" s="2" t="s">
        <v>35</v>
      </c>
      <c r="F1709">
        <v>955</v>
      </c>
      <c r="G1709">
        <v>329</v>
      </c>
      <c r="H1709">
        <v>314195</v>
      </c>
      <c r="I1709">
        <v>66135.273199999996</v>
      </c>
      <c r="J1709" s="2" t="s">
        <v>41</v>
      </c>
    </row>
    <row r="1710" spans="1:10" x14ac:dyDescent="0.35">
      <c r="A1710" s="1">
        <v>45472</v>
      </c>
      <c r="B1710" s="2" t="s">
        <v>34</v>
      </c>
      <c r="C1710" s="2" t="s">
        <v>16</v>
      </c>
      <c r="D1710" s="2" t="s">
        <v>30</v>
      </c>
      <c r="E1710" s="2" t="s">
        <v>35</v>
      </c>
      <c r="F1710">
        <v>461</v>
      </c>
      <c r="G1710">
        <v>493</v>
      </c>
      <c r="H1710">
        <v>227273</v>
      </c>
      <c r="I1710">
        <v>56063.262499999997</v>
      </c>
      <c r="J1710" s="2" t="s">
        <v>41</v>
      </c>
    </row>
    <row r="1711" spans="1:10" x14ac:dyDescent="0.35">
      <c r="A1711" s="1">
        <v>45473</v>
      </c>
      <c r="B1711" s="2" t="s">
        <v>36</v>
      </c>
      <c r="C1711" s="2" t="s">
        <v>11</v>
      </c>
      <c r="D1711" s="2" t="s">
        <v>30</v>
      </c>
      <c r="E1711" s="2" t="s">
        <v>18</v>
      </c>
      <c r="F1711">
        <v>384</v>
      </c>
      <c r="G1711">
        <v>159</v>
      </c>
      <c r="H1711">
        <v>61056</v>
      </c>
      <c r="I1711">
        <v>13030.0897</v>
      </c>
      <c r="J1711" s="2" t="s">
        <v>41</v>
      </c>
    </row>
    <row r="1712" spans="1:10" x14ac:dyDescent="0.35">
      <c r="A1712" s="1">
        <v>45473</v>
      </c>
      <c r="B1712" s="2" t="s">
        <v>31</v>
      </c>
      <c r="C1712" s="2" t="s">
        <v>20</v>
      </c>
      <c r="D1712" s="2" t="s">
        <v>17</v>
      </c>
      <c r="E1712" s="2" t="s">
        <v>35</v>
      </c>
      <c r="F1712">
        <v>796</v>
      </c>
      <c r="G1712">
        <v>230</v>
      </c>
      <c r="H1712">
        <v>183080</v>
      </c>
      <c r="I1712">
        <v>22457.577499999999</v>
      </c>
      <c r="J1712" s="2" t="s">
        <v>41</v>
      </c>
    </row>
    <row r="1713" spans="1:10" x14ac:dyDescent="0.35">
      <c r="A1713" s="1">
        <v>45473</v>
      </c>
      <c r="B1713" s="2" t="s">
        <v>36</v>
      </c>
      <c r="C1713" s="2" t="s">
        <v>23</v>
      </c>
      <c r="D1713" s="2" t="s">
        <v>30</v>
      </c>
      <c r="E1713" s="2" t="s">
        <v>28</v>
      </c>
      <c r="F1713">
        <v>123</v>
      </c>
      <c r="G1713">
        <v>392</v>
      </c>
      <c r="H1713">
        <v>48216</v>
      </c>
      <c r="I1713">
        <v>5653.9993999999997</v>
      </c>
      <c r="J1713" s="2" t="s">
        <v>41</v>
      </c>
    </row>
    <row r="1714" spans="1:10" x14ac:dyDescent="0.35">
      <c r="A1714" s="1">
        <v>45473</v>
      </c>
      <c r="B1714" s="2" t="s">
        <v>15</v>
      </c>
      <c r="C1714" s="2" t="s">
        <v>11</v>
      </c>
      <c r="D1714" s="2" t="s">
        <v>21</v>
      </c>
      <c r="E1714" s="2" t="s">
        <v>13</v>
      </c>
      <c r="F1714">
        <v>146</v>
      </c>
      <c r="G1714">
        <v>380</v>
      </c>
      <c r="H1714">
        <v>55480</v>
      </c>
      <c r="I1714">
        <v>5873.6133</v>
      </c>
      <c r="J1714" s="2" t="s">
        <v>41</v>
      </c>
    </row>
    <row r="1715" spans="1:10" x14ac:dyDescent="0.35">
      <c r="A1715" s="1">
        <v>45474</v>
      </c>
      <c r="B1715" s="2" t="s">
        <v>10</v>
      </c>
      <c r="C1715" s="2" t="s">
        <v>27</v>
      </c>
      <c r="D1715" s="2" t="s">
        <v>30</v>
      </c>
      <c r="E1715" s="2" t="s">
        <v>24</v>
      </c>
      <c r="F1715">
        <v>360</v>
      </c>
      <c r="G1715">
        <v>341</v>
      </c>
      <c r="H1715">
        <v>122760</v>
      </c>
      <c r="I1715">
        <v>24131.372899999998</v>
      </c>
      <c r="J1715" s="2" t="s">
        <v>42</v>
      </c>
    </row>
    <row r="1716" spans="1:10" x14ac:dyDescent="0.35">
      <c r="A1716" s="1">
        <v>45474</v>
      </c>
      <c r="B1716" s="2" t="s">
        <v>15</v>
      </c>
      <c r="C1716" s="2" t="s">
        <v>29</v>
      </c>
      <c r="D1716" s="2" t="s">
        <v>30</v>
      </c>
      <c r="E1716" s="2" t="s">
        <v>32</v>
      </c>
      <c r="F1716">
        <v>820</v>
      </c>
      <c r="G1716">
        <v>249</v>
      </c>
      <c r="H1716">
        <v>204180</v>
      </c>
      <c r="I1716">
        <v>48934.839099999997</v>
      </c>
      <c r="J1716" s="2" t="s">
        <v>42</v>
      </c>
    </row>
    <row r="1717" spans="1:10" x14ac:dyDescent="0.35">
      <c r="A1717" s="1">
        <v>45475</v>
      </c>
      <c r="B1717" s="2" t="s">
        <v>36</v>
      </c>
      <c r="C1717" s="2" t="s">
        <v>29</v>
      </c>
      <c r="D1717" s="2" t="s">
        <v>12</v>
      </c>
      <c r="E1717" s="2" t="s">
        <v>24</v>
      </c>
      <c r="F1717">
        <v>742</v>
      </c>
      <c r="G1717">
        <v>492</v>
      </c>
      <c r="H1717">
        <v>365064</v>
      </c>
      <c r="I1717">
        <v>55083.799700000003</v>
      </c>
      <c r="J1717" s="2" t="s">
        <v>42</v>
      </c>
    </row>
    <row r="1718" spans="1:10" x14ac:dyDescent="0.35">
      <c r="A1718" s="1">
        <v>45475</v>
      </c>
      <c r="B1718" s="2" t="s">
        <v>34</v>
      </c>
      <c r="C1718" s="2" t="s">
        <v>16</v>
      </c>
      <c r="D1718" s="2" t="s">
        <v>30</v>
      </c>
      <c r="E1718" s="2" t="s">
        <v>33</v>
      </c>
      <c r="F1718">
        <v>430</v>
      </c>
      <c r="G1718">
        <v>172</v>
      </c>
      <c r="H1718">
        <v>73960</v>
      </c>
      <c r="I1718">
        <v>17940.194100000001</v>
      </c>
      <c r="J1718" s="2" t="s">
        <v>42</v>
      </c>
    </row>
    <row r="1719" spans="1:10" x14ac:dyDescent="0.35">
      <c r="A1719" s="1">
        <v>45476</v>
      </c>
      <c r="B1719" s="2" t="s">
        <v>15</v>
      </c>
      <c r="C1719" s="2" t="s">
        <v>11</v>
      </c>
      <c r="D1719" s="2" t="s">
        <v>17</v>
      </c>
      <c r="E1719" s="2" t="s">
        <v>13</v>
      </c>
      <c r="F1719">
        <v>710</v>
      </c>
      <c r="G1719">
        <v>442</v>
      </c>
      <c r="H1719">
        <v>313820</v>
      </c>
      <c r="I1719">
        <v>49700.7667</v>
      </c>
      <c r="J1719" s="2" t="s">
        <v>42</v>
      </c>
    </row>
    <row r="1720" spans="1:10" x14ac:dyDescent="0.35">
      <c r="A1720" s="1">
        <v>45476</v>
      </c>
      <c r="B1720" s="2" t="s">
        <v>15</v>
      </c>
      <c r="C1720" s="2" t="s">
        <v>23</v>
      </c>
      <c r="D1720" s="2" t="s">
        <v>21</v>
      </c>
      <c r="E1720" s="2" t="s">
        <v>28</v>
      </c>
      <c r="F1720">
        <v>918</v>
      </c>
      <c r="G1720">
        <v>239</v>
      </c>
      <c r="H1720">
        <v>219402</v>
      </c>
      <c r="I1720">
        <v>24056.552800000001</v>
      </c>
      <c r="J1720" s="2" t="s">
        <v>42</v>
      </c>
    </row>
    <row r="1721" spans="1:10" x14ac:dyDescent="0.35">
      <c r="A1721" s="1">
        <v>45476</v>
      </c>
      <c r="B1721" s="2" t="s">
        <v>15</v>
      </c>
      <c r="C1721" s="2" t="s">
        <v>29</v>
      </c>
      <c r="D1721" s="2" t="s">
        <v>17</v>
      </c>
      <c r="E1721" s="2" t="s">
        <v>33</v>
      </c>
      <c r="F1721">
        <v>83</v>
      </c>
      <c r="G1721">
        <v>403</v>
      </c>
      <c r="H1721">
        <v>33449</v>
      </c>
      <c r="I1721">
        <v>6592.2681000000002</v>
      </c>
      <c r="J1721" s="2" t="s">
        <v>42</v>
      </c>
    </row>
    <row r="1722" spans="1:10" x14ac:dyDescent="0.35">
      <c r="A1722" s="1">
        <v>45477</v>
      </c>
      <c r="B1722" s="2" t="s">
        <v>15</v>
      </c>
      <c r="C1722" s="2" t="s">
        <v>23</v>
      </c>
      <c r="D1722" s="2" t="s">
        <v>30</v>
      </c>
      <c r="E1722" s="2" t="s">
        <v>35</v>
      </c>
      <c r="F1722">
        <v>882</v>
      </c>
      <c r="G1722">
        <v>342</v>
      </c>
      <c r="H1722">
        <v>301644</v>
      </c>
      <c r="I1722">
        <v>54713.402800000003</v>
      </c>
      <c r="J1722" s="2" t="s">
        <v>42</v>
      </c>
    </row>
    <row r="1723" spans="1:10" x14ac:dyDescent="0.35">
      <c r="A1723" s="1">
        <v>45477</v>
      </c>
      <c r="B1723" s="2" t="s">
        <v>31</v>
      </c>
      <c r="C1723" s="2" t="s">
        <v>27</v>
      </c>
      <c r="D1723" s="2" t="s">
        <v>21</v>
      </c>
      <c r="E1723" s="2" t="s">
        <v>32</v>
      </c>
      <c r="F1723">
        <v>803</v>
      </c>
      <c r="G1723">
        <v>301</v>
      </c>
      <c r="H1723">
        <v>241703</v>
      </c>
      <c r="I1723">
        <v>45028.842900000003</v>
      </c>
      <c r="J1723" s="2" t="s">
        <v>42</v>
      </c>
    </row>
    <row r="1724" spans="1:10" x14ac:dyDescent="0.35">
      <c r="A1724" s="1">
        <v>45477</v>
      </c>
      <c r="B1724" s="2" t="s">
        <v>25</v>
      </c>
      <c r="C1724" s="2" t="s">
        <v>27</v>
      </c>
      <c r="D1724" s="2" t="s">
        <v>21</v>
      </c>
      <c r="E1724" s="2" t="s">
        <v>32</v>
      </c>
      <c r="F1724">
        <v>589</v>
      </c>
      <c r="G1724">
        <v>242</v>
      </c>
      <c r="H1724">
        <v>142538</v>
      </c>
      <c r="I1724">
        <v>25035.695599999999</v>
      </c>
      <c r="J1724" s="2" t="s">
        <v>42</v>
      </c>
    </row>
    <row r="1725" spans="1:10" x14ac:dyDescent="0.35">
      <c r="A1725" s="1">
        <v>45478</v>
      </c>
      <c r="B1725" s="2" t="s">
        <v>15</v>
      </c>
      <c r="C1725" s="2" t="s">
        <v>23</v>
      </c>
      <c r="D1725" s="2" t="s">
        <v>21</v>
      </c>
      <c r="E1725" s="2" t="s">
        <v>13</v>
      </c>
      <c r="F1725">
        <v>952</v>
      </c>
      <c r="G1725">
        <v>117</v>
      </c>
      <c r="H1725">
        <v>111384</v>
      </c>
      <c r="I1725">
        <v>18790.937399999999</v>
      </c>
      <c r="J1725" s="2" t="s">
        <v>42</v>
      </c>
    </row>
    <row r="1726" spans="1:10" x14ac:dyDescent="0.35">
      <c r="A1726" s="1">
        <v>45478</v>
      </c>
      <c r="B1726" s="2" t="s">
        <v>26</v>
      </c>
      <c r="C1726" s="2" t="s">
        <v>29</v>
      </c>
      <c r="D1726" s="2" t="s">
        <v>12</v>
      </c>
      <c r="E1726" s="2" t="s">
        <v>32</v>
      </c>
      <c r="F1726">
        <v>475</v>
      </c>
      <c r="G1726">
        <v>292</v>
      </c>
      <c r="H1726">
        <v>138700</v>
      </c>
      <c r="I1726">
        <v>24738.773799999999</v>
      </c>
      <c r="J1726" s="2" t="s">
        <v>42</v>
      </c>
    </row>
    <row r="1727" spans="1:10" x14ac:dyDescent="0.35">
      <c r="A1727" s="1">
        <v>45479</v>
      </c>
      <c r="B1727" s="2" t="s">
        <v>19</v>
      </c>
      <c r="C1727" s="2" t="s">
        <v>20</v>
      </c>
      <c r="D1727" s="2" t="s">
        <v>12</v>
      </c>
      <c r="E1727" s="2" t="s">
        <v>28</v>
      </c>
      <c r="F1727">
        <v>975</v>
      </c>
      <c r="G1727">
        <v>295</v>
      </c>
      <c r="H1727">
        <v>287625</v>
      </c>
      <c r="I1727">
        <v>50066.386700000003</v>
      </c>
      <c r="J1727" s="2" t="s">
        <v>42</v>
      </c>
    </row>
    <row r="1728" spans="1:10" x14ac:dyDescent="0.35">
      <c r="A1728" s="1">
        <v>45479</v>
      </c>
      <c r="B1728" s="2" t="s">
        <v>25</v>
      </c>
      <c r="C1728" s="2" t="s">
        <v>23</v>
      </c>
      <c r="D1728" s="2" t="s">
        <v>17</v>
      </c>
      <c r="E1728" s="2" t="s">
        <v>13</v>
      </c>
      <c r="F1728">
        <v>624</v>
      </c>
      <c r="G1728">
        <v>317</v>
      </c>
      <c r="H1728">
        <v>197808</v>
      </c>
      <c r="I1728">
        <v>45604.518499999998</v>
      </c>
      <c r="J1728" s="2" t="s">
        <v>42</v>
      </c>
    </row>
    <row r="1729" spans="1:10" x14ac:dyDescent="0.35">
      <c r="A1729" s="1">
        <v>45479</v>
      </c>
      <c r="B1729" s="2" t="s">
        <v>10</v>
      </c>
      <c r="C1729" s="2" t="s">
        <v>23</v>
      </c>
      <c r="D1729" s="2" t="s">
        <v>21</v>
      </c>
      <c r="E1729" s="2" t="s">
        <v>35</v>
      </c>
      <c r="F1729">
        <v>127</v>
      </c>
      <c r="G1729">
        <v>400</v>
      </c>
      <c r="H1729">
        <v>50800</v>
      </c>
      <c r="I1729">
        <v>8316.0877</v>
      </c>
      <c r="J1729" s="2" t="s">
        <v>42</v>
      </c>
    </row>
    <row r="1730" spans="1:10" x14ac:dyDescent="0.35">
      <c r="A1730" s="1">
        <v>45479</v>
      </c>
      <c r="B1730" s="2" t="s">
        <v>26</v>
      </c>
      <c r="C1730" s="2" t="s">
        <v>27</v>
      </c>
      <c r="D1730" s="2" t="s">
        <v>12</v>
      </c>
      <c r="E1730" s="2" t="s">
        <v>18</v>
      </c>
      <c r="F1730">
        <v>720</v>
      </c>
      <c r="G1730">
        <v>187</v>
      </c>
      <c r="H1730">
        <v>134640</v>
      </c>
      <c r="I1730">
        <v>30793.464499999998</v>
      </c>
      <c r="J1730" s="2" t="s">
        <v>42</v>
      </c>
    </row>
    <row r="1731" spans="1:10" x14ac:dyDescent="0.35">
      <c r="A1731" s="1">
        <v>45479</v>
      </c>
      <c r="B1731" s="2" t="s">
        <v>31</v>
      </c>
      <c r="C1731" s="2" t="s">
        <v>23</v>
      </c>
      <c r="D1731" s="2" t="s">
        <v>17</v>
      </c>
      <c r="E1731" s="2" t="s">
        <v>28</v>
      </c>
      <c r="F1731">
        <v>462</v>
      </c>
      <c r="G1731">
        <v>263</v>
      </c>
      <c r="H1731">
        <v>121506</v>
      </c>
      <c r="I1731">
        <v>16856.6021</v>
      </c>
      <c r="J1731" s="2" t="s">
        <v>42</v>
      </c>
    </row>
    <row r="1732" spans="1:10" x14ac:dyDescent="0.35">
      <c r="A1732" s="1">
        <v>45480</v>
      </c>
      <c r="B1732" s="2" t="s">
        <v>10</v>
      </c>
      <c r="C1732" s="2" t="s">
        <v>23</v>
      </c>
      <c r="D1732" s="2" t="s">
        <v>21</v>
      </c>
      <c r="E1732" s="2" t="s">
        <v>33</v>
      </c>
      <c r="F1732">
        <v>851</v>
      </c>
      <c r="G1732">
        <v>132</v>
      </c>
      <c r="H1732">
        <v>112332</v>
      </c>
      <c r="I1732">
        <v>19943.5111</v>
      </c>
      <c r="J1732" s="2" t="s">
        <v>42</v>
      </c>
    </row>
    <row r="1733" spans="1:10" x14ac:dyDescent="0.35">
      <c r="A1733" s="1">
        <v>45480</v>
      </c>
      <c r="B1733" s="2" t="s">
        <v>26</v>
      </c>
      <c r="C1733" s="2" t="s">
        <v>29</v>
      </c>
      <c r="D1733" s="2" t="s">
        <v>21</v>
      </c>
      <c r="E1733" s="2" t="s">
        <v>18</v>
      </c>
      <c r="F1733">
        <v>902</v>
      </c>
      <c r="G1733">
        <v>320</v>
      </c>
      <c r="H1733">
        <v>288640</v>
      </c>
      <c r="I1733">
        <v>36498.583200000001</v>
      </c>
      <c r="J1733" s="2" t="s">
        <v>42</v>
      </c>
    </row>
    <row r="1734" spans="1:10" x14ac:dyDescent="0.35">
      <c r="A1734" s="1">
        <v>45480</v>
      </c>
      <c r="B1734" s="2" t="s">
        <v>26</v>
      </c>
      <c r="C1734" s="2" t="s">
        <v>29</v>
      </c>
      <c r="D1734" s="2" t="s">
        <v>21</v>
      </c>
      <c r="E1734" s="2" t="s">
        <v>28</v>
      </c>
      <c r="F1734">
        <v>669</v>
      </c>
      <c r="G1734">
        <v>465</v>
      </c>
      <c r="H1734">
        <v>311085</v>
      </c>
      <c r="I1734">
        <v>63457.837399999997</v>
      </c>
      <c r="J1734" s="2" t="s">
        <v>42</v>
      </c>
    </row>
    <row r="1735" spans="1:10" x14ac:dyDescent="0.35">
      <c r="A1735" s="1">
        <v>45480</v>
      </c>
      <c r="B1735" s="2" t="s">
        <v>25</v>
      </c>
      <c r="C1735" s="2" t="s">
        <v>20</v>
      </c>
      <c r="D1735" s="2" t="s">
        <v>17</v>
      </c>
      <c r="E1735" s="2" t="s">
        <v>22</v>
      </c>
      <c r="F1735">
        <v>166</v>
      </c>
      <c r="G1735">
        <v>270</v>
      </c>
      <c r="H1735">
        <v>44820</v>
      </c>
      <c r="I1735">
        <v>4322.1274999999996</v>
      </c>
      <c r="J1735" s="2" t="s">
        <v>42</v>
      </c>
    </row>
    <row r="1736" spans="1:10" x14ac:dyDescent="0.35">
      <c r="A1736" s="1">
        <v>45480</v>
      </c>
      <c r="B1736" s="2" t="s">
        <v>34</v>
      </c>
      <c r="C1736" s="2" t="s">
        <v>20</v>
      </c>
      <c r="D1736" s="2" t="s">
        <v>17</v>
      </c>
      <c r="E1736" s="2" t="s">
        <v>33</v>
      </c>
      <c r="F1736">
        <v>991</v>
      </c>
      <c r="G1736">
        <v>358</v>
      </c>
      <c r="H1736">
        <v>354778</v>
      </c>
      <c r="I1736">
        <v>77889.176500000001</v>
      </c>
      <c r="J1736" s="2" t="s">
        <v>42</v>
      </c>
    </row>
    <row r="1737" spans="1:10" x14ac:dyDescent="0.35">
      <c r="A1737" s="1">
        <v>45481</v>
      </c>
      <c r="B1737" s="2" t="s">
        <v>10</v>
      </c>
      <c r="C1737" s="2" t="s">
        <v>29</v>
      </c>
      <c r="D1737" s="2" t="s">
        <v>21</v>
      </c>
      <c r="E1737" s="2" t="s">
        <v>22</v>
      </c>
      <c r="F1737">
        <v>686</v>
      </c>
      <c r="G1737">
        <v>192</v>
      </c>
      <c r="H1737">
        <v>131712</v>
      </c>
      <c r="I1737">
        <v>32889.8272</v>
      </c>
      <c r="J1737" s="2" t="s">
        <v>42</v>
      </c>
    </row>
    <row r="1738" spans="1:10" x14ac:dyDescent="0.35">
      <c r="A1738" s="1">
        <v>45481</v>
      </c>
      <c r="B1738" s="2" t="s">
        <v>36</v>
      </c>
      <c r="C1738" s="2" t="s">
        <v>27</v>
      </c>
      <c r="D1738" s="2" t="s">
        <v>30</v>
      </c>
      <c r="E1738" s="2" t="s">
        <v>22</v>
      </c>
      <c r="F1738">
        <v>798</v>
      </c>
      <c r="G1738">
        <v>184</v>
      </c>
      <c r="H1738">
        <v>146832</v>
      </c>
      <c r="I1738">
        <v>24273.5514</v>
      </c>
      <c r="J1738" s="2" t="s">
        <v>42</v>
      </c>
    </row>
    <row r="1739" spans="1:10" x14ac:dyDescent="0.35">
      <c r="A1739" s="1">
        <v>45483</v>
      </c>
      <c r="B1739" s="2" t="s">
        <v>25</v>
      </c>
      <c r="C1739" s="2" t="s">
        <v>29</v>
      </c>
      <c r="D1739" s="2" t="s">
        <v>30</v>
      </c>
      <c r="E1739" s="2" t="s">
        <v>18</v>
      </c>
      <c r="F1739">
        <v>539</v>
      </c>
      <c r="G1739">
        <v>472</v>
      </c>
      <c r="H1739">
        <v>254408</v>
      </c>
      <c r="I1739">
        <v>60923.972099999999</v>
      </c>
      <c r="J1739" s="2" t="s">
        <v>42</v>
      </c>
    </row>
    <row r="1740" spans="1:10" x14ac:dyDescent="0.35">
      <c r="A1740" s="1">
        <v>45483</v>
      </c>
      <c r="B1740" s="2" t="s">
        <v>26</v>
      </c>
      <c r="C1740" s="2" t="s">
        <v>23</v>
      </c>
      <c r="D1740" s="2" t="s">
        <v>17</v>
      </c>
      <c r="E1740" s="2" t="s">
        <v>35</v>
      </c>
      <c r="F1740">
        <v>706</v>
      </c>
      <c r="G1740">
        <v>153</v>
      </c>
      <c r="H1740">
        <v>108018</v>
      </c>
      <c r="I1740">
        <v>20875.551500000001</v>
      </c>
      <c r="J1740" s="2" t="s">
        <v>42</v>
      </c>
    </row>
    <row r="1741" spans="1:10" x14ac:dyDescent="0.35">
      <c r="A1741" s="1">
        <v>45483</v>
      </c>
      <c r="B1741" s="2" t="s">
        <v>31</v>
      </c>
      <c r="C1741" s="2" t="s">
        <v>20</v>
      </c>
      <c r="D1741" s="2" t="s">
        <v>17</v>
      </c>
      <c r="E1741" s="2" t="s">
        <v>22</v>
      </c>
      <c r="F1741">
        <v>570</v>
      </c>
      <c r="G1741">
        <v>484</v>
      </c>
      <c r="H1741">
        <v>275880</v>
      </c>
      <c r="I1741">
        <v>55453.1057</v>
      </c>
      <c r="J1741" s="2" t="s">
        <v>42</v>
      </c>
    </row>
    <row r="1742" spans="1:10" x14ac:dyDescent="0.35">
      <c r="A1742" s="1">
        <v>45483</v>
      </c>
      <c r="B1742" s="2" t="s">
        <v>10</v>
      </c>
      <c r="C1742" s="2" t="s">
        <v>29</v>
      </c>
      <c r="D1742" s="2" t="s">
        <v>17</v>
      </c>
      <c r="E1742" s="2" t="s">
        <v>18</v>
      </c>
      <c r="F1742">
        <v>512</v>
      </c>
      <c r="G1742">
        <v>357</v>
      </c>
      <c r="H1742">
        <v>182784</v>
      </c>
      <c r="I1742">
        <v>15886.532999999999</v>
      </c>
      <c r="J1742" s="2" t="s">
        <v>42</v>
      </c>
    </row>
    <row r="1743" spans="1:10" x14ac:dyDescent="0.35">
      <c r="A1743" s="1">
        <v>45483</v>
      </c>
      <c r="B1743" s="2" t="s">
        <v>15</v>
      </c>
      <c r="C1743" s="2" t="s">
        <v>16</v>
      </c>
      <c r="D1743" s="2" t="s">
        <v>30</v>
      </c>
      <c r="E1743" s="2" t="s">
        <v>33</v>
      </c>
      <c r="F1743">
        <v>631</v>
      </c>
      <c r="G1743">
        <v>417</v>
      </c>
      <c r="H1743">
        <v>263127</v>
      </c>
      <c r="I1743">
        <v>46762.111599999997</v>
      </c>
      <c r="J1743" s="2" t="s">
        <v>42</v>
      </c>
    </row>
    <row r="1744" spans="1:10" x14ac:dyDescent="0.35">
      <c r="A1744" s="1">
        <v>45484</v>
      </c>
      <c r="B1744" s="2" t="s">
        <v>31</v>
      </c>
      <c r="C1744" s="2" t="s">
        <v>29</v>
      </c>
      <c r="D1744" s="2" t="s">
        <v>12</v>
      </c>
      <c r="E1744" s="2" t="s">
        <v>13</v>
      </c>
      <c r="F1744">
        <v>619</v>
      </c>
      <c r="G1744">
        <v>298</v>
      </c>
      <c r="H1744">
        <v>184462</v>
      </c>
      <c r="I1744">
        <v>28877.067200000001</v>
      </c>
      <c r="J1744" s="2" t="s">
        <v>42</v>
      </c>
    </row>
    <row r="1745" spans="1:10" x14ac:dyDescent="0.35">
      <c r="A1745" s="1">
        <v>45484</v>
      </c>
      <c r="B1745" s="2" t="s">
        <v>31</v>
      </c>
      <c r="C1745" s="2" t="s">
        <v>27</v>
      </c>
      <c r="D1745" s="2" t="s">
        <v>30</v>
      </c>
      <c r="E1745" s="2" t="s">
        <v>18</v>
      </c>
      <c r="F1745">
        <v>803</v>
      </c>
      <c r="G1745">
        <v>496</v>
      </c>
      <c r="H1745">
        <v>398288</v>
      </c>
      <c r="I1745">
        <v>94146.936600000001</v>
      </c>
      <c r="J1745" s="2" t="s">
        <v>42</v>
      </c>
    </row>
    <row r="1746" spans="1:10" x14ac:dyDescent="0.35">
      <c r="A1746" s="1">
        <v>45484</v>
      </c>
      <c r="B1746" s="2" t="s">
        <v>31</v>
      </c>
      <c r="C1746" s="2" t="s">
        <v>16</v>
      </c>
      <c r="D1746" s="2" t="s">
        <v>21</v>
      </c>
      <c r="E1746" s="2" t="s">
        <v>18</v>
      </c>
      <c r="F1746">
        <v>835</v>
      </c>
      <c r="G1746">
        <v>422</v>
      </c>
      <c r="H1746">
        <v>352370</v>
      </c>
      <c r="I1746">
        <v>35989.803899999999</v>
      </c>
      <c r="J1746" s="2" t="s">
        <v>42</v>
      </c>
    </row>
    <row r="1747" spans="1:10" x14ac:dyDescent="0.35">
      <c r="A1747" s="1">
        <v>45485</v>
      </c>
      <c r="B1747" s="2" t="s">
        <v>34</v>
      </c>
      <c r="C1747" s="2" t="s">
        <v>20</v>
      </c>
      <c r="D1747" s="2" t="s">
        <v>21</v>
      </c>
      <c r="E1747" s="2" t="s">
        <v>33</v>
      </c>
      <c r="F1747">
        <v>183</v>
      </c>
      <c r="G1747">
        <v>473</v>
      </c>
      <c r="H1747">
        <v>86559</v>
      </c>
      <c r="I1747">
        <v>17452.987400000002</v>
      </c>
      <c r="J1747" s="2" t="s">
        <v>42</v>
      </c>
    </row>
    <row r="1748" spans="1:10" x14ac:dyDescent="0.35">
      <c r="A1748" s="1">
        <v>45485</v>
      </c>
      <c r="B1748" s="2" t="s">
        <v>19</v>
      </c>
      <c r="C1748" s="2" t="s">
        <v>11</v>
      </c>
      <c r="D1748" s="2" t="s">
        <v>30</v>
      </c>
      <c r="E1748" s="2" t="s">
        <v>33</v>
      </c>
      <c r="F1748">
        <v>326</v>
      </c>
      <c r="G1748">
        <v>351</v>
      </c>
      <c r="H1748">
        <v>114426</v>
      </c>
      <c r="I1748">
        <v>22305.951499999999</v>
      </c>
      <c r="J1748" s="2" t="s">
        <v>42</v>
      </c>
    </row>
    <row r="1749" spans="1:10" x14ac:dyDescent="0.35">
      <c r="A1749" s="1">
        <v>45485</v>
      </c>
      <c r="B1749" s="2" t="s">
        <v>15</v>
      </c>
      <c r="C1749" s="2" t="s">
        <v>16</v>
      </c>
      <c r="D1749" s="2" t="s">
        <v>17</v>
      </c>
      <c r="E1749" s="2" t="s">
        <v>32</v>
      </c>
      <c r="F1749">
        <v>97</v>
      </c>
      <c r="G1749">
        <v>168</v>
      </c>
      <c r="H1749">
        <v>16296</v>
      </c>
      <c r="I1749">
        <v>4041.741</v>
      </c>
      <c r="J1749" s="2" t="s">
        <v>42</v>
      </c>
    </row>
    <row r="1750" spans="1:10" x14ac:dyDescent="0.35">
      <c r="A1750" s="1">
        <v>45485</v>
      </c>
      <c r="B1750" s="2" t="s">
        <v>34</v>
      </c>
      <c r="C1750" s="2" t="s">
        <v>27</v>
      </c>
      <c r="D1750" s="2" t="s">
        <v>30</v>
      </c>
      <c r="E1750" s="2" t="s">
        <v>24</v>
      </c>
      <c r="F1750">
        <v>256</v>
      </c>
      <c r="G1750">
        <v>250</v>
      </c>
      <c r="H1750">
        <v>64000</v>
      </c>
      <c r="I1750">
        <v>12506.4853</v>
      </c>
      <c r="J1750" s="2" t="s">
        <v>42</v>
      </c>
    </row>
    <row r="1751" spans="1:10" x14ac:dyDescent="0.35">
      <c r="A1751" s="1">
        <v>45485</v>
      </c>
      <c r="B1751" s="2" t="s">
        <v>34</v>
      </c>
      <c r="C1751" s="2" t="s">
        <v>29</v>
      </c>
      <c r="D1751" s="2" t="s">
        <v>30</v>
      </c>
      <c r="E1751" s="2" t="s">
        <v>33</v>
      </c>
      <c r="F1751">
        <v>269</v>
      </c>
      <c r="G1751">
        <v>447</v>
      </c>
      <c r="H1751">
        <v>120243</v>
      </c>
      <c r="I1751">
        <v>12080.1744</v>
      </c>
      <c r="J1751" s="2" t="s">
        <v>42</v>
      </c>
    </row>
    <row r="1752" spans="1:10" x14ac:dyDescent="0.35">
      <c r="A1752" s="1">
        <v>45485</v>
      </c>
      <c r="B1752" s="2" t="s">
        <v>36</v>
      </c>
      <c r="C1752" s="2" t="s">
        <v>23</v>
      </c>
      <c r="D1752" s="2" t="s">
        <v>12</v>
      </c>
      <c r="E1752" s="2" t="s">
        <v>13</v>
      </c>
      <c r="F1752">
        <v>134</v>
      </c>
      <c r="G1752">
        <v>371</v>
      </c>
      <c r="H1752">
        <v>49714</v>
      </c>
      <c r="I1752">
        <v>4530.5280000000002</v>
      </c>
      <c r="J1752" s="2" t="s">
        <v>42</v>
      </c>
    </row>
    <row r="1753" spans="1:10" x14ac:dyDescent="0.35">
      <c r="A1753" s="1">
        <v>45485</v>
      </c>
      <c r="B1753" s="2" t="s">
        <v>31</v>
      </c>
      <c r="C1753" s="2" t="s">
        <v>27</v>
      </c>
      <c r="D1753" s="2" t="s">
        <v>12</v>
      </c>
      <c r="E1753" s="2" t="s">
        <v>35</v>
      </c>
      <c r="F1753">
        <v>210</v>
      </c>
      <c r="G1753">
        <v>381</v>
      </c>
      <c r="H1753">
        <v>80010</v>
      </c>
      <c r="I1753">
        <v>9568.8340000000007</v>
      </c>
      <c r="J1753" s="2" t="s">
        <v>42</v>
      </c>
    </row>
    <row r="1754" spans="1:10" x14ac:dyDescent="0.35">
      <c r="A1754" s="1">
        <v>45486</v>
      </c>
      <c r="B1754" s="2" t="s">
        <v>36</v>
      </c>
      <c r="C1754" s="2" t="s">
        <v>20</v>
      </c>
      <c r="D1754" s="2" t="s">
        <v>30</v>
      </c>
      <c r="E1754" s="2" t="s">
        <v>33</v>
      </c>
      <c r="F1754">
        <v>846</v>
      </c>
      <c r="G1754">
        <v>324</v>
      </c>
      <c r="H1754">
        <v>274104</v>
      </c>
      <c r="I1754">
        <v>68277.275500000003</v>
      </c>
      <c r="J1754" s="2" t="s">
        <v>42</v>
      </c>
    </row>
    <row r="1755" spans="1:10" x14ac:dyDescent="0.35">
      <c r="A1755" s="1">
        <v>45486</v>
      </c>
      <c r="B1755" s="2" t="s">
        <v>15</v>
      </c>
      <c r="C1755" s="2" t="s">
        <v>27</v>
      </c>
      <c r="D1755" s="2" t="s">
        <v>17</v>
      </c>
      <c r="E1755" s="2" t="s">
        <v>33</v>
      </c>
      <c r="F1755">
        <v>134</v>
      </c>
      <c r="G1755">
        <v>438</v>
      </c>
      <c r="H1755">
        <v>58692</v>
      </c>
      <c r="I1755">
        <v>7391.3658999999998</v>
      </c>
      <c r="J1755" s="2" t="s">
        <v>42</v>
      </c>
    </row>
    <row r="1756" spans="1:10" x14ac:dyDescent="0.35">
      <c r="A1756" s="1">
        <v>45486</v>
      </c>
      <c r="B1756" s="2" t="s">
        <v>19</v>
      </c>
      <c r="C1756" s="2" t="s">
        <v>23</v>
      </c>
      <c r="D1756" s="2" t="s">
        <v>17</v>
      </c>
      <c r="E1756" s="2" t="s">
        <v>33</v>
      </c>
      <c r="F1756">
        <v>434</v>
      </c>
      <c r="G1756">
        <v>396</v>
      </c>
      <c r="H1756">
        <v>171864</v>
      </c>
      <c r="I1756">
        <v>30768.911800000002</v>
      </c>
      <c r="J1756" s="2" t="s">
        <v>42</v>
      </c>
    </row>
    <row r="1757" spans="1:10" x14ac:dyDescent="0.35">
      <c r="A1757" s="1">
        <v>45486</v>
      </c>
      <c r="B1757" s="2" t="s">
        <v>34</v>
      </c>
      <c r="C1757" s="2" t="s">
        <v>16</v>
      </c>
      <c r="D1757" s="2" t="s">
        <v>17</v>
      </c>
      <c r="E1757" s="2" t="s">
        <v>24</v>
      </c>
      <c r="F1757">
        <v>259</v>
      </c>
      <c r="G1757">
        <v>323</v>
      </c>
      <c r="H1757">
        <v>83657</v>
      </c>
      <c r="I1757">
        <v>11322.8128</v>
      </c>
      <c r="J1757" s="2" t="s">
        <v>42</v>
      </c>
    </row>
    <row r="1758" spans="1:10" x14ac:dyDescent="0.35">
      <c r="A1758" s="1">
        <v>45486</v>
      </c>
      <c r="B1758" s="2" t="s">
        <v>31</v>
      </c>
      <c r="C1758" s="2" t="s">
        <v>29</v>
      </c>
      <c r="D1758" s="2" t="s">
        <v>21</v>
      </c>
      <c r="E1758" s="2" t="s">
        <v>33</v>
      </c>
      <c r="F1758">
        <v>709</v>
      </c>
      <c r="G1758">
        <v>168</v>
      </c>
      <c r="H1758">
        <v>119112</v>
      </c>
      <c r="I1758">
        <v>16608.059499999999</v>
      </c>
      <c r="J1758" s="2" t="s">
        <v>42</v>
      </c>
    </row>
    <row r="1759" spans="1:10" x14ac:dyDescent="0.35">
      <c r="A1759" s="1">
        <v>45486</v>
      </c>
      <c r="B1759" s="2" t="s">
        <v>19</v>
      </c>
      <c r="C1759" s="2" t="s">
        <v>11</v>
      </c>
      <c r="D1759" s="2" t="s">
        <v>12</v>
      </c>
      <c r="E1759" s="2" t="s">
        <v>28</v>
      </c>
      <c r="F1759">
        <v>172</v>
      </c>
      <c r="G1759">
        <v>179</v>
      </c>
      <c r="H1759">
        <v>30788</v>
      </c>
      <c r="I1759">
        <v>3010.6161000000002</v>
      </c>
      <c r="J1759" s="2" t="s">
        <v>42</v>
      </c>
    </row>
    <row r="1760" spans="1:10" x14ac:dyDescent="0.35">
      <c r="A1760" s="1">
        <v>45486</v>
      </c>
      <c r="B1760" s="2" t="s">
        <v>36</v>
      </c>
      <c r="C1760" s="2" t="s">
        <v>29</v>
      </c>
      <c r="D1760" s="2" t="s">
        <v>12</v>
      </c>
      <c r="E1760" s="2" t="s">
        <v>33</v>
      </c>
      <c r="F1760">
        <v>121</v>
      </c>
      <c r="G1760">
        <v>283</v>
      </c>
      <c r="H1760">
        <v>34243</v>
      </c>
      <c r="I1760">
        <v>3831.5047</v>
      </c>
      <c r="J1760" s="2" t="s">
        <v>42</v>
      </c>
    </row>
    <row r="1761" spans="1:10" x14ac:dyDescent="0.35">
      <c r="A1761" s="1">
        <v>45487</v>
      </c>
      <c r="B1761" s="2" t="s">
        <v>36</v>
      </c>
      <c r="C1761" s="2" t="s">
        <v>11</v>
      </c>
      <c r="D1761" s="2" t="s">
        <v>17</v>
      </c>
      <c r="E1761" s="2" t="s">
        <v>33</v>
      </c>
      <c r="F1761">
        <v>436</v>
      </c>
      <c r="G1761">
        <v>405</v>
      </c>
      <c r="H1761">
        <v>176580</v>
      </c>
      <c r="I1761">
        <v>18413.904999999999</v>
      </c>
      <c r="J1761" s="2" t="s">
        <v>42</v>
      </c>
    </row>
    <row r="1762" spans="1:10" x14ac:dyDescent="0.35">
      <c r="A1762" s="1">
        <v>45487</v>
      </c>
      <c r="B1762" s="2" t="s">
        <v>15</v>
      </c>
      <c r="C1762" s="2" t="s">
        <v>27</v>
      </c>
      <c r="D1762" s="2" t="s">
        <v>17</v>
      </c>
      <c r="E1762" s="2" t="s">
        <v>13</v>
      </c>
      <c r="F1762">
        <v>583</v>
      </c>
      <c r="G1762">
        <v>342</v>
      </c>
      <c r="H1762">
        <v>199386</v>
      </c>
      <c r="I1762">
        <v>28451.614699999998</v>
      </c>
      <c r="J1762" s="2" t="s">
        <v>42</v>
      </c>
    </row>
    <row r="1763" spans="1:10" x14ac:dyDescent="0.35">
      <c r="A1763" s="1">
        <v>45487</v>
      </c>
      <c r="B1763" s="2" t="s">
        <v>15</v>
      </c>
      <c r="C1763" s="2" t="s">
        <v>11</v>
      </c>
      <c r="D1763" s="2" t="s">
        <v>30</v>
      </c>
      <c r="E1763" s="2" t="s">
        <v>28</v>
      </c>
      <c r="F1763">
        <v>634</v>
      </c>
      <c r="G1763">
        <v>180</v>
      </c>
      <c r="H1763">
        <v>114120</v>
      </c>
      <c r="I1763">
        <v>16450.311000000002</v>
      </c>
      <c r="J1763" s="2" t="s">
        <v>42</v>
      </c>
    </row>
    <row r="1764" spans="1:10" x14ac:dyDescent="0.35">
      <c r="A1764" s="1">
        <v>45487</v>
      </c>
      <c r="B1764" s="2" t="s">
        <v>31</v>
      </c>
      <c r="C1764" s="2" t="s">
        <v>16</v>
      </c>
      <c r="D1764" s="2" t="s">
        <v>30</v>
      </c>
      <c r="E1764" s="2" t="s">
        <v>35</v>
      </c>
      <c r="F1764">
        <v>706</v>
      </c>
      <c r="G1764">
        <v>467</v>
      </c>
      <c r="H1764">
        <v>329702</v>
      </c>
      <c r="I1764">
        <v>37935.110999999997</v>
      </c>
      <c r="J1764" s="2" t="s">
        <v>42</v>
      </c>
    </row>
    <row r="1765" spans="1:10" x14ac:dyDescent="0.35">
      <c r="A1765" s="1">
        <v>45487</v>
      </c>
      <c r="B1765" s="2" t="s">
        <v>25</v>
      </c>
      <c r="C1765" s="2" t="s">
        <v>29</v>
      </c>
      <c r="D1765" s="2" t="s">
        <v>30</v>
      </c>
      <c r="E1765" s="2" t="s">
        <v>13</v>
      </c>
      <c r="F1765">
        <v>717</v>
      </c>
      <c r="G1765">
        <v>377</v>
      </c>
      <c r="H1765">
        <v>270309</v>
      </c>
      <c r="I1765">
        <v>21664.114699999998</v>
      </c>
      <c r="J1765" s="2" t="s">
        <v>42</v>
      </c>
    </row>
    <row r="1766" spans="1:10" x14ac:dyDescent="0.35">
      <c r="A1766" s="1">
        <v>45489</v>
      </c>
      <c r="B1766" s="2" t="s">
        <v>10</v>
      </c>
      <c r="C1766" s="2" t="s">
        <v>16</v>
      </c>
      <c r="D1766" s="2" t="s">
        <v>30</v>
      </c>
      <c r="E1766" s="2" t="s">
        <v>33</v>
      </c>
      <c r="F1766">
        <v>75</v>
      </c>
      <c r="G1766">
        <v>155</v>
      </c>
      <c r="H1766">
        <v>11625</v>
      </c>
      <c r="I1766">
        <v>1567.2835</v>
      </c>
      <c r="J1766" s="2" t="s">
        <v>42</v>
      </c>
    </row>
    <row r="1767" spans="1:10" x14ac:dyDescent="0.35">
      <c r="A1767" s="1">
        <v>45489</v>
      </c>
      <c r="B1767" s="2" t="s">
        <v>31</v>
      </c>
      <c r="C1767" s="2" t="s">
        <v>29</v>
      </c>
      <c r="D1767" s="2" t="s">
        <v>12</v>
      </c>
      <c r="E1767" s="2" t="s">
        <v>22</v>
      </c>
      <c r="F1767">
        <v>934</v>
      </c>
      <c r="G1767">
        <v>354</v>
      </c>
      <c r="H1767">
        <v>330636</v>
      </c>
      <c r="I1767">
        <v>42149.8298</v>
      </c>
      <c r="J1767" s="2" t="s">
        <v>42</v>
      </c>
    </row>
    <row r="1768" spans="1:10" x14ac:dyDescent="0.35">
      <c r="A1768" s="1">
        <v>45489</v>
      </c>
      <c r="B1768" s="2" t="s">
        <v>19</v>
      </c>
      <c r="C1768" s="2" t="s">
        <v>11</v>
      </c>
      <c r="D1768" s="2" t="s">
        <v>30</v>
      </c>
      <c r="E1768" s="2" t="s">
        <v>33</v>
      </c>
      <c r="F1768">
        <v>238</v>
      </c>
      <c r="G1768">
        <v>405</v>
      </c>
      <c r="H1768">
        <v>96390</v>
      </c>
      <c r="I1768">
        <v>18810.875599999999</v>
      </c>
      <c r="J1768" s="2" t="s">
        <v>42</v>
      </c>
    </row>
    <row r="1769" spans="1:10" x14ac:dyDescent="0.35">
      <c r="A1769" s="1">
        <v>45489</v>
      </c>
      <c r="B1769" s="2" t="s">
        <v>26</v>
      </c>
      <c r="C1769" s="2" t="s">
        <v>11</v>
      </c>
      <c r="D1769" s="2" t="s">
        <v>30</v>
      </c>
      <c r="E1769" s="2" t="s">
        <v>35</v>
      </c>
      <c r="F1769">
        <v>835</v>
      </c>
      <c r="G1769">
        <v>442</v>
      </c>
      <c r="H1769">
        <v>369070</v>
      </c>
      <c r="I1769">
        <v>39840.307000000001</v>
      </c>
      <c r="J1769" s="2" t="s">
        <v>42</v>
      </c>
    </row>
    <row r="1770" spans="1:10" x14ac:dyDescent="0.35">
      <c r="A1770" s="1">
        <v>45489</v>
      </c>
      <c r="B1770" s="2" t="s">
        <v>10</v>
      </c>
      <c r="C1770" s="2" t="s">
        <v>20</v>
      </c>
      <c r="D1770" s="2" t="s">
        <v>12</v>
      </c>
      <c r="E1770" s="2" t="s">
        <v>24</v>
      </c>
      <c r="F1770">
        <v>856</v>
      </c>
      <c r="G1770">
        <v>299</v>
      </c>
      <c r="H1770">
        <v>255944</v>
      </c>
      <c r="I1770">
        <v>38882.7327</v>
      </c>
      <c r="J1770" s="2" t="s">
        <v>42</v>
      </c>
    </row>
    <row r="1771" spans="1:10" x14ac:dyDescent="0.35">
      <c r="A1771" s="1">
        <v>45489</v>
      </c>
      <c r="B1771" s="2" t="s">
        <v>25</v>
      </c>
      <c r="C1771" s="2" t="s">
        <v>23</v>
      </c>
      <c r="D1771" s="2" t="s">
        <v>12</v>
      </c>
      <c r="E1771" s="2" t="s">
        <v>13</v>
      </c>
      <c r="F1771">
        <v>698</v>
      </c>
      <c r="G1771">
        <v>295</v>
      </c>
      <c r="H1771">
        <v>205910</v>
      </c>
      <c r="I1771">
        <v>35915.856200000002</v>
      </c>
      <c r="J1771" s="2" t="s">
        <v>42</v>
      </c>
    </row>
    <row r="1772" spans="1:10" x14ac:dyDescent="0.35">
      <c r="A1772" s="1">
        <v>45490</v>
      </c>
      <c r="B1772" s="2" t="s">
        <v>26</v>
      </c>
      <c r="C1772" s="2" t="s">
        <v>11</v>
      </c>
      <c r="D1772" s="2" t="s">
        <v>21</v>
      </c>
      <c r="E1772" s="2" t="s">
        <v>13</v>
      </c>
      <c r="F1772">
        <v>65</v>
      </c>
      <c r="G1772">
        <v>387</v>
      </c>
      <c r="H1772">
        <v>25155</v>
      </c>
      <c r="I1772">
        <v>5902.6369000000004</v>
      </c>
      <c r="J1772" s="2" t="s">
        <v>42</v>
      </c>
    </row>
    <row r="1773" spans="1:10" x14ac:dyDescent="0.35">
      <c r="A1773" s="1">
        <v>45490</v>
      </c>
      <c r="B1773" s="2" t="s">
        <v>10</v>
      </c>
      <c r="C1773" s="2" t="s">
        <v>27</v>
      </c>
      <c r="D1773" s="2" t="s">
        <v>17</v>
      </c>
      <c r="E1773" s="2" t="s">
        <v>32</v>
      </c>
      <c r="F1773">
        <v>380</v>
      </c>
      <c r="G1773">
        <v>162</v>
      </c>
      <c r="H1773">
        <v>61560</v>
      </c>
      <c r="I1773">
        <v>5776.7695000000003</v>
      </c>
      <c r="J1773" s="2" t="s">
        <v>42</v>
      </c>
    </row>
    <row r="1774" spans="1:10" x14ac:dyDescent="0.35">
      <c r="A1774" s="1">
        <v>45490</v>
      </c>
      <c r="B1774" s="2" t="s">
        <v>36</v>
      </c>
      <c r="C1774" s="2" t="s">
        <v>27</v>
      </c>
      <c r="D1774" s="2" t="s">
        <v>17</v>
      </c>
      <c r="E1774" s="2" t="s">
        <v>32</v>
      </c>
      <c r="F1774">
        <v>902</v>
      </c>
      <c r="G1774">
        <v>173</v>
      </c>
      <c r="H1774">
        <v>156046</v>
      </c>
      <c r="I1774">
        <v>15392.8223</v>
      </c>
      <c r="J1774" s="2" t="s">
        <v>42</v>
      </c>
    </row>
    <row r="1775" spans="1:10" x14ac:dyDescent="0.35">
      <c r="A1775" s="1">
        <v>45490</v>
      </c>
      <c r="B1775" s="2" t="s">
        <v>15</v>
      </c>
      <c r="C1775" s="2" t="s">
        <v>27</v>
      </c>
      <c r="D1775" s="2" t="s">
        <v>21</v>
      </c>
      <c r="E1775" s="2" t="s">
        <v>24</v>
      </c>
      <c r="F1775">
        <v>327</v>
      </c>
      <c r="G1775">
        <v>465</v>
      </c>
      <c r="H1775">
        <v>152055</v>
      </c>
      <c r="I1775">
        <v>26484.217499999999</v>
      </c>
      <c r="J1775" s="2" t="s">
        <v>42</v>
      </c>
    </row>
    <row r="1776" spans="1:10" x14ac:dyDescent="0.35">
      <c r="A1776" s="1">
        <v>45491</v>
      </c>
      <c r="B1776" s="2" t="s">
        <v>26</v>
      </c>
      <c r="C1776" s="2" t="s">
        <v>16</v>
      </c>
      <c r="D1776" s="2" t="s">
        <v>21</v>
      </c>
      <c r="E1776" s="2" t="s">
        <v>28</v>
      </c>
      <c r="F1776">
        <v>379</v>
      </c>
      <c r="G1776">
        <v>228</v>
      </c>
      <c r="H1776">
        <v>86412</v>
      </c>
      <c r="I1776">
        <v>9683.9644000000008</v>
      </c>
      <c r="J1776" s="2" t="s">
        <v>42</v>
      </c>
    </row>
    <row r="1777" spans="1:10" x14ac:dyDescent="0.35">
      <c r="A1777" s="1">
        <v>45491</v>
      </c>
      <c r="B1777" s="2" t="s">
        <v>25</v>
      </c>
      <c r="C1777" s="2" t="s">
        <v>20</v>
      </c>
      <c r="D1777" s="2" t="s">
        <v>30</v>
      </c>
      <c r="E1777" s="2" t="s">
        <v>22</v>
      </c>
      <c r="F1777">
        <v>168</v>
      </c>
      <c r="G1777">
        <v>226</v>
      </c>
      <c r="H1777">
        <v>37968</v>
      </c>
      <c r="I1777">
        <v>7834.9741000000004</v>
      </c>
      <c r="J1777" s="2" t="s">
        <v>42</v>
      </c>
    </row>
    <row r="1778" spans="1:10" x14ac:dyDescent="0.35">
      <c r="A1778" s="1">
        <v>45492</v>
      </c>
      <c r="B1778" s="2" t="s">
        <v>10</v>
      </c>
      <c r="C1778" s="2" t="s">
        <v>20</v>
      </c>
      <c r="D1778" s="2" t="s">
        <v>30</v>
      </c>
      <c r="E1778" s="2" t="s">
        <v>28</v>
      </c>
      <c r="F1778">
        <v>757</v>
      </c>
      <c r="G1778">
        <v>469</v>
      </c>
      <c r="H1778">
        <v>355033</v>
      </c>
      <c r="I1778">
        <v>71606.366999999998</v>
      </c>
      <c r="J1778" s="2" t="s">
        <v>42</v>
      </c>
    </row>
    <row r="1779" spans="1:10" x14ac:dyDescent="0.35">
      <c r="A1779" s="1">
        <v>45492</v>
      </c>
      <c r="B1779" s="2" t="s">
        <v>26</v>
      </c>
      <c r="C1779" s="2" t="s">
        <v>29</v>
      </c>
      <c r="D1779" s="2" t="s">
        <v>30</v>
      </c>
      <c r="E1779" s="2" t="s">
        <v>35</v>
      </c>
      <c r="F1779">
        <v>499</v>
      </c>
      <c r="G1779">
        <v>400</v>
      </c>
      <c r="H1779">
        <v>199600</v>
      </c>
      <c r="I1779">
        <v>34391.121700000003</v>
      </c>
      <c r="J1779" s="2" t="s">
        <v>42</v>
      </c>
    </row>
    <row r="1780" spans="1:10" x14ac:dyDescent="0.35">
      <c r="A1780" s="1">
        <v>45492</v>
      </c>
      <c r="B1780" s="2" t="s">
        <v>15</v>
      </c>
      <c r="C1780" s="2" t="s">
        <v>29</v>
      </c>
      <c r="D1780" s="2" t="s">
        <v>21</v>
      </c>
      <c r="E1780" s="2" t="s">
        <v>28</v>
      </c>
      <c r="F1780">
        <v>549</v>
      </c>
      <c r="G1780">
        <v>123</v>
      </c>
      <c r="H1780">
        <v>67527</v>
      </c>
      <c r="I1780">
        <v>16152.5296</v>
      </c>
      <c r="J1780" s="2" t="s">
        <v>42</v>
      </c>
    </row>
    <row r="1781" spans="1:10" x14ac:dyDescent="0.35">
      <c r="A1781" s="1">
        <v>45492</v>
      </c>
      <c r="B1781" s="2" t="s">
        <v>25</v>
      </c>
      <c r="C1781" s="2" t="s">
        <v>11</v>
      </c>
      <c r="D1781" s="2" t="s">
        <v>30</v>
      </c>
      <c r="E1781" s="2" t="s">
        <v>35</v>
      </c>
      <c r="F1781">
        <v>859</v>
      </c>
      <c r="G1781">
        <v>116</v>
      </c>
      <c r="H1781">
        <v>99644</v>
      </c>
      <c r="I1781">
        <v>20554.2451</v>
      </c>
      <c r="J1781" s="2" t="s">
        <v>42</v>
      </c>
    </row>
    <row r="1782" spans="1:10" x14ac:dyDescent="0.35">
      <c r="A1782" s="1">
        <v>45493</v>
      </c>
      <c r="B1782" s="2" t="s">
        <v>34</v>
      </c>
      <c r="C1782" s="2" t="s">
        <v>11</v>
      </c>
      <c r="D1782" s="2" t="s">
        <v>21</v>
      </c>
      <c r="E1782" s="2" t="s">
        <v>32</v>
      </c>
      <c r="F1782">
        <v>558</v>
      </c>
      <c r="G1782">
        <v>276</v>
      </c>
      <c r="H1782">
        <v>154008</v>
      </c>
      <c r="I1782">
        <v>25189.087899999999</v>
      </c>
      <c r="J1782" s="2" t="s">
        <v>42</v>
      </c>
    </row>
    <row r="1783" spans="1:10" x14ac:dyDescent="0.35">
      <c r="A1783" s="1">
        <v>45493</v>
      </c>
      <c r="B1783" s="2" t="s">
        <v>36</v>
      </c>
      <c r="C1783" s="2" t="s">
        <v>29</v>
      </c>
      <c r="D1783" s="2" t="s">
        <v>30</v>
      </c>
      <c r="E1783" s="2" t="s">
        <v>18</v>
      </c>
      <c r="F1783">
        <v>773</v>
      </c>
      <c r="G1783">
        <v>242</v>
      </c>
      <c r="H1783">
        <v>187066</v>
      </c>
      <c r="I1783">
        <v>16226.688399999999</v>
      </c>
      <c r="J1783" s="2" t="s">
        <v>42</v>
      </c>
    </row>
    <row r="1784" spans="1:10" x14ac:dyDescent="0.35">
      <c r="A1784" s="1">
        <v>45493</v>
      </c>
      <c r="B1784" s="2" t="s">
        <v>15</v>
      </c>
      <c r="C1784" s="2" t="s">
        <v>23</v>
      </c>
      <c r="D1784" s="2" t="s">
        <v>12</v>
      </c>
      <c r="E1784" s="2" t="s">
        <v>35</v>
      </c>
      <c r="F1784">
        <v>967</v>
      </c>
      <c r="G1784">
        <v>211</v>
      </c>
      <c r="H1784">
        <v>204037</v>
      </c>
      <c r="I1784">
        <v>22646.732800000002</v>
      </c>
      <c r="J1784" s="2" t="s">
        <v>42</v>
      </c>
    </row>
    <row r="1785" spans="1:10" x14ac:dyDescent="0.35">
      <c r="A1785" s="1">
        <v>45494</v>
      </c>
      <c r="B1785" s="2" t="s">
        <v>25</v>
      </c>
      <c r="C1785" s="2" t="s">
        <v>16</v>
      </c>
      <c r="D1785" s="2" t="s">
        <v>30</v>
      </c>
      <c r="E1785" s="2" t="s">
        <v>13</v>
      </c>
      <c r="F1785">
        <v>177</v>
      </c>
      <c r="G1785">
        <v>381</v>
      </c>
      <c r="H1785">
        <v>67437</v>
      </c>
      <c r="I1785">
        <v>9923.0679</v>
      </c>
      <c r="J1785" s="2" t="s">
        <v>42</v>
      </c>
    </row>
    <row r="1786" spans="1:10" x14ac:dyDescent="0.35">
      <c r="A1786" s="1">
        <v>45495</v>
      </c>
      <c r="B1786" s="2" t="s">
        <v>26</v>
      </c>
      <c r="C1786" s="2" t="s">
        <v>16</v>
      </c>
      <c r="D1786" s="2" t="s">
        <v>12</v>
      </c>
      <c r="E1786" s="2" t="s">
        <v>35</v>
      </c>
      <c r="F1786">
        <v>91</v>
      </c>
      <c r="G1786">
        <v>369</v>
      </c>
      <c r="H1786">
        <v>33579</v>
      </c>
      <c r="I1786">
        <v>3476.6741000000002</v>
      </c>
      <c r="J1786" s="2" t="s">
        <v>42</v>
      </c>
    </row>
    <row r="1787" spans="1:10" x14ac:dyDescent="0.35">
      <c r="A1787" s="1">
        <v>45495</v>
      </c>
      <c r="B1787" s="2" t="s">
        <v>19</v>
      </c>
      <c r="C1787" s="2" t="s">
        <v>20</v>
      </c>
      <c r="D1787" s="2" t="s">
        <v>21</v>
      </c>
      <c r="E1787" s="2" t="s">
        <v>32</v>
      </c>
      <c r="F1787">
        <v>740</v>
      </c>
      <c r="G1787">
        <v>129</v>
      </c>
      <c r="H1787">
        <v>95460</v>
      </c>
      <c r="I1787">
        <v>18832.343199999999</v>
      </c>
      <c r="J1787" s="2" t="s">
        <v>42</v>
      </c>
    </row>
    <row r="1788" spans="1:10" x14ac:dyDescent="0.35">
      <c r="A1788" s="1">
        <v>45495</v>
      </c>
      <c r="B1788" s="2" t="s">
        <v>26</v>
      </c>
      <c r="C1788" s="2" t="s">
        <v>23</v>
      </c>
      <c r="D1788" s="2" t="s">
        <v>17</v>
      </c>
      <c r="E1788" s="2" t="s">
        <v>33</v>
      </c>
      <c r="F1788">
        <v>940</v>
      </c>
      <c r="G1788">
        <v>364</v>
      </c>
      <c r="H1788">
        <v>342160</v>
      </c>
      <c r="I1788">
        <v>83043.744000000006</v>
      </c>
      <c r="J1788" s="2" t="s">
        <v>42</v>
      </c>
    </row>
    <row r="1789" spans="1:10" x14ac:dyDescent="0.35">
      <c r="A1789" s="1">
        <v>45496</v>
      </c>
      <c r="B1789" s="2" t="s">
        <v>36</v>
      </c>
      <c r="C1789" s="2" t="s">
        <v>27</v>
      </c>
      <c r="D1789" s="2" t="s">
        <v>21</v>
      </c>
      <c r="E1789" s="2" t="s">
        <v>35</v>
      </c>
      <c r="F1789">
        <v>462</v>
      </c>
      <c r="G1789">
        <v>177</v>
      </c>
      <c r="H1789">
        <v>81774</v>
      </c>
      <c r="I1789">
        <v>16025.586300000001</v>
      </c>
      <c r="J1789" s="2" t="s">
        <v>42</v>
      </c>
    </row>
    <row r="1790" spans="1:10" x14ac:dyDescent="0.35">
      <c r="A1790" s="1">
        <v>45496</v>
      </c>
      <c r="B1790" s="2" t="s">
        <v>34</v>
      </c>
      <c r="C1790" s="2" t="s">
        <v>23</v>
      </c>
      <c r="D1790" s="2" t="s">
        <v>21</v>
      </c>
      <c r="E1790" s="2" t="s">
        <v>33</v>
      </c>
      <c r="F1790">
        <v>946</v>
      </c>
      <c r="G1790">
        <v>382</v>
      </c>
      <c r="H1790">
        <v>361372</v>
      </c>
      <c r="I1790">
        <v>37236.721400000002</v>
      </c>
      <c r="J1790" s="2" t="s">
        <v>42</v>
      </c>
    </row>
    <row r="1791" spans="1:10" x14ac:dyDescent="0.35">
      <c r="A1791" s="1">
        <v>45496</v>
      </c>
      <c r="B1791" s="2" t="s">
        <v>15</v>
      </c>
      <c r="C1791" s="2" t="s">
        <v>23</v>
      </c>
      <c r="D1791" s="2" t="s">
        <v>21</v>
      </c>
      <c r="E1791" s="2" t="s">
        <v>33</v>
      </c>
      <c r="F1791">
        <v>967</v>
      </c>
      <c r="G1791">
        <v>329</v>
      </c>
      <c r="H1791">
        <v>318143</v>
      </c>
      <c r="I1791">
        <v>77544.657200000001</v>
      </c>
      <c r="J1791" s="2" t="s">
        <v>42</v>
      </c>
    </row>
    <row r="1792" spans="1:10" x14ac:dyDescent="0.35">
      <c r="A1792" s="1">
        <v>45496</v>
      </c>
      <c r="B1792" s="2" t="s">
        <v>26</v>
      </c>
      <c r="C1792" s="2" t="s">
        <v>23</v>
      </c>
      <c r="D1792" s="2" t="s">
        <v>21</v>
      </c>
      <c r="E1792" s="2" t="s">
        <v>18</v>
      </c>
      <c r="F1792">
        <v>590</v>
      </c>
      <c r="G1792">
        <v>244</v>
      </c>
      <c r="H1792">
        <v>143960</v>
      </c>
      <c r="I1792">
        <v>19284.988499999999</v>
      </c>
      <c r="J1792" s="2" t="s">
        <v>42</v>
      </c>
    </row>
    <row r="1793" spans="1:10" x14ac:dyDescent="0.35">
      <c r="A1793" s="1">
        <v>45497</v>
      </c>
      <c r="B1793" s="2" t="s">
        <v>15</v>
      </c>
      <c r="C1793" s="2" t="s">
        <v>11</v>
      </c>
      <c r="D1793" s="2" t="s">
        <v>17</v>
      </c>
      <c r="E1793" s="2" t="s">
        <v>22</v>
      </c>
      <c r="F1793">
        <v>770</v>
      </c>
      <c r="G1793">
        <v>163</v>
      </c>
      <c r="H1793">
        <v>125510</v>
      </c>
      <c r="I1793">
        <v>20813.503799999999</v>
      </c>
      <c r="J1793" s="2" t="s">
        <v>42</v>
      </c>
    </row>
    <row r="1794" spans="1:10" x14ac:dyDescent="0.35">
      <c r="A1794" s="1">
        <v>45497</v>
      </c>
      <c r="B1794" s="2" t="s">
        <v>19</v>
      </c>
      <c r="C1794" s="2" t="s">
        <v>27</v>
      </c>
      <c r="D1794" s="2" t="s">
        <v>17</v>
      </c>
      <c r="E1794" s="2" t="s">
        <v>28</v>
      </c>
      <c r="F1794">
        <v>502</v>
      </c>
      <c r="G1794">
        <v>342</v>
      </c>
      <c r="H1794">
        <v>171684</v>
      </c>
      <c r="I1794">
        <v>29708.159899999999</v>
      </c>
      <c r="J1794" s="2" t="s">
        <v>42</v>
      </c>
    </row>
    <row r="1795" spans="1:10" x14ac:dyDescent="0.35">
      <c r="A1795" s="1">
        <v>45498</v>
      </c>
      <c r="B1795" s="2" t="s">
        <v>26</v>
      </c>
      <c r="C1795" s="2" t="s">
        <v>16</v>
      </c>
      <c r="D1795" s="2" t="s">
        <v>12</v>
      </c>
      <c r="E1795" s="2" t="s">
        <v>18</v>
      </c>
      <c r="F1795">
        <v>418</v>
      </c>
      <c r="G1795">
        <v>155</v>
      </c>
      <c r="H1795">
        <v>64790</v>
      </c>
      <c r="I1795">
        <v>12816.9372</v>
      </c>
      <c r="J1795" s="2" t="s">
        <v>42</v>
      </c>
    </row>
    <row r="1796" spans="1:10" x14ac:dyDescent="0.35">
      <c r="A1796" s="1">
        <v>45498</v>
      </c>
      <c r="B1796" s="2" t="s">
        <v>19</v>
      </c>
      <c r="C1796" s="2" t="s">
        <v>16</v>
      </c>
      <c r="D1796" s="2" t="s">
        <v>30</v>
      </c>
      <c r="E1796" s="2" t="s">
        <v>22</v>
      </c>
      <c r="F1796">
        <v>198</v>
      </c>
      <c r="G1796">
        <v>219</v>
      </c>
      <c r="H1796">
        <v>43362</v>
      </c>
      <c r="I1796">
        <v>6031.2475000000004</v>
      </c>
      <c r="J1796" s="2" t="s">
        <v>42</v>
      </c>
    </row>
    <row r="1797" spans="1:10" x14ac:dyDescent="0.35">
      <c r="A1797" s="1">
        <v>45499</v>
      </c>
      <c r="B1797" s="2" t="s">
        <v>26</v>
      </c>
      <c r="C1797" s="2" t="s">
        <v>23</v>
      </c>
      <c r="D1797" s="2" t="s">
        <v>17</v>
      </c>
      <c r="E1797" s="2" t="s">
        <v>24</v>
      </c>
      <c r="F1797">
        <v>695</v>
      </c>
      <c r="G1797">
        <v>368</v>
      </c>
      <c r="H1797">
        <v>255760</v>
      </c>
      <c r="I1797">
        <v>41393.043599999997</v>
      </c>
      <c r="J1797" s="2" t="s">
        <v>42</v>
      </c>
    </row>
    <row r="1798" spans="1:10" x14ac:dyDescent="0.35">
      <c r="A1798" s="1">
        <v>45499</v>
      </c>
      <c r="B1798" s="2" t="s">
        <v>31</v>
      </c>
      <c r="C1798" s="2" t="s">
        <v>20</v>
      </c>
      <c r="D1798" s="2" t="s">
        <v>21</v>
      </c>
      <c r="E1798" s="2" t="s">
        <v>18</v>
      </c>
      <c r="F1798">
        <v>880</v>
      </c>
      <c r="G1798">
        <v>460</v>
      </c>
      <c r="H1798">
        <v>404800</v>
      </c>
      <c r="I1798">
        <v>79195.842499999999</v>
      </c>
      <c r="J1798" s="2" t="s">
        <v>42</v>
      </c>
    </row>
    <row r="1799" spans="1:10" x14ac:dyDescent="0.35">
      <c r="A1799" s="1">
        <v>45500</v>
      </c>
      <c r="B1799" s="2" t="s">
        <v>10</v>
      </c>
      <c r="C1799" s="2" t="s">
        <v>16</v>
      </c>
      <c r="D1799" s="2" t="s">
        <v>30</v>
      </c>
      <c r="E1799" s="2" t="s">
        <v>18</v>
      </c>
      <c r="F1799">
        <v>62</v>
      </c>
      <c r="G1799">
        <v>109</v>
      </c>
      <c r="H1799">
        <v>6758</v>
      </c>
      <c r="I1799">
        <v>751.92740000000003</v>
      </c>
      <c r="J1799" s="2" t="s">
        <v>42</v>
      </c>
    </row>
    <row r="1800" spans="1:10" x14ac:dyDescent="0.35">
      <c r="A1800" s="1">
        <v>45500</v>
      </c>
      <c r="B1800" s="2" t="s">
        <v>36</v>
      </c>
      <c r="C1800" s="2" t="s">
        <v>11</v>
      </c>
      <c r="D1800" s="2" t="s">
        <v>12</v>
      </c>
      <c r="E1800" s="2" t="s">
        <v>22</v>
      </c>
      <c r="F1800">
        <v>369</v>
      </c>
      <c r="G1800">
        <v>490</v>
      </c>
      <c r="H1800">
        <v>180810</v>
      </c>
      <c r="I1800">
        <v>31748.042000000001</v>
      </c>
      <c r="J1800" s="2" t="s">
        <v>42</v>
      </c>
    </row>
    <row r="1801" spans="1:10" x14ac:dyDescent="0.35">
      <c r="A1801" s="1">
        <v>45500</v>
      </c>
      <c r="B1801" s="2" t="s">
        <v>36</v>
      </c>
      <c r="C1801" s="2" t="s">
        <v>20</v>
      </c>
      <c r="D1801" s="2" t="s">
        <v>30</v>
      </c>
      <c r="E1801" s="2" t="s">
        <v>22</v>
      </c>
      <c r="F1801">
        <v>123</v>
      </c>
      <c r="G1801">
        <v>278</v>
      </c>
      <c r="H1801">
        <v>34194</v>
      </c>
      <c r="I1801">
        <v>6987.6400999999996</v>
      </c>
      <c r="J1801" s="2" t="s">
        <v>42</v>
      </c>
    </row>
    <row r="1802" spans="1:10" x14ac:dyDescent="0.35">
      <c r="A1802" s="1">
        <v>45501</v>
      </c>
      <c r="B1802" s="2" t="s">
        <v>34</v>
      </c>
      <c r="C1802" s="2" t="s">
        <v>29</v>
      </c>
      <c r="D1802" s="2" t="s">
        <v>30</v>
      </c>
      <c r="E1802" s="2" t="s">
        <v>33</v>
      </c>
      <c r="F1802">
        <v>703</v>
      </c>
      <c r="G1802">
        <v>412</v>
      </c>
      <c r="H1802">
        <v>289636</v>
      </c>
      <c r="I1802">
        <v>60069.097699999998</v>
      </c>
      <c r="J1802" s="2" t="s">
        <v>42</v>
      </c>
    </row>
    <row r="1803" spans="1:10" x14ac:dyDescent="0.35">
      <c r="A1803" s="1">
        <v>45501</v>
      </c>
      <c r="B1803" s="2" t="s">
        <v>25</v>
      </c>
      <c r="C1803" s="2" t="s">
        <v>11</v>
      </c>
      <c r="D1803" s="2" t="s">
        <v>30</v>
      </c>
      <c r="E1803" s="2" t="s">
        <v>32</v>
      </c>
      <c r="F1803">
        <v>147</v>
      </c>
      <c r="G1803">
        <v>378</v>
      </c>
      <c r="H1803">
        <v>55566</v>
      </c>
      <c r="I1803">
        <v>13111.815199999999</v>
      </c>
      <c r="J1803" s="2" t="s">
        <v>42</v>
      </c>
    </row>
    <row r="1804" spans="1:10" x14ac:dyDescent="0.35">
      <c r="A1804" s="1">
        <v>45501</v>
      </c>
      <c r="B1804" s="2" t="s">
        <v>31</v>
      </c>
      <c r="C1804" s="2" t="s">
        <v>16</v>
      </c>
      <c r="D1804" s="2" t="s">
        <v>12</v>
      </c>
      <c r="E1804" s="2" t="s">
        <v>35</v>
      </c>
      <c r="F1804">
        <v>81</v>
      </c>
      <c r="G1804">
        <v>114</v>
      </c>
      <c r="H1804">
        <v>9234</v>
      </c>
      <c r="I1804">
        <v>1140.7518</v>
      </c>
      <c r="J1804" s="2" t="s">
        <v>42</v>
      </c>
    </row>
    <row r="1805" spans="1:10" x14ac:dyDescent="0.35">
      <c r="A1805" s="1">
        <v>45501</v>
      </c>
      <c r="B1805" s="2" t="s">
        <v>34</v>
      </c>
      <c r="C1805" s="2" t="s">
        <v>29</v>
      </c>
      <c r="D1805" s="2" t="s">
        <v>30</v>
      </c>
      <c r="E1805" s="2" t="s">
        <v>13</v>
      </c>
      <c r="F1805">
        <v>843</v>
      </c>
      <c r="G1805">
        <v>304</v>
      </c>
      <c r="H1805">
        <v>256272</v>
      </c>
      <c r="I1805">
        <v>31028.420999999998</v>
      </c>
      <c r="J1805" s="2" t="s">
        <v>42</v>
      </c>
    </row>
    <row r="1806" spans="1:10" x14ac:dyDescent="0.35">
      <c r="A1806" s="1">
        <v>45501</v>
      </c>
      <c r="B1806" s="2" t="s">
        <v>36</v>
      </c>
      <c r="C1806" s="2" t="s">
        <v>20</v>
      </c>
      <c r="D1806" s="2" t="s">
        <v>30</v>
      </c>
      <c r="E1806" s="2" t="s">
        <v>35</v>
      </c>
      <c r="F1806">
        <v>829</v>
      </c>
      <c r="G1806">
        <v>312</v>
      </c>
      <c r="H1806">
        <v>258648</v>
      </c>
      <c r="I1806">
        <v>57199.587</v>
      </c>
      <c r="J1806" s="2" t="s">
        <v>42</v>
      </c>
    </row>
    <row r="1807" spans="1:10" x14ac:dyDescent="0.35">
      <c r="A1807" s="1">
        <v>45502</v>
      </c>
      <c r="B1807" s="2" t="s">
        <v>10</v>
      </c>
      <c r="C1807" s="2" t="s">
        <v>27</v>
      </c>
      <c r="D1807" s="2" t="s">
        <v>12</v>
      </c>
      <c r="E1807" s="2" t="s">
        <v>13</v>
      </c>
      <c r="F1807">
        <v>415</v>
      </c>
      <c r="G1807">
        <v>151</v>
      </c>
      <c r="H1807">
        <v>62665</v>
      </c>
      <c r="I1807">
        <v>13847.9607</v>
      </c>
      <c r="J1807" s="2" t="s">
        <v>42</v>
      </c>
    </row>
    <row r="1808" spans="1:10" x14ac:dyDescent="0.35">
      <c r="A1808" s="1">
        <v>45502</v>
      </c>
      <c r="B1808" s="2" t="s">
        <v>25</v>
      </c>
      <c r="C1808" s="2" t="s">
        <v>11</v>
      </c>
      <c r="D1808" s="2" t="s">
        <v>30</v>
      </c>
      <c r="E1808" s="2" t="s">
        <v>18</v>
      </c>
      <c r="F1808">
        <v>63</v>
      </c>
      <c r="G1808">
        <v>324</v>
      </c>
      <c r="H1808">
        <v>20412</v>
      </c>
      <c r="I1808">
        <v>4936.3257000000003</v>
      </c>
      <c r="J1808" s="2" t="s">
        <v>42</v>
      </c>
    </row>
    <row r="1809" spans="1:10" x14ac:dyDescent="0.35">
      <c r="A1809" s="1">
        <v>45503</v>
      </c>
      <c r="B1809" s="2" t="s">
        <v>36</v>
      </c>
      <c r="C1809" s="2" t="s">
        <v>20</v>
      </c>
      <c r="D1809" s="2" t="s">
        <v>30</v>
      </c>
      <c r="E1809" s="2" t="s">
        <v>28</v>
      </c>
      <c r="F1809">
        <v>794</v>
      </c>
      <c r="G1809">
        <v>490</v>
      </c>
      <c r="H1809">
        <v>389060</v>
      </c>
      <c r="I1809">
        <v>43737.638899999998</v>
      </c>
      <c r="J1809" s="2" t="s">
        <v>42</v>
      </c>
    </row>
    <row r="1810" spans="1:10" x14ac:dyDescent="0.35">
      <c r="A1810" s="1">
        <v>45503</v>
      </c>
      <c r="B1810" s="2" t="s">
        <v>34</v>
      </c>
      <c r="C1810" s="2" t="s">
        <v>20</v>
      </c>
      <c r="D1810" s="2" t="s">
        <v>21</v>
      </c>
      <c r="E1810" s="2" t="s">
        <v>13</v>
      </c>
      <c r="F1810">
        <v>222</v>
      </c>
      <c r="G1810">
        <v>181</v>
      </c>
      <c r="H1810">
        <v>40182</v>
      </c>
      <c r="I1810">
        <v>6102.8410000000003</v>
      </c>
      <c r="J1810" s="2" t="s">
        <v>42</v>
      </c>
    </row>
    <row r="1811" spans="1:10" x14ac:dyDescent="0.35">
      <c r="A1811" s="1">
        <v>45504</v>
      </c>
      <c r="B1811" s="2" t="s">
        <v>10</v>
      </c>
      <c r="C1811" s="2" t="s">
        <v>16</v>
      </c>
      <c r="D1811" s="2" t="s">
        <v>30</v>
      </c>
      <c r="E1811" s="2" t="s">
        <v>28</v>
      </c>
      <c r="F1811">
        <v>953</v>
      </c>
      <c r="G1811">
        <v>345</v>
      </c>
      <c r="H1811">
        <v>328785</v>
      </c>
      <c r="I1811">
        <v>30536.150099999999</v>
      </c>
      <c r="J1811" s="2" t="s">
        <v>42</v>
      </c>
    </row>
    <row r="1812" spans="1:10" x14ac:dyDescent="0.35">
      <c r="A1812" s="1">
        <v>45504</v>
      </c>
      <c r="B1812" s="2" t="s">
        <v>19</v>
      </c>
      <c r="C1812" s="2" t="s">
        <v>23</v>
      </c>
      <c r="D1812" s="2" t="s">
        <v>30</v>
      </c>
      <c r="E1812" s="2" t="s">
        <v>32</v>
      </c>
      <c r="F1812">
        <v>911</v>
      </c>
      <c r="G1812">
        <v>364</v>
      </c>
      <c r="H1812">
        <v>331604</v>
      </c>
      <c r="I1812">
        <v>49094.9182</v>
      </c>
      <c r="J1812" s="2" t="s">
        <v>42</v>
      </c>
    </row>
    <row r="1813" spans="1:10" x14ac:dyDescent="0.35">
      <c r="A1813" s="1">
        <v>45504</v>
      </c>
      <c r="B1813" s="2" t="s">
        <v>15</v>
      </c>
      <c r="C1813" s="2" t="s">
        <v>23</v>
      </c>
      <c r="D1813" s="2" t="s">
        <v>30</v>
      </c>
      <c r="E1813" s="2" t="s">
        <v>13</v>
      </c>
      <c r="F1813">
        <v>358</v>
      </c>
      <c r="G1813">
        <v>212</v>
      </c>
      <c r="H1813">
        <v>75896</v>
      </c>
      <c r="I1813">
        <v>18340.6443</v>
      </c>
      <c r="J1813" s="2" t="s">
        <v>42</v>
      </c>
    </row>
    <row r="1814" spans="1:10" x14ac:dyDescent="0.35">
      <c r="A1814" s="1">
        <v>45504</v>
      </c>
      <c r="B1814" s="2" t="s">
        <v>10</v>
      </c>
      <c r="C1814" s="2" t="s">
        <v>11</v>
      </c>
      <c r="D1814" s="2" t="s">
        <v>21</v>
      </c>
      <c r="E1814" s="2" t="s">
        <v>28</v>
      </c>
      <c r="F1814">
        <v>163</v>
      </c>
      <c r="G1814">
        <v>271</v>
      </c>
      <c r="H1814">
        <v>44173</v>
      </c>
      <c r="I1814">
        <v>10096.4912</v>
      </c>
      <c r="J1814" s="2" t="s">
        <v>42</v>
      </c>
    </row>
    <row r="1815" spans="1:10" x14ac:dyDescent="0.35">
      <c r="A1815" s="1">
        <v>45505</v>
      </c>
      <c r="B1815" s="2" t="s">
        <v>19</v>
      </c>
      <c r="C1815" s="2" t="s">
        <v>20</v>
      </c>
      <c r="D1815" s="2" t="s">
        <v>21</v>
      </c>
      <c r="E1815" s="2" t="s">
        <v>32</v>
      </c>
      <c r="F1815">
        <v>107</v>
      </c>
      <c r="G1815">
        <v>158</v>
      </c>
      <c r="H1815">
        <v>16906</v>
      </c>
      <c r="I1815">
        <v>1673.588</v>
      </c>
      <c r="J1815" s="2" t="s">
        <v>43</v>
      </c>
    </row>
    <row r="1816" spans="1:10" x14ac:dyDescent="0.35">
      <c r="A1816" s="1">
        <v>45505</v>
      </c>
      <c r="B1816" s="2" t="s">
        <v>15</v>
      </c>
      <c r="C1816" s="2" t="s">
        <v>23</v>
      </c>
      <c r="D1816" s="2" t="s">
        <v>21</v>
      </c>
      <c r="E1816" s="2" t="s">
        <v>18</v>
      </c>
      <c r="F1816">
        <v>697</v>
      </c>
      <c r="G1816">
        <v>130</v>
      </c>
      <c r="H1816">
        <v>90610</v>
      </c>
      <c r="I1816">
        <v>17243.465</v>
      </c>
      <c r="J1816" s="2" t="s">
        <v>43</v>
      </c>
    </row>
    <row r="1817" spans="1:10" x14ac:dyDescent="0.35">
      <c r="A1817" s="1">
        <v>45505</v>
      </c>
      <c r="B1817" s="2" t="s">
        <v>36</v>
      </c>
      <c r="C1817" s="2" t="s">
        <v>16</v>
      </c>
      <c r="D1817" s="2" t="s">
        <v>12</v>
      </c>
      <c r="E1817" s="2" t="s">
        <v>33</v>
      </c>
      <c r="F1817">
        <v>369</v>
      </c>
      <c r="G1817">
        <v>466</v>
      </c>
      <c r="H1817">
        <v>171954</v>
      </c>
      <c r="I1817">
        <v>17358.338800000001</v>
      </c>
      <c r="J1817" s="2" t="s">
        <v>43</v>
      </c>
    </row>
    <row r="1818" spans="1:10" x14ac:dyDescent="0.35">
      <c r="A1818" s="1">
        <v>45505</v>
      </c>
      <c r="B1818" s="2" t="s">
        <v>19</v>
      </c>
      <c r="C1818" s="2" t="s">
        <v>27</v>
      </c>
      <c r="D1818" s="2" t="s">
        <v>12</v>
      </c>
      <c r="E1818" s="2" t="s">
        <v>35</v>
      </c>
      <c r="F1818">
        <v>986</v>
      </c>
      <c r="G1818">
        <v>118</v>
      </c>
      <c r="H1818">
        <v>116348</v>
      </c>
      <c r="I1818">
        <v>24086.633000000002</v>
      </c>
      <c r="J1818" s="2" t="s">
        <v>43</v>
      </c>
    </row>
    <row r="1819" spans="1:10" x14ac:dyDescent="0.35">
      <c r="A1819" s="1">
        <v>45506</v>
      </c>
      <c r="B1819" s="2" t="s">
        <v>10</v>
      </c>
      <c r="C1819" s="2" t="s">
        <v>11</v>
      </c>
      <c r="D1819" s="2" t="s">
        <v>17</v>
      </c>
      <c r="E1819" s="2" t="s">
        <v>28</v>
      </c>
      <c r="F1819">
        <v>243</v>
      </c>
      <c r="G1819">
        <v>209</v>
      </c>
      <c r="H1819">
        <v>50787</v>
      </c>
      <c r="I1819">
        <v>9986.0827000000008</v>
      </c>
      <c r="J1819" s="2" t="s">
        <v>43</v>
      </c>
    </row>
    <row r="1820" spans="1:10" x14ac:dyDescent="0.35">
      <c r="A1820" s="1">
        <v>45506</v>
      </c>
      <c r="B1820" s="2" t="s">
        <v>10</v>
      </c>
      <c r="C1820" s="2" t="s">
        <v>23</v>
      </c>
      <c r="D1820" s="2" t="s">
        <v>21</v>
      </c>
      <c r="E1820" s="2" t="s">
        <v>22</v>
      </c>
      <c r="F1820">
        <v>694</v>
      </c>
      <c r="G1820">
        <v>112</v>
      </c>
      <c r="H1820">
        <v>77728</v>
      </c>
      <c r="I1820">
        <v>15957.027400000001</v>
      </c>
      <c r="J1820" s="2" t="s">
        <v>43</v>
      </c>
    </row>
    <row r="1821" spans="1:10" x14ac:dyDescent="0.35">
      <c r="A1821" s="1">
        <v>45507</v>
      </c>
      <c r="B1821" s="2" t="s">
        <v>26</v>
      </c>
      <c r="C1821" s="2" t="s">
        <v>23</v>
      </c>
      <c r="D1821" s="2" t="s">
        <v>21</v>
      </c>
      <c r="E1821" s="2" t="s">
        <v>13</v>
      </c>
      <c r="F1821">
        <v>431</v>
      </c>
      <c r="G1821">
        <v>348</v>
      </c>
      <c r="H1821">
        <v>149988</v>
      </c>
      <c r="I1821">
        <v>21058.557000000001</v>
      </c>
      <c r="J1821" s="2" t="s">
        <v>43</v>
      </c>
    </row>
    <row r="1822" spans="1:10" x14ac:dyDescent="0.35">
      <c r="A1822" s="1">
        <v>45507</v>
      </c>
      <c r="B1822" s="2" t="s">
        <v>15</v>
      </c>
      <c r="C1822" s="2" t="s">
        <v>16</v>
      </c>
      <c r="D1822" s="2" t="s">
        <v>17</v>
      </c>
      <c r="E1822" s="2" t="s">
        <v>24</v>
      </c>
      <c r="F1822">
        <v>347</v>
      </c>
      <c r="G1822">
        <v>182</v>
      </c>
      <c r="H1822">
        <v>63154</v>
      </c>
      <c r="I1822">
        <v>10664.1857</v>
      </c>
      <c r="J1822" s="2" t="s">
        <v>43</v>
      </c>
    </row>
    <row r="1823" spans="1:10" x14ac:dyDescent="0.35">
      <c r="A1823" s="1">
        <v>45507</v>
      </c>
      <c r="B1823" s="2" t="s">
        <v>36</v>
      </c>
      <c r="C1823" s="2" t="s">
        <v>29</v>
      </c>
      <c r="D1823" s="2" t="s">
        <v>21</v>
      </c>
      <c r="E1823" s="2" t="s">
        <v>33</v>
      </c>
      <c r="F1823">
        <v>817</v>
      </c>
      <c r="G1823">
        <v>442</v>
      </c>
      <c r="H1823">
        <v>361114</v>
      </c>
      <c r="I1823">
        <v>45958.655400000003</v>
      </c>
      <c r="J1823" s="2" t="s">
        <v>43</v>
      </c>
    </row>
    <row r="1824" spans="1:10" x14ac:dyDescent="0.35">
      <c r="A1824" s="1">
        <v>45507</v>
      </c>
      <c r="B1824" s="2" t="s">
        <v>15</v>
      </c>
      <c r="C1824" s="2" t="s">
        <v>23</v>
      </c>
      <c r="D1824" s="2" t="s">
        <v>12</v>
      </c>
      <c r="E1824" s="2" t="s">
        <v>22</v>
      </c>
      <c r="F1824">
        <v>795</v>
      </c>
      <c r="G1824">
        <v>478</v>
      </c>
      <c r="H1824">
        <v>380010</v>
      </c>
      <c r="I1824">
        <v>32455.265899999999</v>
      </c>
      <c r="J1824" s="2" t="s">
        <v>43</v>
      </c>
    </row>
    <row r="1825" spans="1:10" x14ac:dyDescent="0.35">
      <c r="A1825" s="1">
        <v>45507</v>
      </c>
      <c r="B1825" s="2" t="s">
        <v>34</v>
      </c>
      <c r="C1825" s="2" t="s">
        <v>11</v>
      </c>
      <c r="D1825" s="2" t="s">
        <v>21</v>
      </c>
      <c r="E1825" s="2" t="s">
        <v>18</v>
      </c>
      <c r="F1825">
        <v>168</v>
      </c>
      <c r="G1825">
        <v>384</v>
      </c>
      <c r="H1825">
        <v>64512</v>
      </c>
      <c r="I1825">
        <v>11272.6453</v>
      </c>
      <c r="J1825" s="2" t="s">
        <v>43</v>
      </c>
    </row>
    <row r="1826" spans="1:10" x14ac:dyDescent="0.35">
      <c r="A1826" s="1">
        <v>45508</v>
      </c>
      <c r="B1826" s="2" t="s">
        <v>31</v>
      </c>
      <c r="C1826" s="2" t="s">
        <v>16</v>
      </c>
      <c r="D1826" s="2" t="s">
        <v>21</v>
      </c>
      <c r="E1826" s="2" t="s">
        <v>22</v>
      </c>
      <c r="F1826">
        <v>303</v>
      </c>
      <c r="G1826">
        <v>390</v>
      </c>
      <c r="H1826">
        <v>118170</v>
      </c>
      <c r="I1826">
        <v>15566.143</v>
      </c>
      <c r="J1826" s="2" t="s">
        <v>43</v>
      </c>
    </row>
    <row r="1827" spans="1:10" x14ac:dyDescent="0.35">
      <c r="A1827" s="1">
        <v>45508</v>
      </c>
      <c r="B1827" s="2" t="s">
        <v>26</v>
      </c>
      <c r="C1827" s="2" t="s">
        <v>16</v>
      </c>
      <c r="D1827" s="2" t="s">
        <v>30</v>
      </c>
      <c r="E1827" s="2" t="s">
        <v>28</v>
      </c>
      <c r="F1827">
        <v>998</v>
      </c>
      <c r="G1827">
        <v>225</v>
      </c>
      <c r="H1827">
        <v>224550</v>
      </c>
      <c r="I1827">
        <v>20961.3217</v>
      </c>
      <c r="J1827" s="2" t="s">
        <v>43</v>
      </c>
    </row>
    <row r="1828" spans="1:10" x14ac:dyDescent="0.35">
      <c r="A1828" s="1">
        <v>45508</v>
      </c>
      <c r="B1828" s="2" t="s">
        <v>34</v>
      </c>
      <c r="C1828" s="2" t="s">
        <v>23</v>
      </c>
      <c r="D1828" s="2" t="s">
        <v>30</v>
      </c>
      <c r="E1828" s="2" t="s">
        <v>35</v>
      </c>
      <c r="F1828">
        <v>865</v>
      </c>
      <c r="G1828">
        <v>276</v>
      </c>
      <c r="H1828">
        <v>238740</v>
      </c>
      <c r="I1828">
        <v>29754.091499999999</v>
      </c>
      <c r="J1828" s="2" t="s">
        <v>43</v>
      </c>
    </row>
    <row r="1829" spans="1:10" x14ac:dyDescent="0.35">
      <c r="A1829" s="1">
        <v>45509</v>
      </c>
      <c r="B1829" s="2" t="s">
        <v>10</v>
      </c>
      <c r="C1829" s="2" t="s">
        <v>29</v>
      </c>
      <c r="D1829" s="2" t="s">
        <v>17</v>
      </c>
      <c r="E1829" s="2" t="s">
        <v>33</v>
      </c>
      <c r="F1829">
        <v>622</v>
      </c>
      <c r="G1829">
        <v>187</v>
      </c>
      <c r="H1829">
        <v>116314</v>
      </c>
      <c r="I1829">
        <v>17947.644400000001</v>
      </c>
      <c r="J1829" s="2" t="s">
        <v>43</v>
      </c>
    </row>
    <row r="1830" spans="1:10" x14ac:dyDescent="0.35">
      <c r="A1830" s="1">
        <v>45510</v>
      </c>
      <c r="B1830" s="2" t="s">
        <v>19</v>
      </c>
      <c r="C1830" s="2" t="s">
        <v>23</v>
      </c>
      <c r="D1830" s="2" t="s">
        <v>17</v>
      </c>
      <c r="E1830" s="2" t="s">
        <v>13</v>
      </c>
      <c r="F1830">
        <v>920</v>
      </c>
      <c r="G1830">
        <v>492</v>
      </c>
      <c r="H1830">
        <v>452640</v>
      </c>
      <c r="I1830">
        <v>108622.1048</v>
      </c>
      <c r="J1830" s="2" t="s">
        <v>43</v>
      </c>
    </row>
    <row r="1831" spans="1:10" x14ac:dyDescent="0.35">
      <c r="A1831" s="1">
        <v>45510</v>
      </c>
      <c r="B1831" s="2" t="s">
        <v>26</v>
      </c>
      <c r="C1831" s="2" t="s">
        <v>23</v>
      </c>
      <c r="D1831" s="2" t="s">
        <v>21</v>
      </c>
      <c r="E1831" s="2" t="s">
        <v>35</v>
      </c>
      <c r="F1831">
        <v>630</v>
      </c>
      <c r="G1831">
        <v>182</v>
      </c>
      <c r="H1831">
        <v>114660</v>
      </c>
      <c r="I1831">
        <v>9396.9207999999999</v>
      </c>
      <c r="J1831" s="2" t="s">
        <v>43</v>
      </c>
    </row>
    <row r="1832" spans="1:10" x14ac:dyDescent="0.35">
      <c r="A1832" s="1">
        <v>45510</v>
      </c>
      <c r="B1832" s="2" t="s">
        <v>19</v>
      </c>
      <c r="C1832" s="2" t="s">
        <v>11</v>
      </c>
      <c r="D1832" s="2" t="s">
        <v>30</v>
      </c>
      <c r="E1832" s="2" t="s">
        <v>32</v>
      </c>
      <c r="F1832">
        <v>122</v>
      </c>
      <c r="G1832">
        <v>263</v>
      </c>
      <c r="H1832">
        <v>32086</v>
      </c>
      <c r="I1832">
        <v>4373.3215</v>
      </c>
      <c r="J1832" s="2" t="s">
        <v>43</v>
      </c>
    </row>
    <row r="1833" spans="1:10" x14ac:dyDescent="0.35">
      <c r="A1833" s="1">
        <v>45511</v>
      </c>
      <c r="B1833" s="2" t="s">
        <v>26</v>
      </c>
      <c r="C1833" s="2" t="s">
        <v>29</v>
      </c>
      <c r="D1833" s="2" t="s">
        <v>30</v>
      </c>
      <c r="E1833" s="2" t="s">
        <v>24</v>
      </c>
      <c r="F1833">
        <v>788</v>
      </c>
      <c r="G1833">
        <v>298</v>
      </c>
      <c r="H1833">
        <v>234824</v>
      </c>
      <c r="I1833">
        <v>34869.544999999998</v>
      </c>
      <c r="J1833" s="2" t="s">
        <v>43</v>
      </c>
    </row>
    <row r="1834" spans="1:10" x14ac:dyDescent="0.35">
      <c r="A1834" s="1">
        <v>45511</v>
      </c>
      <c r="B1834" s="2" t="s">
        <v>31</v>
      </c>
      <c r="C1834" s="2" t="s">
        <v>23</v>
      </c>
      <c r="D1834" s="2" t="s">
        <v>17</v>
      </c>
      <c r="E1834" s="2" t="s">
        <v>22</v>
      </c>
      <c r="F1834">
        <v>582</v>
      </c>
      <c r="G1834">
        <v>177</v>
      </c>
      <c r="H1834">
        <v>103014</v>
      </c>
      <c r="I1834">
        <v>11007.051299999999</v>
      </c>
      <c r="J1834" s="2" t="s">
        <v>43</v>
      </c>
    </row>
    <row r="1835" spans="1:10" x14ac:dyDescent="0.35">
      <c r="A1835" s="1">
        <v>45512</v>
      </c>
      <c r="B1835" s="2" t="s">
        <v>34</v>
      </c>
      <c r="C1835" s="2" t="s">
        <v>27</v>
      </c>
      <c r="D1835" s="2" t="s">
        <v>21</v>
      </c>
      <c r="E1835" s="2" t="s">
        <v>33</v>
      </c>
      <c r="F1835">
        <v>265</v>
      </c>
      <c r="G1835">
        <v>255</v>
      </c>
      <c r="H1835">
        <v>67575</v>
      </c>
      <c r="I1835">
        <v>11373.2858</v>
      </c>
      <c r="J1835" s="2" t="s">
        <v>43</v>
      </c>
    </row>
    <row r="1836" spans="1:10" x14ac:dyDescent="0.35">
      <c r="A1836" s="1">
        <v>45512</v>
      </c>
      <c r="B1836" s="2" t="s">
        <v>34</v>
      </c>
      <c r="C1836" s="2" t="s">
        <v>20</v>
      </c>
      <c r="D1836" s="2" t="s">
        <v>17</v>
      </c>
      <c r="E1836" s="2" t="s">
        <v>28</v>
      </c>
      <c r="F1836">
        <v>311</v>
      </c>
      <c r="G1836">
        <v>145</v>
      </c>
      <c r="H1836">
        <v>45095</v>
      </c>
      <c r="I1836">
        <v>9222.7826000000005</v>
      </c>
      <c r="J1836" s="2" t="s">
        <v>43</v>
      </c>
    </row>
    <row r="1837" spans="1:10" x14ac:dyDescent="0.35">
      <c r="A1837" s="1">
        <v>45513</v>
      </c>
      <c r="B1837" s="2" t="s">
        <v>25</v>
      </c>
      <c r="C1837" s="2" t="s">
        <v>23</v>
      </c>
      <c r="D1837" s="2" t="s">
        <v>30</v>
      </c>
      <c r="E1837" s="2" t="s">
        <v>28</v>
      </c>
      <c r="F1837">
        <v>228</v>
      </c>
      <c r="G1837">
        <v>377</v>
      </c>
      <c r="H1837">
        <v>85956</v>
      </c>
      <c r="I1837">
        <v>9574.3487999999998</v>
      </c>
      <c r="J1837" s="2" t="s">
        <v>43</v>
      </c>
    </row>
    <row r="1838" spans="1:10" x14ac:dyDescent="0.35">
      <c r="A1838" s="1">
        <v>45513</v>
      </c>
      <c r="B1838" s="2" t="s">
        <v>15</v>
      </c>
      <c r="C1838" s="2" t="s">
        <v>29</v>
      </c>
      <c r="D1838" s="2" t="s">
        <v>12</v>
      </c>
      <c r="E1838" s="2" t="s">
        <v>24</v>
      </c>
      <c r="F1838">
        <v>144</v>
      </c>
      <c r="G1838">
        <v>319</v>
      </c>
      <c r="H1838">
        <v>45936</v>
      </c>
      <c r="I1838">
        <v>5455.9652999999998</v>
      </c>
      <c r="J1838" s="2" t="s">
        <v>43</v>
      </c>
    </row>
    <row r="1839" spans="1:10" x14ac:dyDescent="0.35">
      <c r="A1839" s="1">
        <v>45514</v>
      </c>
      <c r="B1839" s="2" t="s">
        <v>25</v>
      </c>
      <c r="C1839" s="2" t="s">
        <v>20</v>
      </c>
      <c r="D1839" s="2" t="s">
        <v>17</v>
      </c>
      <c r="E1839" s="2" t="s">
        <v>28</v>
      </c>
      <c r="F1839">
        <v>739</v>
      </c>
      <c r="G1839">
        <v>138</v>
      </c>
      <c r="H1839">
        <v>101982</v>
      </c>
      <c r="I1839">
        <v>16431.3596</v>
      </c>
      <c r="J1839" s="2" t="s">
        <v>43</v>
      </c>
    </row>
    <row r="1840" spans="1:10" x14ac:dyDescent="0.35">
      <c r="A1840" s="1">
        <v>45514</v>
      </c>
      <c r="B1840" s="2" t="s">
        <v>19</v>
      </c>
      <c r="C1840" s="2" t="s">
        <v>27</v>
      </c>
      <c r="D1840" s="2" t="s">
        <v>17</v>
      </c>
      <c r="E1840" s="2" t="s">
        <v>24</v>
      </c>
      <c r="F1840">
        <v>158</v>
      </c>
      <c r="G1840">
        <v>227</v>
      </c>
      <c r="H1840">
        <v>35866</v>
      </c>
      <c r="I1840">
        <v>2937.6961999999999</v>
      </c>
      <c r="J1840" s="2" t="s">
        <v>43</v>
      </c>
    </row>
    <row r="1841" spans="1:10" x14ac:dyDescent="0.35">
      <c r="A1841" s="1">
        <v>45514</v>
      </c>
      <c r="B1841" s="2" t="s">
        <v>34</v>
      </c>
      <c r="C1841" s="2" t="s">
        <v>27</v>
      </c>
      <c r="D1841" s="2" t="s">
        <v>12</v>
      </c>
      <c r="E1841" s="2" t="s">
        <v>33</v>
      </c>
      <c r="F1841">
        <v>839</v>
      </c>
      <c r="G1841">
        <v>376</v>
      </c>
      <c r="H1841">
        <v>315464</v>
      </c>
      <c r="I1841">
        <v>36455.329899999997</v>
      </c>
      <c r="J1841" s="2" t="s">
        <v>43</v>
      </c>
    </row>
    <row r="1842" spans="1:10" x14ac:dyDescent="0.35">
      <c r="A1842" s="1">
        <v>45514</v>
      </c>
      <c r="B1842" s="2" t="s">
        <v>10</v>
      </c>
      <c r="C1842" s="2" t="s">
        <v>16</v>
      </c>
      <c r="D1842" s="2" t="s">
        <v>21</v>
      </c>
      <c r="E1842" s="2" t="s">
        <v>22</v>
      </c>
      <c r="F1842">
        <v>916</v>
      </c>
      <c r="G1842">
        <v>175</v>
      </c>
      <c r="H1842">
        <v>160300</v>
      </c>
      <c r="I1842">
        <v>15033.6294</v>
      </c>
      <c r="J1842" s="2" t="s">
        <v>43</v>
      </c>
    </row>
    <row r="1843" spans="1:10" x14ac:dyDescent="0.35">
      <c r="A1843" s="1">
        <v>45514</v>
      </c>
      <c r="B1843" s="2" t="s">
        <v>31</v>
      </c>
      <c r="C1843" s="2" t="s">
        <v>29</v>
      </c>
      <c r="D1843" s="2" t="s">
        <v>21</v>
      </c>
      <c r="E1843" s="2" t="s">
        <v>18</v>
      </c>
      <c r="F1843">
        <v>711</v>
      </c>
      <c r="G1843">
        <v>459</v>
      </c>
      <c r="H1843">
        <v>326349</v>
      </c>
      <c r="I1843">
        <v>67422.767999999996</v>
      </c>
      <c r="J1843" s="2" t="s">
        <v>43</v>
      </c>
    </row>
    <row r="1844" spans="1:10" x14ac:dyDescent="0.35">
      <c r="A1844" s="1">
        <v>45514</v>
      </c>
      <c r="B1844" s="2" t="s">
        <v>34</v>
      </c>
      <c r="C1844" s="2" t="s">
        <v>11</v>
      </c>
      <c r="D1844" s="2" t="s">
        <v>21</v>
      </c>
      <c r="E1844" s="2" t="s">
        <v>24</v>
      </c>
      <c r="F1844">
        <v>648</v>
      </c>
      <c r="G1844">
        <v>289</v>
      </c>
      <c r="H1844">
        <v>187272</v>
      </c>
      <c r="I1844">
        <v>25402.831900000001</v>
      </c>
      <c r="J1844" s="2" t="s">
        <v>43</v>
      </c>
    </row>
    <row r="1845" spans="1:10" x14ac:dyDescent="0.35">
      <c r="A1845" s="1">
        <v>45514</v>
      </c>
      <c r="B1845" s="2" t="s">
        <v>34</v>
      </c>
      <c r="C1845" s="2" t="s">
        <v>27</v>
      </c>
      <c r="D1845" s="2" t="s">
        <v>17</v>
      </c>
      <c r="E1845" s="2" t="s">
        <v>28</v>
      </c>
      <c r="F1845">
        <v>577</v>
      </c>
      <c r="G1845">
        <v>173</v>
      </c>
      <c r="H1845">
        <v>99821</v>
      </c>
      <c r="I1845">
        <v>9616.6309999999994</v>
      </c>
      <c r="J1845" s="2" t="s">
        <v>43</v>
      </c>
    </row>
    <row r="1846" spans="1:10" x14ac:dyDescent="0.35">
      <c r="A1846" s="1">
        <v>45514</v>
      </c>
      <c r="B1846" s="2" t="s">
        <v>31</v>
      </c>
      <c r="C1846" s="2" t="s">
        <v>23</v>
      </c>
      <c r="D1846" s="2" t="s">
        <v>17</v>
      </c>
      <c r="E1846" s="2" t="s">
        <v>13</v>
      </c>
      <c r="F1846">
        <v>762</v>
      </c>
      <c r="G1846">
        <v>352</v>
      </c>
      <c r="H1846">
        <v>268224</v>
      </c>
      <c r="I1846">
        <v>40007.322800000002</v>
      </c>
      <c r="J1846" s="2" t="s">
        <v>43</v>
      </c>
    </row>
    <row r="1847" spans="1:10" x14ac:dyDescent="0.35">
      <c r="A1847" s="1">
        <v>45515</v>
      </c>
      <c r="B1847" s="2" t="s">
        <v>34</v>
      </c>
      <c r="C1847" s="2" t="s">
        <v>29</v>
      </c>
      <c r="D1847" s="2" t="s">
        <v>30</v>
      </c>
      <c r="E1847" s="2" t="s">
        <v>33</v>
      </c>
      <c r="F1847">
        <v>216</v>
      </c>
      <c r="G1847">
        <v>127</v>
      </c>
      <c r="H1847">
        <v>27432</v>
      </c>
      <c r="I1847">
        <v>2260.2271999999998</v>
      </c>
      <c r="J1847" s="2" t="s">
        <v>43</v>
      </c>
    </row>
    <row r="1848" spans="1:10" x14ac:dyDescent="0.35">
      <c r="A1848" s="1">
        <v>45515</v>
      </c>
      <c r="B1848" s="2" t="s">
        <v>25</v>
      </c>
      <c r="C1848" s="2" t="s">
        <v>16</v>
      </c>
      <c r="D1848" s="2" t="s">
        <v>21</v>
      </c>
      <c r="E1848" s="2" t="s">
        <v>24</v>
      </c>
      <c r="F1848">
        <v>330</v>
      </c>
      <c r="G1848">
        <v>220</v>
      </c>
      <c r="H1848">
        <v>72600</v>
      </c>
      <c r="I1848">
        <v>16655.987400000002</v>
      </c>
      <c r="J1848" s="2" t="s">
        <v>43</v>
      </c>
    </row>
    <row r="1849" spans="1:10" x14ac:dyDescent="0.35">
      <c r="A1849" s="1">
        <v>45515</v>
      </c>
      <c r="B1849" s="2" t="s">
        <v>26</v>
      </c>
      <c r="C1849" s="2" t="s">
        <v>11</v>
      </c>
      <c r="D1849" s="2" t="s">
        <v>21</v>
      </c>
      <c r="E1849" s="2" t="s">
        <v>18</v>
      </c>
      <c r="F1849">
        <v>848</v>
      </c>
      <c r="G1849">
        <v>313</v>
      </c>
      <c r="H1849">
        <v>265424</v>
      </c>
      <c r="I1849">
        <v>29333.090899999999</v>
      </c>
      <c r="J1849" s="2" t="s">
        <v>43</v>
      </c>
    </row>
    <row r="1850" spans="1:10" x14ac:dyDescent="0.35">
      <c r="A1850" s="1">
        <v>45515</v>
      </c>
      <c r="B1850" s="2" t="s">
        <v>19</v>
      </c>
      <c r="C1850" s="2" t="s">
        <v>20</v>
      </c>
      <c r="D1850" s="2" t="s">
        <v>21</v>
      </c>
      <c r="E1850" s="2" t="s">
        <v>32</v>
      </c>
      <c r="F1850">
        <v>706</v>
      </c>
      <c r="G1850">
        <v>323</v>
      </c>
      <c r="H1850">
        <v>228038</v>
      </c>
      <c r="I1850">
        <v>18342.033599999999</v>
      </c>
      <c r="J1850" s="2" t="s">
        <v>43</v>
      </c>
    </row>
    <row r="1851" spans="1:10" x14ac:dyDescent="0.35">
      <c r="A1851" s="1">
        <v>45515</v>
      </c>
      <c r="B1851" s="2" t="s">
        <v>36</v>
      </c>
      <c r="C1851" s="2" t="s">
        <v>20</v>
      </c>
      <c r="D1851" s="2" t="s">
        <v>17</v>
      </c>
      <c r="E1851" s="2" t="s">
        <v>18</v>
      </c>
      <c r="F1851">
        <v>862</v>
      </c>
      <c r="G1851">
        <v>340</v>
      </c>
      <c r="H1851">
        <v>293080</v>
      </c>
      <c r="I1851">
        <v>55736.432999999997</v>
      </c>
      <c r="J1851" s="2" t="s">
        <v>43</v>
      </c>
    </row>
    <row r="1852" spans="1:10" x14ac:dyDescent="0.35">
      <c r="A1852" s="1">
        <v>45516</v>
      </c>
      <c r="B1852" s="2" t="s">
        <v>34</v>
      </c>
      <c r="C1852" s="2" t="s">
        <v>27</v>
      </c>
      <c r="D1852" s="2" t="s">
        <v>30</v>
      </c>
      <c r="E1852" s="2" t="s">
        <v>22</v>
      </c>
      <c r="F1852">
        <v>955</v>
      </c>
      <c r="G1852">
        <v>269</v>
      </c>
      <c r="H1852">
        <v>256895</v>
      </c>
      <c r="I1852">
        <v>47610.300799999997</v>
      </c>
      <c r="J1852" s="2" t="s">
        <v>43</v>
      </c>
    </row>
    <row r="1853" spans="1:10" x14ac:dyDescent="0.35">
      <c r="A1853" s="1">
        <v>45516</v>
      </c>
      <c r="B1853" s="2" t="s">
        <v>31</v>
      </c>
      <c r="C1853" s="2" t="s">
        <v>16</v>
      </c>
      <c r="D1853" s="2" t="s">
        <v>12</v>
      </c>
      <c r="E1853" s="2" t="s">
        <v>28</v>
      </c>
      <c r="F1853">
        <v>934</v>
      </c>
      <c r="G1853">
        <v>117</v>
      </c>
      <c r="H1853">
        <v>109278</v>
      </c>
      <c r="I1853">
        <v>26513.8845</v>
      </c>
      <c r="J1853" s="2" t="s">
        <v>43</v>
      </c>
    </row>
    <row r="1854" spans="1:10" x14ac:dyDescent="0.35">
      <c r="A1854" s="1">
        <v>45517</v>
      </c>
      <c r="B1854" s="2" t="s">
        <v>15</v>
      </c>
      <c r="C1854" s="2" t="s">
        <v>11</v>
      </c>
      <c r="D1854" s="2" t="s">
        <v>21</v>
      </c>
      <c r="E1854" s="2" t="s">
        <v>24</v>
      </c>
      <c r="F1854">
        <v>728</v>
      </c>
      <c r="G1854">
        <v>422</v>
      </c>
      <c r="H1854">
        <v>307216</v>
      </c>
      <c r="I1854">
        <v>25246.7395</v>
      </c>
      <c r="J1854" s="2" t="s">
        <v>43</v>
      </c>
    </row>
    <row r="1855" spans="1:10" x14ac:dyDescent="0.35">
      <c r="A1855" s="1">
        <v>45518</v>
      </c>
      <c r="B1855" s="2" t="s">
        <v>15</v>
      </c>
      <c r="C1855" s="2" t="s">
        <v>23</v>
      </c>
      <c r="D1855" s="2" t="s">
        <v>21</v>
      </c>
      <c r="E1855" s="2" t="s">
        <v>13</v>
      </c>
      <c r="F1855">
        <v>994</v>
      </c>
      <c r="G1855">
        <v>360</v>
      </c>
      <c r="H1855">
        <v>357840</v>
      </c>
      <c r="I1855">
        <v>51728.123299999999</v>
      </c>
      <c r="J1855" s="2" t="s">
        <v>43</v>
      </c>
    </row>
    <row r="1856" spans="1:10" x14ac:dyDescent="0.35">
      <c r="A1856" s="1">
        <v>45518</v>
      </c>
      <c r="B1856" s="2" t="s">
        <v>25</v>
      </c>
      <c r="C1856" s="2" t="s">
        <v>23</v>
      </c>
      <c r="D1856" s="2" t="s">
        <v>17</v>
      </c>
      <c r="E1856" s="2" t="s">
        <v>33</v>
      </c>
      <c r="F1856">
        <v>211</v>
      </c>
      <c r="G1856">
        <v>311</v>
      </c>
      <c r="H1856">
        <v>65621</v>
      </c>
      <c r="I1856">
        <v>14099.502699999999</v>
      </c>
      <c r="J1856" s="2" t="s">
        <v>43</v>
      </c>
    </row>
    <row r="1857" spans="1:10" x14ac:dyDescent="0.35">
      <c r="A1857" s="1">
        <v>45519</v>
      </c>
      <c r="B1857" s="2" t="s">
        <v>25</v>
      </c>
      <c r="C1857" s="2" t="s">
        <v>23</v>
      </c>
      <c r="D1857" s="2" t="s">
        <v>21</v>
      </c>
      <c r="E1857" s="2" t="s">
        <v>28</v>
      </c>
      <c r="F1857">
        <v>759</v>
      </c>
      <c r="G1857">
        <v>285</v>
      </c>
      <c r="H1857">
        <v>216315</v>
      </c>
      <c r="I1857">
        <v>48534.856500000002</v>
      </c>
      <c r="J1857" s="2" t="s">
        <v>43</v>
      </c>
    </row>
    <row r="1858" spans="1:10" x14ac:dyDescent="0.35">
      <c r="A1858" s="1">
        <v>45519</v>
      </c>
      <c r="B1858" s="2" t="s">
        <v>34</v>
      </c>
      <c r="C1858" s="2" t="s">
        <v>27</v>
      </c>
      <c r="D1858" s="2" t="s">
        <v>17</v>
      </c>
      <c r="E1858" s="2" t="s">
        <v>13</v>
      </c>
      <c r="F1858">
        <v>813</v>
      </c>
      <c r="G1858">
        <v>151</v>
      </c>
      <c r="H1858">
        <v>122763</v>
      </c>
      <c r="I1858">
        <v>27924.4899</v>
      </c>
      <c r="J1858" s="2" t="s">
        <v>43</v>
      </c>
    </row>
    <row r="1859" spans="1:10" x14ac:dyDescent="0.35">
      <c r="A1859" s="1">
        <v>45519</v>
      </c>
      <c r="B1859" s="2" t="s">
        <v>25</v>
      </c>
      <c r="C1859" s="2" t="s">
        <v>20</v>
      </c>
      <c r="D1859" s="2" t="s">
        <v>17</v>
      </c>
      <c r="E1859" s="2" t="s">
        <v>33</v>
      </c>
      <c r="F1859">
        <v>422</v>
      </c>
      <c r="G1859">
        <v>155</v>
      </c>
      <c r="H1859">
        <v>65410</v>
      </c>
      <c r="I1859">
        <v>7423.7710999999999</v>
      </c>
      <c r="J1859" s="2" t="s">
        <v>43</v>
      </c>
    </row>
    <row r="1860" spans="1:10" x14ac:dyDescent="0.35">
      <c r="A1860" s="1">
        <v>45519</v>
      </c>
      <c r="B1860" s="2" t="s">
        <v>34</v>
      </c>
      <c r="C1860" s="2" t="s">
        <v>20</v>
      </c>
      <c r="D1860" s="2" t="s">
        <v>21</v>
      </c>
      <c r="E1860" s="2" t="s">
        <v>35</v>
      </c>
      <c r="F1860">
        <v>693</v>
      </c>
      <c r="G1860">
        <v>455</v>
      </c>
      <c r="H1860">
        <v>315315</v>
      </c>
      <c r="I1860">
        <v>39261.318099999997</v>
      </c>
      <c r="J1860" s="2" t="s">
        <v>43</v>
      </c>
    </row>
    <row r="1861" spans="1:10" x14ac:dyDescent="0.35">
      <c r="A1861" s="1">
        <v>45519</v>
      </c>
      <c r="B1861" s="2" t="s">
        <v>26</v>
      </c>
      <c r="C1861" s="2" t="s">
        <v>29</v>
      </c>
      <c r="D1861" s="2" t="s">
        <v>30</v>
      </c>
      <c r="E1861" s="2" t="s">
        <v>13</v>
      </c>
      <c r="F1861">
        <v>211</v>
      </c>
      <c r="G1861">
        <v>127</v>
      </c>
      <c r="H1861">
        <v>26797</v>
      </c>
      <c r="I1861">
        <v>2947.8096</v>
      </c>
      <c r="J1861" s="2" t="s">
        <v>43</v>
      </c>
    </row>
    <row r="1862" spans="1:10" x14ac:dyDescent="0.35">
      <c r="A1862" s="1">
        <v>45520</v>
      </c>
      <c r="B1862" s="2" t="s">
        <v>25</v>
      </c>
      <c r="C1862" s="2" t="s">
        <v>23</v>
      </c>
      <c r="D1862" s="2" t="s">
        <v>17</v>
      </c>
      <c r="E1862" s="2" t="s">
        <v>32</v>
      </c>
      <c r="F1862">
        <v>138</v>
      </c>
      <c r="G1862">
        <v>333</v>
      </c>
      <c r="H1862">
        <v>45954</v>
      </c>
      <c r="I1862">
        <v>10464.887000000001</v>
      </c>
      <c r="J1862" s="2" t="s">
        <v>43</v>
      </c>
    </row>
    <row r="1863" spans="1:10" x14ac:dyDescent="0.35">
      <c r="A1863" s="1">
        <v>45520</v>
      </c>
      <c r="B1863" s="2" t="s">
        <v>10</v>
      </c>
      <c r="C1863" s="2" t="s">
        <v>23</v>
      </c>
      <c r="D1863" s="2" t="s">
        <v>17</v>
      </c>
      <c r="E1863" s="2" t="s">
        <v>32</v>
      </c>
      <c r="F1863">
        <v>432</v>
      </c>
      <c r="G1863">
        <v>303</v>
      </c>
      <c r="H1863">
        <v>130896</v>
      </c>
      <c r="I1863">
        <v>30062.149099999999</v>
      </c>
      <c r="J1863" s="2" t="s">
        <v>43</v>
      </c>
    </row>
    <row r="1864" spans="1:10" x14ac:dyDescent="0.35">
      <c r="A1864" s="1">
        <v>45520</v>
      </c>
      <c r="B1864" s="2" t="s">
        <v>19</v>
      </c>
      <c r="C1864" s="2" t="s">
        <v>29</v>
      </c>
      <c r="D1864" s="2" t="s">
        <v>17</v>
      </c>
      <c r="E1864" s="2" t="s">
        <v>24</v>
      </c>
      <c r="F1864">
        <v>107</v>
      </c>
      <c r="G1864">
        <v>255</v>
      </c>
      <c r="H1864">
        <v>27285</v>
      </c>
      <c r="I1864">
        <v>2606.5187999999998</v>
      </c>
      <c r="J1864" s="2" t="s">
        <v>43</v>
      </c>
    </row>
    <row r="1865" spans="1:10" x14ac:dyDescent="0.35">
      <c r="A1865" s="1">
        <v>45520</v>
      </c>
      <c r="B1865" s="2" t="s">
        <v>26</v>
      </c>
      <c r="C1865" s="2" t="s">
        <v>20</v>
      </c>
      <c r="D1865" s="2" t="s">
        <v>30</v>
      </c>
      <c r="E1865" s="2" t="s">
        <v>32</v>
      </c>
      <c r="F1865">
        <v>174</v>
      </c>
      <c r="G1865">
        <v>248</v>
      </c>
      <c r="H1865">
        <v>43152</v>
      </c>
      <c r="I1865">
        <v>9487.0349000000006</v>
      </c>
      <c r="J1865" s="2" t="s">
        <v>43</v>
      </c>
    </row>
    <row r="1866" spans="1:10" x14ac:dyDescent="0.35">
      <c r="A1866" s="1">
        <v>45520</v>
      </c>
      <c r="B1866" s="2" t="s">
        <v>36</v>
      </c>
      <c r="C1866" s="2" t="s">
        <v>29</v>
      </c>
      <c r="D1866" s="2" t="s">
        <v>17</v>
      </c>
      <c r="E1866" s="2" t="s">
        <v>28</v>
      </c>
      <c r="F1866">
        <v>551</v>
      </c>
      <c r="G1866">
        <v>254</v>
      </c>
      <c r="H1866">
        <v>139954</v>
      </c>
      <c r="I1866">
        <v>34696.233699999997</v>
      </c>
      <c r="J1866" s="2" t="s">
        <v>43</v>
      </c>
    </row>
    <row r="1867" spans="1:10" x14ac:dyDescent="0.35">
      <c r="A1867" s="1">
        <v>45521</v>
      </c>
      <c r="B1867" s="2" t="s">
        <v>26</v>
      </c>
      <c r="C1867" s="2" t="s">
        <v>23</v>
      </c>
      <c r="D1867" s="2" t="s">
        <v>21</v>
      </c>
      <c r="E1867" s="2" t="s">
        <v>13</v>
      </c>
      <c r="F1867">
        <v>953</v>
      </c>
      <c r="G1867">
        <v>296</v>
      </c>
      <c r="H1867">
        <v>282088</v>
      </c>
      <c r="I1867">
        <v>54996.428800000002</v>
      </c>
      <c r="J1867" s="2" t="s">
        <v>43</v>
      </c>
    </row>
    <row r="1868" spans="1:10" x14ac:dyDescent="0.35">
      <c r="A1868" s="1">
        <v>45521</v>
      </c>
      <c r="B1868" s="2" t="s">
        <v>34</v>
      </c>
      <c r="C1868" s="2" t="s">
        <v>29</v>
      </c>
      <c r="D1868" s="2" t="s">
        <v>12</v>
      </c>
      <c r="E1868" s="2" t="s">
        <v>13</v>
      </c>
      <c r="F1868">
        <v>207</v>
      </c>
      <c r="G1868">
        <v>458</v>
      </c>
      <c r="H1868">
        <v>94806</v>
      </c>
      <c r="I1868">
        <v>18826.4542</v>
      </c>
      <c r="J1868" s="2" t="s">
        <v>43</v>
      </c>
    </row>
    <row r="1869" spans="1:10" x14ac:dyDescent="0.35">
      <c r="A1869" s="1">
        <v>45521</v>
      </c>
      <c r="B1869" s="2" t="s">
        <v>19</v>
      </c>
      <c r="C1869" s="2" t="s">
        <v>29</v>
      </c>
      <c r="D1869" s="2" t="s">
        <v>17</v>
      </c>
      <c r="E1869" s="2" t="s">
        <v>13</v>
      </c>
      <c r="F1869">
        <v>562</v>
      </c>
      <c r="G1869">
        <v>174</v>
      </c>
      <c r="H1869">
        <v>97788</v>
      </c>
      <c r="I1869">
        <v>8061.6156000000001</v>
      </c>
      <c r="J1869" s="2" t="s">
        <v>43</v>
      </c>
    </row>
    <row r="1870" spans="1:10" x14ac:dyDescent="0.35">
      <c r="A1870" s="1">
        <v>45522</v>
      </c>
      <c r="B1870" s="2" t="s">
        <v>15</v>
      </c>
      <c r="C1870" s="2" t="s">
        <v>23</v>
      </c>
      <c r="D1870" s="2" t="s">
        <v>21</v>
      </c>
      <c r="E1870" s="2" t="s">
        <v>28</v>
      </c>
      <c r="F1870">
        <v>989</v>
      </c>
      <c r="G1870">
        <v>199</v>
      </c>
      <c r="H1870">
        <v>196811</v>
      </c>
      <c r="I1870">
        <v>16958.5052</v>
      </c>
      <c r="J1870" s="2" t="s">
        <v>43</v>
      </c>
    </row>
    <row r="1871" spans="1:10" x14ac:dyDescent="0.35">
      <c r="A1871" s="1">
        <v>45522</v>
      </c>
      <c r="B1871" s="2" t="s">
        <v>25</v>
      </c>
      <c r="C1871" s="2" t="s">
        <v>29</v>
      </c>
      <c r="D1871" s="2" t="s">
        <v>30</v>
      </c>
      <c r="E1871" s="2" t="s">
        <v>22</v>
      </c>
      <c r="F1871">
        <v>70</v>
      </c>
      <c r="G1871">
        <v>411</v>
      </c>
      <c r="H1871">
        <v>28770</v>
      </c>
      <c r="I1871">
        <v>2759.3164999999999</v>
      </c>
      <c r="J1871" s="2" t="s">
        <v>43</v>
      </c>
    </row>
    <row r="1872" spans="1:10" x14ac:dyDescent="0.35">
      <c r="A1872" s="1">
        <v>45522</v>
      </c>
      <c r="B1872" s="2" t="s">
        <v>25</v>
      </c>
      <c r="C1872" s="2" t="s">
        <v>27</v>
      </c>
      <c r="D1872" s="2" t="s">
        <v>30</v>
      </c>
      <c r="E1872" s="2" t="s">
        <v>18</v>
      </c>
      <c r="F1872">
        <v>811</v>
      </c>
      <c r="G1872">
        <v>214</v>
      </c>
      <c r="H1872">
        <v>173554</v>
      </c>
      <c r="I1872">
        <v>15147.1767</v>
      </c>
      <c r="J1872" s="2" t="s">
        <v>43</v>
      </c>
    </row>
    <row r="1873" spans="1:10" x14ac:dyDescent="0.35">
      <c r="A1873" s="1">
        <v>45522</v>
      </c>
      <c r="B1873" s="2" t="s">
        <v>34</v>
      </c>
      <c r="C1873" s="2" t="s">
        <v>29</v>
      </c>
      <c r="D1873" s="2" t="s">
        <v>12</v>
      </c>
      <c r="E1873" s="2" t="s">
        <v>18</v>
      </c>
      <c r="F1873">
        <v>624</v>
      </c>
      <c r="G1873">
        <v>181</v>
      </c>
      <c r="H1873">
        <v>112944</v>
      </c>
      <c r="I1873">
        <v>9871.1283999999996</v>
      </c>
      <c r="J1873" s="2" t="s">
        <v>43</v>
      </c>
    </row>
    <row r="1874" spans="1:10" x14ac:dyDescent="0.35">
      <c r="A1874" s="1">
        <v>45523</v>
      </c>
      <c r="B1874" s="2" t="s">
        <v>34</v>
      </c>
      <c r="C1874" s="2" t="s">
        <v>20</v>
      </c>
      <c r="D1874" s="2" t="s">
        <v>30</v>
      </c>
      <c r="E1874" s="2" t="s">
        <v>35</v>
      </c>
      <c r="F1874">
        <v>464</v>
      </c>
      <c r="G1874">
        <v>153</v>
      </c>
      <c r="H1874">
        <v>70992</v>
      </c>
      <c r="I1874">
        <v>8807.8917999999994</v>
      </c>
      <c r="J1874" s="2" t="s">
        <v>43</v>
      </c>
    </row>
    <row r="1875" spans="1:10" x14ac:dyDescent="0.35">
      <c r="A1875" s="1">
        <v>45524</v>
      </c>
      <c r="B1875" s="2" t="s">
        <v>10</v>
      </c>
      <c r="C1875" s="2" t="s">
        <v>27</v>
      </c>
      <c r="D1875" s="2" t="s">
        <v>17</v>
      </c>
      <c r="E1875" s="2" t="s">
        <v>22</v>
      </c>
      <c r="F1875">
        <v>665</v>
      </c>
      <c r="G1875">
        <v>310</v>
      </c>
      <c r="H1875">
        <v>206150</v>
      </c>
      <c r="I1875">
        <v>20132.924500000001</v>
      </c>
      <c r="J1875" s="2" t="s">
        <v>43</v>
      </c>
    </row>
    <row r="1876" spans="1:10" x14ac:dyDescent="0.35">
      <c r="A1876" s="1">
        <v>45524</v>
      </c>
      <c r="B1876" s="2" t="s">
        <v>36</v>
      </c>
      <c r="C1876" s="2" t="s">
        <v>20</v>
      </c>
      <c r="D1876" s="2" t="s">
        <v>17</v>
      </c>
      <c r="E1876" s="2" t="s">
        <v>33</v>
      </c>
      <c r="F1876">
        <v>379</v>
      </c>
      <c r="G1876">
        <v>122</v>
      </c>
      <c r="H1876">
        <v>46238</v>
      </c>
      <c r="I1876">
        <v>10244.0638</v>
      </c>
      <c r="J1876" s="2" t="s">
        <v>43</v>
      </c>
    </row>
    <row r="1877" spans="1:10" x14ac:dyDescent="0.35">
      <c r="A1877" s="1">
        <v>45524</v>
      </c>
      <c r="B1877" s="2" t="s">
        <v>34</v>
      </c>
      <c r="C1877" s="2" t="s">
        <v>29</v>
      </c>
      <c r="D1877" s="2" t="s">
        <v>21</v>
      </c>
      <c r="E1877" s="2" t="s">
        <v>24</v>
      </c>
      <c r="F1877">
        <v>238</v>
      </c>
      <c r="G1877">
        <v>447</v>
      </c>
      <c r="H1877">
        <v>106386</v>
      </c>
      <c r="I1877">
        <v>13280.676299999999</v>
      </c>
      <c r="J1877" s="2" t="s">
        <v>43</v>
      </c>
    </row>
    <row r="1878" spans="1:10" x14ac:dyDescent="0.35">
      <c r="A1878" s="1">
        <v>45524</v>
      </c>
      <c r="B1878" s="2" t="s">
        <v>10</v>
      </c>
      <c r="C1878" s="2" t="s">
        <v>27</v>
      </c>
      <c r="D1878" s="2" t="s">
        <v>12</v>
      </c>
      <c r="E1878" s="2" t="s">
        <v>22</v>
      </c>
      <c r="F1878">
        <v>918</v>
      </c>
      <c r="G1878">
        <v>470</v>
      </c>
      <c r="H1878">
        <v>431460</v>
      </c>
      <c r="I1878">
        <v>55814.2503</v>
      </c>
      <c r="J1878" s="2" t="s">
        <v>43</v>
      </c>
    </row>
    <row r="1879" spans="1:10" x14ac:dyDescent="0.35">
      <c r="A1879" s="1">
        <v>45524</v>
      </c>
      <c r="B1879" s="2" t="s">
        <v>15</v>
      </c>
      <c r="C1879" s="2" t="s">
        <v>20</v>
      </c>
      <c r="D1879" s="2" t="s">
        <v>17</v>
      </c>
      <c r="E1879" s="2" t="s">
        <v>32</v>
      </c>
      <c r="F1879">
        <v>410</v>
      </c>
      <c r="G1879">
        <v>402</v>
      </c>
      <c r="H1879">
        <v>164820</v>
      </c>
      <c r="I1879">
        <v>38382.852200000001</v>
      </c>
      <c r="J1879" s="2" t="s">
        <v>43</v>
      </c>
    </row>
    <row r="1880" spans="1:10" x14ac:dyDescent="0.35">
      <c r="A1880" s="1">
        <v>45524</v>
      </c>
      <c r="B1880" s="2" t="s">
        <v>25</v>
      </c>
      <c r="C1880" s="2" t="s">
        <v>20</v>
      </c>
      <c r="D1880" s="2" t="s">
        <v>17</v>
      </c>
      <c r="E1880" s="2" t="s">
        <v>32</v>
      </c>
      <c r="F1880">
        <v>820</v>
      </c>
      <c r="G1880">
        <v>307</v>
      </c>
      <c r="H1880">
        <v>251740</v>
      </c>
      <c r="I1880">
        <v>50036.783300000003</v>
      </c>
      <c r="J1880" s="2" t="s">
        <v>43</v>
      </c>
    </row>
    <row r="1881" spans="1:10" x14ac:dyDescent="0.35">
      <c r="A1881" s="1">
        <v>45527</v>
      </c>
      <c r="B1881" s="2" t="s">
        <v>19</v>
      </c>
      <c r="C1881" s="2" t="s">
        <v>27</v>
      </c>
      <c r="D1881" s="2" t="s">
        <v>12</v>
      </c>
      <c r="E1881" s="2" t="s">
        <v>22</v>
      </c>
      <c r="F1881">
        <v>894</v>
      </c>
      <c r="G1881">
        <v>329</v>
      </c>
      <c r="H1881">
        <v>294126</v>
      </c>
      <c r="I1881">
        <v>24334.107199999999</v>
      </c>
      <c r="J1881" s="2" t="s">
        <v>43</v>
      </c>
    </row>
    <row r="1882" spans="1:10" x14ac:dyDescent="0.35">
      <c r="A1882" s="1">
        <v>45527</v>
      </c>
      <c r="B1882" s="2" t="s">
        <v>34</v>
      </c>
      <c r="C1882" s="2" t="s">
        <v>29</v>
      </c>
      <c r="D1882" s="2" t="s">
        <v>17</v>
      </c>
      <c r="E1882" s="2" t="s">
        <v>33</v>
      </c>
      <c r="F1882">
        <v>186</v>
      </c>
      <c r="G1882">
        <v>427</v>
      </c>
      <c r="H1882">
        <v>79422</v>
      </c>
      <c r="I1882">
        <v>13270.468199999999</v>
      </c>
      <c r="J1882" s="2" t="s">
        <v>43</v>
      </c>
    </row>
    <row r="1883" spans="1:10" x14ac:dyDescent="0.35">
      <c r="A1883" s="1">
        <v>45527</v>
      </c>
      <c r="B1883" s="2" t="s">
        <v>36</v>
      </c>
      <c r="C1883" s="2" t="s">
        <v>29</v>
      </c>
      <c r="D1883" s="2" t="s">
        <v>17</v>
      </c>
      <c r="E1883" s="2" t="s">
        <v>35</v>
      </c>
      <c r="F1883">
        <v>993</v>
      </c>
      <c r="G1883">
        <v>216</v>
      </c>
      <c r="H1883">
        <v>214488</v>
      </c>
      <c r="I1883">
        <v>49167.8361</v>
      </c>
      <c r="J1883" s="2" t="s">
        <v>43</v>
      </c>
    </row>
    <row r="1884" spans="1:10" x14ac:dyDescent="0.35">
      <c r="A1884" s="1">
        <v>45527</v>
      </c>
      <c r="B1884" s="2" t="s">
        <v>10</v>
      </c>
      <c r="C1884" s="2" t="s">
        <v>29</v>
      </c>
      <c r="D1884" s="2" t="s">
        <v>30</v>
      </c>
      <c r="E1884" s="2" t="s">
        <v>24</v>
      </c>
      <c r="F1884">
        <v>75</v>
      </c>
      <c r="G1884">
        <v>174</v>
      </c>
      <c r="H1884">
        <v>13050</v>
      </c>
      <c r="I1884">
        <v>2370.1844999999998</v>
      </c>
      <c r="J1884" s="2" t="s">
        <v>43</v>
      </c>
    </row>
    <row r="1885" spans="1:10" x14ac:dyDescent="0.35">
      <c r="A1885" s="1">
        <v>45528</v>
      </c>
      <c r="B1885" s="2" t="s">
        <v>25</v>
      </c>
      <c r="C1885" s="2" t="s">
        <v>11</v>
      </c>
      <c r="D1885" s="2" t="s">
        <v>21</v>
      </c>
      <c r="E1885" s="2" t="s">
        <v>35</v>
      </c>
      <c r="F1885">
        <v>171</v>
      </c>
      <c r="G1885">
        <v>434</v>
      </c>
      <c r="H1885">
        <v>74214</v>
      </c>
      <c r="I1885">
        <v>16145.3765</v>
      </c>
      <c r="J1885" s="2" t="s">
        <v>43</v>
      </c>
    </row>
    <row r="1886" spans="1:10" x14ac:dyDescent="0.35">
      <c r="A1886" s="1">
        <v>45528</v>
      </c>
      <c r="B1886" s="2" t="s">
        <v>25</v>
      </c>
      <c r="C1886" s="2" t="s">
        <v>23</v>
      </c>
      <c r="D1886" s="2" t="s">
        <v>12</v>
      </c>
      <c r="E1886" s="2" t="s">
        <v>24</v>
      </c>
      <c r="F1886">
        <v>806</v>
      </c>
      <c r="G1886">
        <v>228</v>
      </c>
      <c r="H1886">
        <v>183768</v>
      </c>
      <c r="I1886">
        <v>36929.280500000001</v>
      </c>
      <c r="J1886" s="2" t="s">
        <v>43</v>
      </c>
    </row>
    <row r="1887" spans="1:10" x14ac:dyDescent="0.35">
      <c r="A1887" s="1">
        <v>45528</v>
      </c>
      <c r="B1887" s="2" t="s">
        <v>15</v>
      </c>
      <c r="C1887" s="2" t="s">
        <v>16</v>
      </c>
      <c r="D1887" s="2" t="s">
        <v>30</v>
      </c>
      <c r="E1887" s="2" t="s">
        <v>33</v>
      </c>
      <c r="F1887">
        <v>930</v>
      </c>
      <c r="G1887">
        <v>235</v>
      </c>
      <c r="H1887">
        <v>218550</v>
      </c>
      <c r="I1887">
        <v>18291.747100000001</v>
      </c>
      <c r="J1887" s="2" t="s">
        <v>43</v>
      </c>
    </row>
    <row r="1888" spans="1:10" x14ac:dyDescent="0.35">
      <c r="A1888" s="1">
        <v>45528</v>
      </c>
      <c r="B1888" s="2" t="s">
        <v>34</v>
      </c>
      <c r="C1888" s="2" t="s">
        <v>29</v>
      </c>
      <c r="D1888" s="2" t="s">
        <v>21</v>
      </c>
      <c r="E1888" s="2" t="s">
        <v>22</v>
      </c>
      <c r="F1888">
        <v>220</v>
      </c>
      <c r="G1888">
        <v>419</v>
      </c>
      <c r="H1888">
        <v>92180</v>
      </c>
      <c r="I1888">
        <v>14518.460800000001</v>
      </c>
      <c r="J1888" s="2" t="s">
        <v>43</v>
      </c>
    </row>
    <row r="1889" spans="1:10" x14ac:dyDescent="0.35">
      <c r="A1889" s="1">
        <v>45529</v>
      </c>
      <c r="B1889" s="2" t="s">
        <v>36</v>
      </c>
      <c r="C1889" s="2" t="s">
        <v>29</v>
      </c>
      <c r="D1889" s="2" t="s">
        <v>30</v>
      </c>
      <c r="E1889" s="2" t="s">
        <v>22</v>
      </c>
      <c r="F1889">
        <v>199</v>
      </c>
      <c r="G1889">
        <v>429</v>
      </c>
      <c r="H1889">
        <v>85371</v>
      </c>
      <c r="I1889">
        <v>10352.740400000001</v>
      </c>
      <c r="J1889" s="2" t="s">
        <v>43</v>
      </c>
    </row>
    <row r="1890" spans="1:10" x14ac:dyDescent="0.35">
      <c r="A1890" s="1">
        <v>45530</v>
      </c>
      <c r="B1890" s="2" t="s">
        <v>36</v>
      </c>
      <c r="C1890" s="2" t="s">
        <v>11</v>
      </c>
      <c r="D1890" s="2" t="s">
        <v>12</v>
      </c>
      <c r="E1890" s="2" t="s">
        <v>18</v>
      </c>
      <c r="F1890">
        <v>90</v>
      </c>
      <c r="G1890">
        <v>465</v>
      </c>
      <c r="H1890">
        <v>41850</v>
      </c>
      <c r="I1890">
        <v>5036.1409999999996</v>
      </c>
      <c r="J1890" s="2" t="s">
        <v>43</v>
      </c>
    </row>
    <row r="1891" spans="1:10" x14ac:dyDescent="0.35">
      <c r="A1891" s="1">
        <v>45530</v>
      </c>
      <c r="B1891" s="2" t="s">
        <v>31</v>
      </c>
      <c r="C1891" s="2" t="s">
        <v>16</v>
      </c>
      <c r="D1891" s="2" t="s">
        <v>17</v>
      </c>
      <c r="E1891" s="2" t="s">
        <v>33</v>
      </c>
      <c r="F1891">
        <v>272</v>
      </c>
      <c r="G1891">
        <v>285</v>
      </c>
      <c r="H1891">
        <v>77520</v>
      </c>
      <c r="I1891">
        <v>17548.928400000001</v>
      </c>
      <c r="J1891" s="2" t="s">
        <v>43</v>
      </c>
    </row>
    <row r="1892" spans="1:10" x14ac:dyDescent="0.35">
      <c r="A1892" s="1">
        <v>45530</v>
      </c>
      <c r="B1892" s="2" t="s">
        <v>10</v>
      </c>
      <c r="C1892" s="2" t="s">
        <v>11</v>
      </c>
      <c r="D1892" s="2" t="s">
        <v>17</v>
      </c>
      <c r="E1892" s="2" t="s">
        <v>22</v>
      </c>
      <c r="F1892">
        <v>903</v>
      </c>
      <c r="G1892">
        <v>342</v>
      </c>
      <c r="H1892">
        <v>308826</v>
      </c>
      <c r="I1892">
        <v>37334.420400000003</v>
      </c>
      <c r="J1892" s="2" t="s">
        <v>43</v>
      </c>
    </row>
    <row r="1893" spans="1:10" x14ac:dyDescent="0.35">
      <c r="A1893" s="1">
        <v>45530</v>
      </c>
      <c r="B1893" s="2" t="s">
        <v>36</v>
      </c>
      <c r="C1893" s="2" t="s">
        <v>11</v>
      </c>
      <c r="D1893" s="2" t="s">
        <v>21</v>
      </c>
      <c r="E1893" s="2" t="s">
        <v>33</v>
      </c>
      <c r="F1893">
        <v>979</v>
      </c>
      <c r="G1893">
        <v>141</v>
      </c>
      <c r="H1893">
        <v>138039</v>
      </c>
      <c r="I1893">
        <v>14299.3488</v>
      </c>
      <c r="J1893" s="2" t="s">
        <v>43</v>
      </c>
    </row>
    <row r="1894" spans="1:10" x14ac:dyDescent="0.35">
      <c r="A1894" s="1">
        <v>45531</v>
      </c>
      <c r="B1894" s="2" t="s">
        <v>19</v>
      </c>
      <c r="C1894" s="2" t="s">
        <v>20</v>
      </c>
      <c r="D1894" s="2" t="s">
        <v>30</v>
      </c>
      <c r="E1894" s="2" t="s">
        <v>18</v>
      </c>
      <c r="F1894">
        <v>875</v>
      </c>
      <c r="G1894">
        <v>409</v>
      </c>
      <c r="H1894">
        <v>357875</v>
      </c>
      <c r="I1894">
        <v>36888.506500000003</v>
      </c>
      <c r="J1894" s="2" t="s">
        <v>43</v>
      </c>
    </row>
    <row r="1895" spans="1:10" x14ac:dyDescent="0.35">
      <c r="A1895" s="1">
        <v>45531</v>
      </c>
      <c r="B1895" s="2" t="s">
        <v>19</v>
      </c>
      <c r="C1895" s="2" t="s">
        <v>27</v>
      </c>
      <c r="D1895" s="2" t="s">
        <v>21</v>
      </c>
      <c r="E1895" s="2" t="s">
        <v>13</v>
      </c>
      <c r="F1895">
        <v>843</v>
      </c>
      <c r="G1895">
        <v>141</v>
      </c>
      <c r="H1895">
        <v>118863</v>
      </c>
      <c r="I1895">
        <v>13982.1703</v>
      </c>
      <c r="J1895" s="2" t="s">
        <v>43</v>
      </c>
    </row>
    <row r="1896" spans="1:10" x14ac:dyDescent="0.35">
      <c r="A1896" s="1">
        <v>45531</v>
      </c>
      <c r="B1896" s="2" t="s">
        <v>15</v>
      </c>
      <c r="C1896" s="2" t="s">
        <v>20</v>
      </c>
      <c r="D1896" s="2" t="s">
        <v>12</v>
      </c>
      <c r="E1896" s="2" t="s">
        <v>32</v>
      </c>
      <c r="F1896">
        <v>807</v>
      </c>
      <c r="G1896">
        <v>166</v>
      </c>
      <c r="H1896">
        <v>133962</v>
      </c>
      <c r="I1896">
        <v>22610.4532</v>
      </c>
      <c r="J1896" s="2" t="s">
        <v>43</v>
      </c>
    </row>
    <row r="1897" spans="1:10" x14ac:dyDescent="0.35">
      <c r="A1897" s="1">
        <v>45531</v>
      </c>
      <c r="B1897" s="2" t="s">
        <v>34</v>
      </c>
      <c r="C1897" s="2" t="s">
        <v>11</v>
      </c>
      <c r="D1897" s="2" t="s">
        <v>12</v>
      </c>
      <c r="E1897" s="2" t="s">
        <v>24</v>
      </c>
      <c r="F1897">
        <v>490</v>
      </c>
      <c r="G1897">
        <v>443</v>
      </c>
      <c r="H1897">
        <v>217070</v>
      </c>
      <c r="I1897">
        <v>30928.227200000001</v>
      </c>
      <c r="J1897" s="2" t="s">
        <v>43</v>
      </c>
    </row>
    <row r="1898" spans="1:10" x14ac:dyDescent="0.35">
      <c r="A1898" s="1">
        <v>45533</v>
      </c>
      <c r="B1898" s="2" t="s">
        <v>31</v>
      </c>
      <c r="C1898" s="2" t="s">
        <v>27</v>
      </c>
      <c r="D1898" s="2" t="s">
        <v>12</v>
      </c>
      <c r="E1898" s="2" t="s">
        <v>32</v>
      </c>
      <c r="F1898">
        <v>903</v>
      </c>
      <c r="G1898">
        <v>143</v>
      </c>
      <c r="H1898">
        <v>129129</v>
      </c>
      <c r="I1898">
        <v>31554.592499999999</v>
      </c>
      <c r="J1898" s="2" t="s">
        <v>43</v>
      </c>
    </row>
    <row r="1899" spans="1:10" x14ac:dyDescent="0.35">
      <c r="A1899" s="1">
        <v>45533</v>
      </c>
      <c r="B1899" s="2" t="s">
        <v>10</v>
      </c>
      <c r="C1899" s="2" t="s">
        <v>23</v>
      </c>
      <c r="D1899" s="2" t="s">
        <v>17</v>
      </c>
      <c r="E1899" s="2" t="s">
        <v>24</v>
      </c>
      <c r="F1899">
        <v>290</v>
      </c>
      <c r="G1899">
        <v>481</v>
      </c>
      <c r="H1899">
        <v>139490</v>
      </c>
      <c r="I1899">
        <v>15366.233899999999</v>
      </c>
      <c r="J1899" s="2" t="s">
        <v>43</v>
      </c>
    </row>
    <row r="1900" spans="1:10" x14ac:dyDescent="0.35">
      <c r="A1900" s="1">
        <v>45534</v>
      </c>
      <c r="B1900" s="2" t="s">
        <v>34</v>
      </c>
      <c r="C1900" s="2" t="s">
        <v>23</v>
      </c>
      <c r="D1900" s="2" t="s">
        <v>12</v>
      </c>
      <c r="E1900" s="2" t="s">
        <v>13</v>
      </c>
      <c r="F1900">
        <v>469</v>
      </c>
      <c r="G1900">
        <v>236</v>
      </c>
      <c r="H1900">
        <v>110684</v>
      </c>
      <c r="I1900">
        <v>14692.2235</v>
      </c>
      <c r="J1900" s="2" t="s">
        <v>43</v>
      </c>
    </row>
    <row r="1901" spans="1:10" x14ac:dyDescent="0.35">
      <c r="A1901" s="1">
        <v>45534</v>
      </c>
      <c r="B1901" s="2" t="s">
        <v>26</v>
      </c>
      <c r="C1901" s="2" t="s">
        <v>20</v>
      </c>
      <c r="D1901" s="2" t="s">
        <v>17</v>
      </c>
      <c r="E1901" s="2" t="s">
        <v>32</v>
      </c>
      <c r="F1901">
        <v>480</v>
      </c>
      <c r="G1901">
        <v>239</v>
      </c>
      <c r="H1901">
        <v>114720</v>
      </c>
      <c r="I1901">
        <v>15498.742700000001</v>
      </c>
      <c r="J1901" s="2" t="s">
        <v>43</v>
      </c>
    </row>
    <row r="1902" spans="1:10" x14ac:dyDescent="0.35">
      <c r="A1902" s="1">
        <v>45535</v>
      </c>
      <c r="B1902" s="2" t="s">
        <v>31</v>
      </c>
      <c r="C1902" s="2" t="s">
        <v>27</v>
      </c>
      <c r="D1902" s="2" t="s">
        <v>30</v>
      </c>
      <c r="E1902" s="2" t="s">
        <v>13</v>
      </c>
      <c r="F1902">
        <v>499</v>
      </c>
      <c r="G1902">
        <v>126</v>
      </c>
      <c r="H1902">
        <v>62874</v>
      </c>
      <c r="I1902">
        <v>14320.1574</v>
      </c>
      <c r="J1902" s="2" t="s">
        <v>43</v>
      </c>
    </row>
    <row r="1903" spans="1:10" x14ac:dyDescent="0.35">
      <c r="A1903" s="1">
        <v>45535</v>
      </c>
      <c r="B1903" s="2" t="s">
        <v>34</v>
      </c>
      <c r="C1903" s="2" t="s">
        <v>29</v>
      </c>
      <c r="D1903" s="2" t="s">
        <v>30</v>
      </c>
      <c r="E1903" s="2" t="s">
        <v>33</v>
      </c>
      <c r="F1903">
        <v>81</v>
      </c>
      <c r="G1903">
        <v>130</v>
      </c>
      <c r="H1903">
        <v>10530</v>
      </c>
      <c r="I1903">
        <v>1225.5525</v>
      </c>
      <c r="J1903" s="2" t="s">
        <v>43</v>
      </c>
    </row>
    <row r="1904" spans="1:10" x14ac:dyDescent="0.35">
      <c r="A1904" s="1">
        <v>45536</v>
      </c>
      <c r="B1904" s="2" t="s">
        <v>25</v>
      </c>
      <c r="C1904" s="2" t="s">
        <v>16</v>
      </c>
      <c r="D1904" s="2" t="s">
        <v>30</v>
      </c>
      <c r="E1904" s="2" t="s">
        <v>33</v>
      </c>
      <c r="F1904">
        <v>133</v>
      </c>
      <c r="G1904">
        <v>151</v>
      </c>
      <c r="H1904">
        <v>20083</v>
      </c>
      <c r="I1904">
        <v>4150.8321999999998</v>
      </c>
      <c r="J1904" s="2" t="s">
        <v>44</v>
      </c>
    </row>
    <row r="1905" spans="1:10" x14ac:dyDescent="0.35">
      <c r="A1905" s="1">
        <v>45536</v>
      </c>
      <c r="B1905" s="2" t="s">
        <v>26</v>
      </c>
      <c r="C1905" s="2" t="s">
        <v>27</v>
      </c>
      <c r="D1905" s="2" t="s">
        <v>12</v>
      </c>
      <c r="E1905" s="2" t="s">
        <v>22</v>
      </c>
      <c r="F1905">
        <v>134</v>
      </c>
      <c r="G1905">
        <v>394</v>
      </c>
      <c r="H1905">
        <v>52796</v>
      </c>
      <c r="I1905">
        <v>6841.5451999999996</v>
      </c>
      <c r="J1905" s="2" t="s">
        <v>44</v>
      </c>
    </row>
    <row r="1906" spans="1:10" x14ac:dyDescent="0.35">
      <c r="A1906" s="1">
        <v>45536</v>
      </c>
      <c r="B1906" s="2" t="s">
        <v>25</v>
      </c>
      <c r="C1906" s="2" t="s">
        <v>16</v>
      </c>
      <c r="D1906" s="2" t="s">
        <v>30</v>
      </c>
      <c r="E1906" s="2" t="s">
        <v>28</v>
      </c>
      <c r="F1906">
        <v>506</v>
      </c>
      <c r="G1906">
        <v>172</v>
      </c>
      <c r="H1906">
        <v>87032</v>
      </c>
      <c r="I1906">
        <v>7988.6485000000002</v>
      </c>
      <c r="J1906" s="2" t="s">
        <v>44</v>
      </c>
    </row>
    <row r="1907" spans="1:10" x14ac:dyDescent="0.35">
      <c r="A1907" s="1">
        <v>45536</v>
      </c>
      <c r="B1907" s="2" t="s">
        <v>15</v>
      </c>
      <c r="C1907" s="2" t="s">
        <v>20</v>
      </c>
      <c r="D1907" s="2" t="s">
        <v>21</v>
      </c>
      <c r="E1907" s="2" t="s">
        <v>24</v>
      </c>
      <c r="F1907">
        <v>585</v>
      </c>
      <c r="G1907">
        <v>240</v>
      </c>
      <c r="H1907">
        <v>140400</v>
      </c>
      <c r="I1907">
        <v>26296.6512</v>
      </c>
      <c r="J1907" s="2" t="s">
        <v>44</v>
      </c>
    </row>
    <row r="1908" spans="1:10" x14ac:dyDescent="0.35">
      <c r="A1908" s="1">
        <v>45536</v>
      </c>
      <c r="B1908" s="2" t="s">
        <v>19</v>
      </c>
      <c r="C1908" s="2" t="s">
        <v>29</v>
      </c>
      <c r="D1908" s="2" t="s">
        <v>21</v>
      </c>
      <c r="E1908" s="2" t="s">
        <v>13</v>
      </c>
      <c r="F1908">
        <v>675</v>
      </c>
      <c r="G1908">
        <v>331</v>
      </c>
      <c r="H1908">
        <v>223425</v>
      </c>
      <c r="I1908">
        <v>52876.198499999999</v>
      </c>
      <c r="J1908" s="2" t="s">
        <v>44</v>
      </c>
    </row>
    <row r="1909" spans="1:10" x14ac:dyDescent="0.35">
      <c r="A1909" s="1">
        <v>45537</v>
      </c>
      <c r="B1909" s="2" t="s">
        <v>31</v>
      </c>
      <c r="C1909" s="2" t="s">
        <v>27</v>
      </c>
      <c r="D1909" s="2" t="s">
        <v>30</v>
      </c>
      <c r="E1909" s="2" t="s">
        <v>24</v>
      </c>
      <c r="F1909">
        <v>842</v>
      </c>
      <c r="G1909">
        <v>374</v>
      </c>
      <c r="H1909">
        <v>314908</v>
      </c>
      <c r="I1909">
        <v>59128.243600000002</v>
      </c>
      <c r="J1909" s="2" t="s">
        <v>44</v>
      </c>
    </row>
    <row r="1910" spans="1:10" x14ac:dyDescent="0.35">
      <c r="A1910" s="1">
        <v>45537</v>
      </c>
      <c r="B1910" s="2" t="s">
        <v>25</v>
      </c>
      <c r="C1910" s="2" t="s">
        <v>27</v>
      </c>
      <c r="D1910" s="2" t="s">
        <v>12</v>
      </c>
      <c r="E1910" s="2" t="s">
        <v>33</v>
      </c>
      <c r="F1910">
        <v>468</v>
      </c>
      <c r="G1910">
        <v>244</v>
      </c>
      <c r="H1910">
        <v>114192</v>
      </c>
      <c r="I1910">
        <v>21379.950700000001</v>
      </c>
      <c r="J1910" s="2" t="s">
        <v>44</v>
      </c>
    </row>
    <row r="1911" spans="1:10" x14ac:dyDescent="0.35">
      <c r="A1911" s="1">
        <v>45538</v>
      </c>
      <c r="B1911" s="2" t="s">
        <v>10</v>
      </c>
      <c r="C1911" s="2" t="s">
        <v>16</v>
      </c>
      <c r="D1911" s="2" t="s">
        <v>12</v>
      </c>
      <c r="E1911" s="2" t="s">
        <v>18</v>
      </c>
      <c r="F1911">
        <v>688</v>
      </c>
      <c r="G1911">
        <v>248</v>
      </c>
      <c r="H1911">
        <v>170624</v>
      </c>
      <c r="I1911">
        <v>38373.951300000001</v>
      </c>
      <c r="J1911" s="2" t="s">
        <v>44</v>
      </c>
    </row>
    <row r="1912" spans="1:10" x14ac:dyDescent="0.35">
      <c r="A1912" s="1">
        <v>45538</v>
      </c>
      <c r="B1912" s="2" t="s">
        <v>36</v>
      </c>
      <c r="C1912" s="2" t="s">
        <v>16</v>
      </c>
      <c r="D1912" s="2" t="s">
        <v>12</v>
      </c>
      <c r="E1912" s="2" t="s">
        <v>18</v>
      </c>
      <c r="F1912">
        <v>268</v>
      </c>
      <c r="G1912">
        <v>497</v>
      </c>
      <c r="H1912">
        <v>133196</v>
      </c>
      <c r="I1912">
        <v>12981.6782</v>
      </c>
      <c r="J1912" s="2" t="s">
        <v>44</v>
      </c>
    </row>
    <row r="1913" spans="1:10" x14ac:dyDescent="0.35">
      <c r="A1913" s="1">
        <v>45538</v>
      </c>
      <c r="B1913" s="2" t="s">
        <v>10</v>
      </c>
      <c r="C1913" s="2" t="s">
        <v>27</v>
      </c>
      <c r="D1913" s="2" t="s">
        <v>12</v>
      </c>
      <c r="E1913" s="2" t="s">
        <v>18</v>
      </c>
      <c r="F1913">
        <v>498</v>
      </c>
      <c r="G1913">
        <v>238</v>
      </c>
      <c r="H1913">
        <v>118524</v>
      </c>
      <c r="I1913">
        <v>27242.769100000001</v>
      </c>
      <c r="J1913" s="2" t="s">
        <v>44</v>
      </c>
    </row>
    <row r="1914" spans="1:10" x14ac:dyDescent="0.35">
      <c r="A1914" s="1">
        <v>45539</v>
      </c>
      <c r="B1914" s="2" t="s">
        <v>10</v>
      </c>
      <c r="C1914" s="2" t="s">
        <v>23</v>
      </c>
      <c r="D1914" s="2" t="s">
        <v>17</v>
      </c>
      <c r="E1914" s="2" t="s">
        <v>13</v>
      </c>
      <c r="F1914">
        <v>85</v>
      </c>
      <c r="G1914">
        <v>445</v>
      </c>
      <c r="H1914">
        <v>37825</v>
      </c>
      <c r="I1914">
        <v>6798.8146999999999</v>
      </c>
      <c r="J1914" s="2" t="s">
        <v>44</v>
      </c>
    </row>
    <row r="1915" spans="1:10" x14ac:dyDescent="0.35">
      <c r="A1915" s="1">
        <v>45539</v>
      </c>
      <c r="B1915" s="2" t="s">
        <v>26</v>
      </c>
      <c r="C1915" s="2" t="s">
        <v>29</v>
      </c>
      <c r="D1915" s="2" t="s">
        <v>21</v>
      </c>
      <c r="E1915" s="2" t="s">
        <v>18</v>
      </c>
      <c r="F1915">
        <v>444</v>
      </c>
      <c r="G1915">
        <v>353</v>
      </c>
      <c r="H1915">
        <v>156732</v>
      </c>
      <c r="I1915">
        <v>21655.567500000001</v>
      </c>
      <c r="J1915" s="2" t="s">
        <v>44</v>
      </c>
    </row>
    <row r="1916" spans="1:10" x14ac:dyDescent="0.35">
      <c r="A1916" s="1">
        <v>45539</v>
      </c>
      <c r="B1916" s="2" t="s">
        <v>36</v>
      </c>
      <c r="C1916" s="2" t="s">
        <v>11</v>
      </c>
      <c r="D1916" s="2" t="s">
        <v>21</v>
      </c>
      <c r="E1916" s="2" t="s">
        <v>13</v>
      </c>
      <c r="F1916">
        <v>145</v>
      </c>
      <c r="G1916">
        <v>130</v>
      </c>
      <c r="H1916">
        <v>18850</v>
      </c>
      <c r="I1916">
        <v>3753.0689000000002</v>
      </c>
      <c r="J1916" s="2" t="s">
        <v>44</v>
      </c>
    </row>
    <row r="1917" spans="1:10" x14ac:dyDescent="0.35">
      <c r="A1917" s="1">
        <v>45539</v>
      </c>
      <c r="B1917" s="2" t="s">
        <v>26</v>
      </c>
      <c r="C1917" s="2" t="s">
        <v>29</v>
      </c>
      <c r="D1917" s="2" t="s">
        <v>21</v>
      </c>
      <c r="E1917" s="2" t="s">
        <v>18</v>
      </c>
      <c r="F1917">
        <v>50</v>
      </c>
      <c r="G1917">
        <v>151</v>
      </c>
      <c r="H1917">
        <v>7550</v>
      </c>
      <c r="I1917">
        <v>1808.8353</v>
      </c>
      <c r="J1917" s="2" t="s">
        <v>44</v>
      </c>
    </row>
    <row r="1918" spans="1:10" x14ac:dyDescent="0.35">
      <c r="A1918" s="1">
        <v>45539</v>
      </c>
      <c r="B1918" s="2" t="s">
        <v>19</v>
      </c>
      <c r="C1918" s="2" t="s">
        <v>23</v>
      </c>
      <c r="D1918" s="2" t="s">
        <v>12</v>
      </c>
      <c r="E1918" s="2" t="s">
        <v>32</v>
      </c>
      <c r="F1918">
        <v>420</v>
      </c>
      <c r="G1918">
        <v>208</v>
      </c>
      <c r="H1918">
        <v>87360</v>
      </c>
      <c r="I1918">
        <v>19049.485199999999</v>
      </c>
      <c r="J1918" s="2" t="s">
        <v>44</v>
      </c>
    </row>
    <row r="1919" spans="1:10" x14ac:dyDescent="0.35">
      <c r="A1919" s="1">
        <v>45539</v>
      </c>
      <c r="B1919" s="2" t="s">
        <v>26</v>
      </c>
      <c r="C1919" s="2" t="s">
        <v>20</v>
      </c>
      <c r="D1919" s="2" t="s">
        <v>21</v>
      </c>
      <c r="E1919" s="2" t="s">
        <v>28</v>
      </c>
      <c r="F1919">
        <v>325</v>
      </c>
      <c r="G1919">
        <v>279</v>
      </c>
      <c r="H1919">
        <v>90675</v>
      </c>
      <c r="I1919">
        <v>9342.8621000000003</v>
      </c>
      <c r="J1919" s="2" t="s">
        <v>44</v>
      </c>
    </row>
    <row r="1920" spans="1:10" x14ac:dyDescent="0.35">
      <c r="A1920" s="1">
        <v>45539</v>
      </c>
      <c r="B1920" s="2" t="s">
        <v>36</v>
      </c>
      <c r="C1920" s="2" t="s">
        <v>20</v>
      </c>
      <c r="D1920" s="2" t="s">
        <v>21</v>
      </c>
      <c r="E1920" s="2" t="s">
        <v>28</v>
      </c>
      <c r="F1920">
        <v>221</v>
      </c>
      <c r="G1920">
        <v>189</v>
      </c>
      <c r="H1920">
        <v>41769</v>
      </c>
      <c r="I1920">
        <v>4480.2349999999997</v>
      </c>
      <c r="J1920" s="2" t="s">
        <v>44</v>
      </c>
    </row>
    <row r="1921" spans="1:10" x14ac:dyDescent="0.35">
      <c r="A1921" s="1">
        <v>45540</v>
      </c>
      <c r="B1921" s="2" t="s">
        <v>15</v>
      </c>
      <c r="C1921" s="2" t="s">
        <v>20</v>
      </c>
      <c r="D1921" s="2" t="s">
        <v>12</v>
      </c>
      <c r="E1921" s="2" t="s">
        <v>22</v>
      </c>
      <c r="F1921">
        <v>245</v>
      </c>
      <c r="G1921">
        <v>296</v>
      </c>
      <c r="H1921">
        <v>72520</v>
      </c>
      <c r="I1921">
        <v>11415.440399999999</v>
      </c>
      <c r="J1921" s="2" t="s">
        <v>44</v>
      </c>
    </row>
    <row r="1922" spans="1:10" x14ac:dyDescent="0.35">
      <c r="A1922" s="1">
        <v>45540</v>
      </c>
      <c r="B1922" s="2" t="s">
        <v>25</v>
      </c>
      <c r="C1922" s="2" t="s">
        <v>23</v>
      </c>
      <c r="D1922" s="2" t="s">
        <v>12</v>
      </c>
      <c r="E1922" s="2" t="s">
        <v>33</v>
      </c>
      <c r="F1922">
        <v>603</v>
      </c>
      <c r="G1922">
        <v>341</v>
      </c>
      <c r="H1922">
        <v>205623</v>
      </c>
      <c r="I1922">
        <v>35526.375200000002</v>
      </c>
      <c r="J1922" s="2" t="s">
        <v>44</v>
      </c>
    </row>
    <row r="1923" spans="1:10" x14ac:dyDescent="0.35">
      <c r="A1923" s="1">
        <v>45540</v>
      </c>
      <c r="B1923" s="2" t="s">
        <v>26</v>
      </c>
      <c r="C1923" s="2" t="s">
        <v>20</v>
      </c>
      <c r="D1923" s="2" t="s">
        <v>21</v>
      </c>
      <c r="E1923" s="2" t="s">
        <v>28</v>
      </c>
      <c r="F1923">
        <v>209</v>
      </c>
      <c r="G1923">
        <v>278</v>
      </c>
      <c r="H1923">
        <v>58102</v>
      </c>
      <c r="I1923">
        <v>5091.5111999999999</v>
      </c>
      <c r="J1923" s="2" t="s">
        <v>44</v>
      </c>
    </row>
    <row r="1924" spans="1:10" x14ac:dyDescent="0.35">
      <c r="A1924" s="1">
        <v>45541</v>
      </c>
      <c r="B1924" s="2" t="s">
        <v>36</v>
      </c>
      <c r="C1924" s="2" t="s">
        <v>11</v>
      </c>
      <c r="D1924" s="2" t="s">
        <v>30</v>
      </c>
      <c r="E1924" s="2" t="s">
        <v>13</v>
      </c>
      <c r="F1924">
        <v>66</v>
      </c>
      <c r="G1924">
        <v>432</v>
      </c>
      <c r="H1924">
        <v>28512</v>
      </c>
      <c r="I1924">
        <v>3019.0221000000001</v>
      </c>
      <c r="J1924" s="2" t="s">
        <v>44</v>
      </c>
    </row>
    <row r="1925" spans="1:10" x14ac:dyDescent="0.35">
      <c r="A1925" s="1">
        <v>45541</v>
      </c>
      <c r="B1925" s="2" t="s">
        <v>10</v>
      </c>
      <c r="C1925" s="2" t="s">
        <v>29</v>
      </c>
      <c r="D1925" s="2" t="s">
        <v>30</v>
      </c>
      <c r="E1925" s="2" t="s">
        <v>32</v>
      </c>
      <c r="F1925">
        <v>934</v>
      </c>
      <c r="G1925">
        <v>301</v>
      </c>
      <c r="H1925">
        <v>281134</v>
      </c>
      <c r="I1925">
        <v>32140.327000000001</v>
      </c>
      <c r="J1925" s="2" t="s">
        <v>44</v>
      </c>
    </row>
    <row r="1926" spans="1:10" x14ac:dyDescent="0.35">
      <c r="A1926" s="1">
        <v>45542</v>
      </c>
      <c r="B1926" s="2" t="s">
        <v>15</v>
      </c>
      <c r="C1926" s="2" t="s">
        <v>16</v>
      </c>
      <c r="D1926" s="2" t="s">
        <v>17</v>
      </c>
      <c r="E1926" s="2" t="s">
        <v>32</v>
      </c>
      <c r="F1926">
        <v>114</v>
      </c>
      <c r="G1926">
        <v>181</v>
      </c>
      <c r="H1926">
        <v>20634</v>
      </c>
      <c r="I1926">
        <v>4181.6325999999999</v>
      </c>
      <c r="J1926" s="2" t="s">
        <v>44</v>
      </c>
    </row>
    <row r="1927" spans="1:10" x14ac:dyDescent="0.35">
      <c r="A1927" s="1">
        <v>45542</v>
      </c>
      <c r="B1927" s="2" t="s">
        <v>26</v>
      </c>
      <c r="C1927" s="2" t="s">
        <v>29</v>
      </c>
      <c r="D1927" s="2" t="s">
        <v>12</v>
      </c>
      <c r="E1927" s="2" t="s">
        <v>22</v>
      </c>
      <c r="F1927">
        <v>316</v>
      </c>
      <c r="G1927">
        <v>410</v>
      </c>
      <c r="H1927">
        <v>129560</v>
      </c>
      <c r="I1927">
        <v>13799.3357</v>
      </c>
      <c r="J1927" s="2" t="s">
        <v>44</v>
      </c>
    </row>
    <row r="1928" spans="1:10" x14ac:dyDescent="0.35">
      <c r="A1928" s="1">
        <v>45543</v>
      </c>
      <c r="B1928" s="2" t="s">
        <v>31</v>
      </c>
      <c r="C1928" s="2" t="s">
        <v>29</v>
      </c>
      <c r="D1928" s="2" t="s">
        <v>21</v>
      </c>
      <c r="E1928" s="2" t="s">
        <v>24</v>
      </c>
      <c r="F1928">
        <v>580</v>
      </c>
      <c r="G1928">
        <v>376</v>
      </c>
      <c r="H1928">
        <v>218080</v>
      </c>
      <c r="I1928">
        <v>26084.566999999999</v>
      </c>
      <c r="J1928" s="2" t="s">
        <v>44</v>
      </c>
    </row>
    <row r="1929" spans="1:10" x14ac:dyDescent="0.35">
      <c r="A1929" s="1">
        <v>45544</v>
      </c>
      <c r="B1929" s="2" t="s">
        <v>31</v>
      </c>
      <c r="C1929" s="2" t="s">
        <v>29</v>
      </c>
      <c r="D1929" s="2" t="s">
        <v>17</v>
      </c>
      <c r="E1929" s="2" t="s">
        <v>33</v>
      </c>
      <c r="F1929">
        <v>529</v>
      </c>
      <c r="G1929">
        <v>288</v>
      </c>
      <c r="H1929">
        <v>152352</v>
      </c>
      <c r="I1929">
        <v>13488.745500000001</v>
      </c>
      <c r="J1929" s="2" t="s">
        <v>44</v>
      </c>
    </row>
    <row r="1930" spans="1:10" x14ac:dyDescent="0.35">
      <c r="A1930" s="1">
        <v>45544</v>
      </c>
      <c r="B1930" s="2" t="s">
        <v>26</v>
      </c>
      <c r="C1930" s="2" t="s">
        <v>16</v>
      </c>
      <c r="D1930" s="2" t="s">
        <v>21</v>
      </c>
      <c r="E1930" s="2" t="s">
        <v>22</v>
      </c>
      <c r="F1930">
        <v>309</v>
      </c>
      <c r="G1930">
        <v>430</v>
      </c>
      <c r="H1930">
        <v>132870</v>
      </c>
      <c r="I1930">
        <v>14769.8122</v>
      </c>
      <c r="J1930" s="2" t="s">
        <v>44</v>
      </c>
    </row>
    <row r="1931" spans="1:10" x14ac:dyDescent="0.35">
      <c r="A1931" s="1">
        <v>45544</v>
      </c>
      <c r="B1931" s="2" t="s">
        <v>26</v>
      </c>
      <c r="C1931" s="2" t="s">
        <v>11</v>
      </c>
      <c r="D1931" s="2" t="s">
        <v>17</v>
      </c>
      <c r="E1931" s="2" t="s">
        <v>13</v>
      </c>
      <c r="F1931">
        <v>454</v>
      </c>
      <c r="G1931">
        <v>350</v>
      </c>
      <c r="H1931">
        <v>158900</v>
      </c>
      <c r="I1931">
        <v>25662.3433</v>
      </c>
      <c r="J1931" s="2" t="s">
        <v>44</v>
      </c>
    </row>
    <row r="1932" spans="1:10" x14ac:dyDescent="0.35">
      <c r="A1932" s="1">
        <v>45544</v>
      </c>
      <c r="B1932" s="2" t="s">
        <v>31</v>
      </c>
      <c r="C1932" s="2" t="s">
        <v>20</v>
      </c>
      <c r="D1932" s="2" t="s">
        <v>30</v>
      </c>
      <c r="E1932" s="2" t="s">
        <v>13</v>
      </c>
      <c r="F1932">
        <v>904</v>
      </c>
      <c r="G1932">
        <v>137</v>
      </c>
      <c r="H1932">
        <v>123848</v>
      </c>
      <c r="I1932">
        <v>30615.105800000001</v>
      </c>
      <c r="J1932" s="2" t="s">
        <v>44</v>
      </c>
    </row>
    <row r="1933" spans="1:10" x14ac:dyDescent="0.35">
      <c r="A1933" s="1">
        <v>45545</v>
      </c>
      <c r="B1933" s="2" t="s">
        <v>15</v>
      </c>
      <c r="C1933" s="2" t="s">
        <v>20</v>
      </c>
      <c r="D1933" s="2" t="s">
        <v>17</v>
      </c>
      <c r="E1933" s="2" t="s">
        <v>22</v>
      </c>
      <c r="F1933">
        <v>815</v>
      </c>
      <c r="G1933">
        <v>382</v>
      </c>
      <c r="H1933">
        <v>311330</v>
      </c>
      <c r="I1933">
        <v>58298.028599999998</v>
      </c>
      <c r="J1933" s="2" t="s">
        <v>44</v>
      </c>
    </row>
    <row r="1934" spans="1:10" x14ac:dyDescent="0.35">
      <c r="A1934" s="1">
        <v>45545</v>
      </c>
      <c r="B1934" s="2" t="s">
        <v>25</v>
      </c>
      <c r="C1934" s="2" t="s">
        <v>20</v>
      </c>
      <c r="D1934" s="2" t="s">
        <v>17</v>
      </c>
      <c r="E1934" s="2" t="s">
        <v>24</v>
      </c>
      <c r="F1934">
        <v>261</v>
      </c>
      <c r="G1934">
        <v>271</v>
      </c>
      <c r="H1934">
        <v>70731</v>
      </c>
      <c r="I1934">
        <v>14118.9848</v>
      </c>
      <c r="J1934" s="2" t="s">
        <v>44</v>
      </c>
    </row>
    <row r="1935" spans="1:10" x14ac:dyDescent="0.35">
      <c r="A1935" s="1">
        <v>45546</v>
      </c>
      <c r="B1935" s="2" t="s">
        <v>31</v>
      </c>
      <c r="C1935" s="2" t="s">
        <v>11</v>
      </c>
      <c r="D1935" s="2" t="s">
        <v>30</v>
      </c>
      <c r="E1935" s="2" t="s">
        <v>35</v>
      </c>
      <c r="F1935">
        <v>89</v>
      </c>
      <c r="G1935">
        <v>229</v>
      </c>
      <c r="H1935">
        <v>20381</v>
      </c>
      <c r="I1935">
        <v>2250.4261000000001</v>
      </c>
      <c r="J1935" s="2" t="s">
        <v>44</v>
      </c>
    </row>
    <row r="1936" spans="1:10" x14ac:dyDescent="0.35">
      <c r="A1936" s="1">
        <v>45546</v>
      </c>
      <c r="B1936" s="2" t="s">
        <v>31</v>
      </c>
      <c r="C1936" s="2" t="s">
        <v>29</v>
      </c>
      <c r="D1936" s="2" t="s">
        <v>21</v>
      </c>
      <c r="E1936" s="2" t="s">
        <v>24</v>
      </c>
      <c r="F1936">
        <v>111</v>
      </c>
      <c r="G1936">
        <v>313</v>
      </c>
      <c r="H1936">
        <v>34743</v>
      </c>
      <c r="I1936">
        <v>5895.4449000000004</v>
      </c>
      <c r="J1936" s="2" t="s">
        <v>44</v>
      </c>
    </row>
    <row r="1937" spans="1:10" x14ac:dyDescent="0.35">
      <c r="A1937" s="1">
        <v>45546</v>
      </c>
      <c r="B1937" s="2" t="s">
        <v>10</v>
      </c>
      <c r="C1937" s="2" t="s">
        <v>16</v>
      </c>
      <c r="D1937" s="2" t="s">
        <v>17</v>
      </c>
      <c r="E1937" s="2" t="s">
        <v>22</v>
      </c>
      <c r="F1937">
        <v>130</v>
      </c>
      <c r="G1937">
        <v>182</v>
      </c>
      <c r="H1937">
        <v>23660</v>
      </c>
      <c r="I1937">
        <v>3399.4340999999999</v>
      </c>
      <c r="J1937" s="2" t="s">
        <v>44</v>
      </c>
    </row>
    <row r="1938" spans="1:10" x14ac:dyDescent="0.35">
      <c r="A1938" s="1">
        <v>45546</v>
      </c>
      <c r="B1938" s="2" t="s">
        <v>34</v>
      </c>
      <c r="C1938" s="2" t="s">
        <v>16</v>
      </c>
      <c r="D1938" s="2" t="s">
        <v>30</v>
      </c>
      <c r="E1938" s="2" t="s">
        <v>35</v>
      </c>
      <c r="F1938">
        <v>274</v>
      </c>
      <c r="G1938">
        <v>286</v>
      </c>
      <c r="H1938">
        <v>78364</v>
      </c>
      <c r="I1938">
        <v>14060.022300000001</v>
      </c>
      <c r="J1938" s="2" t="s">
        <v>44</v>
      </c>
    </row>
    <row r="1939" spans="1:10" x14ac:dyDescent="0.35">
      <c r="A1939" s="1">
        <v>45546</v>
      </c>
      <c r="B1939" s="2" t="s">
        <v>26</v>
      </c>
      <c r="C1939" s="2" t="s">
        <v>16</v>
      </c>
      <c r="D1939" s="2" t="s">
        <v>17</v>
      </c>
      <c r="E1939" s="2" t="s">
        <v>22</v>
      </c>
      <c r="F1939">
        <v>502</v>
      </c>
      <c r="G1939">
        <v>374</v>
      </c>
      <c r="H1939">
        <v>187748</v>
      </c>
      <c r="I1939">
        <v>21565.4617</v>
      </c>
      <c r="J1939" s="2" t="s">
        <v>44</v>
      </c>
    </row>
    <row r="1940" spans="1:10" x14ac:dyDescent="0.35">
      <c r="A1940" s="1">
        <v>45546</v>
      </c>
      <c r="B1940" s="2" t="s">
        <v>10</v>
      </c>
      <c r="C1940" s="2" t="s">
        <v>20</v>
      </c>
      <c r="D1940" s="2" t="s">
        <v>30</v>
      </c>
      <c r="E1940" s="2" t="s">
        <v>22</v>
      </c>
      <c r="F1940">
        <v>382</v>
      </c>
      <c r="G1940">
        <v>117</v>
      </c>
      <c r="H1940">
        <v>44694</v>
      </c>
      <c r="I1940">
        <v>8090.6467000000002</v>
      </c>
      <c r="J1940" s="2" t="s">
        <v>44</v>
      </c>
    </row>
    <row r="1941" spans="1:10" x14ac:dyDescent="0.35">
      <c r="A1941" s="1">
        <v>45546</v>
      </c>
      <c r="B1941" s="2" t="s">
        <v>36</v>
      </c>
      <c r="C1941" s="2" t="s">
        <v>16</v>
      </c>
      <c r="D1941" s="2" t="s">
        <v>21</v>
      </c>
      <c r="E1941" s="2" t="s">
        <v>24</v>
      </c>
      <c r="F1941">
        <v>772</v>
      </c>
      <c r="G1941">
        <v>142</v>
      </c>
      <c r="H1941">
        <v>109624</v>
      </c>
      <c r="I1941">
        <v>19973.8904</v>
      </c>
      <c r="J1941" s="2" t="s">
        <v>44</v>
      </c>
    </row>
    <row r="1942" spans="1:10" x14ac:dyDescent="0.35">
      <c r="A1942" s="1">
        <v>45547</v>
      </c>
      <c r="B1942" s="2" t="s">
        <v>26</v>
      </c>
      <c r="C1942" s="2" t="s">
        <v>27</v>
      </c>
      <c r="D1942" s="2" t="s">
        <v>17</v>
      </c>
      <c r="E1942" s="2" t="s">
        <v>13</v>
      </c>
      <c r="F1942">
        <v>159</v>
      </c>
      <c r="G1942">
        <v>291</v>
      </c>
      <c r="H1942">
        <v>46269</v>
      </c>
      <c r="I1942">
        <v>7132.6203999999998</v>
      </c>
      <c r="J1942" s="2" t="s">
        <v>44</v>
      </c>
    </row>
    <row r="1943" spans="1:10" x14ac:dyDescent="0.35">
      <c r="A1943" s="1">
        <v>45547</v>
      </c>
      <c r="B1943" s="2" t="s">
        <v>31</v>
      </c>
      <c r="C1943" s="2" t="s">
        <v>11</v>
      </c>
      <c r="D1943" s="2" t="s">
        <v>30</v>
      </c>
      <c r="E1943" s="2" t="s">
        <v>35</v>
      </c>
      <c r="F1943">
        <v>713</v>
      </c>
      <c r="G1943">
        <v>217</v>
      </c>
      <c r="H1943">
        <v>154721</v>
      </c>
      <c r="I1943">
        <v>29564.638999999999</v>
      </c>
      <c r="J1943" s="2" t="s">
        <v>44</v>
      </c>
    </row>
    <row r="1944" spans="1:10" x14ac:dyDescent="0.35">
      <c r="A1944" s="1">
        <v>45547</v>
      </c>
      <c r="B1944" s="2" t="s">
        <v>31</v>
      </c>
      <c r="C1944" s="2" t="s">
        <v>16</v>
      </c>
      <c r="D1944" s="2" t="s">
        <v>12</v>
      </c>
      <c r="E1944" s="2" t="s">
        <v>28</v>
      </c>
      <c r="F1944">
        <v>123</v>
      </c>
      <c r="G1944">
        <v>450</v>
      </c>
      <c r="H1944">
        <v>55350</v>
      </c>
      <c r="I1944">
        <v>13592.136699999999</v>
      </c>
      <c r="J1944" s="2" t="s">
        <v>44</v>
      </c>
    </row>
    <row r="1945" spans="1:10" x14ac:dyDescent="0.35">
      <c r="A1945" s="1">
        <v>45548</v>
      </c>
      <c r="B1945" s="2" t="s">
        <v>19</v>
      </c>
      <c r="C1945" s="2" t="s">
        <v>11</v>
      </c>
      <c r="D1945" s="2" t="s">
        <v>30</v>
      </c>
      <c r="E1945" s="2" t="s">
        <v>18</v>
      </c>
      <c r="F1945">
        <v>633</v>
      </c>
      <c r="G1945">
        <v>196</v>
      </c>
      <c r="H1945">
        <v>124068</v>
      </c>
      <c r="I1945">
        <v>12322.6217</v>
      </c>
      <c r="J1945" s="2" t="s">
        <v>44</v>
      </c>
    </row>
    <row r="1946" spans="1:10" x14ac:dyDescent="0.35">
      <c r="A1946" s="1">
        <v>45549</v>
      </c>
      <c r="B1946" s="2" t="s">
        <v>25</v>
      </c>
      <c r="C1946" s="2" t="s">
        <v>23</v>
      </c>
      <c r="D1946" s="2" t="s">
        <v>12</v>
      </c>
      <c r="E1946" s="2" t="s">
        <v>24</v>
      </c>
      <c r="F1946">
        <v>158</v>
      </c>
      <c r="G1946">
        <v>324</v>
      </c>
      <c r="H1946">
        <v>51192</v>
      </c>
      <c r="I1946">
        <v>9107.5424999999996</v>
      </c>
      <c r="J1946" s="2" t="s">
        <v>44</v>
      </c>
    </row>
    <row r="1947" spans="1:10" x14ac:dyDescent="0.35">
      <c r="A1947" s="1">
        <v>45549</v>
      </c>
      <c r="B1947" s="2" t="s">
        <v>34</v>
      </c>
      <c r="C1947" s="2" t="s">
        <v>11</v>
      </c>
      <c r="D1947" s="2" t="s">
        <v>21</v>
      </c>
      <c r="E1947" s="2" t="s">
        <v>22</v>
      </c>
      <c r="F1947">
        <v>776</v>
      </c>
      <c r="G1947">
        <v>196</v>
      </c>
      <c r="H1947">
        <v>152096</v>
      </c>
      <c r="I1947">
        <v>33433.006800000003</v>
      </c>
      <c r="J1947" s="2" t="s">
        <v>44</v>
      </c>
    </row>
    <row r="1948" spans="1:10" x14ac:dyDescent="0.35">
      <c r="A1948" s="1">
        <v>45549</v>
      </c>
      <c r="B1948" s="2" t="s">
        <v>26</v>
      </c>
      <c r="C1948" s="2" t="s">
        <v>29</v>
      </c>
      <c r="D1948" s="2" t="s">
        <v>30</v>
      </c>
      <c r="E1948" s="2" t="s">
        <v>33</v>
      </c>
      <c r="F1948">
        <v>888</v>
      </c>
      <c r="G1948">
        <v>426</v>
      </c>
      <c r="H1948">
        <v>378288</v>
      </c>
      <c r="I1948">
        <v>31030.779699999999</v>
      </c>
      <c r="J1948" s="2" t="s">
        <v>44</v>
      </c>
    </row>
    <row r="1949" spans="1:10" x14ac:dyDescent="0.35">
      <c r="A1949" s="1">
        <v>45550</v>
      </c>
      <c r="B1949" s="2" t="s">
        <v>26</v>
      </c>
      <c r="C1949" s="2" t="s">
        <v>27</v>
      </c>
      <c r="D1949" s="2" t="s">
        <v>30</v>
      </c>
      <c r="E1949" s="2" t="s">
        <v>18</v>
      </c>
      <c r="F1949">
        <v>501</v>
      </c>
      <c r="G1949">
        <v>176</v>
      </c>
      <c r="H1949">
        <v>88176</v>
      </c>
      <c r="I1949">
        <v>10907.7631</v>
      </c>
      <c r="J1949" s="2" t="s">
        <v>44</v>
      </c>
    </row>
    <row r="1950" spans="1:10" x14ac:dyDescent="0.35">
      <c r="A1950" s="1">
        <v>45550</v>
      </c>
      <c r="B1950" s="2" t="s">
        <v>36</v>
      </c>
      <c r="C1950" s="2" t="s">
        <v>11</v>
      </c>
      <c r="D1950" s="2" t="s">
        <v>21</v>
      </c>
      <c r="E1950" s="2" t="s">
        <v>13</v>
      </c>
      <c r="F1950">
        <v>657</v>
      </c>
      <c r="G1950">
        <v>300</v>
      </c>
      <c r="H1950">
        <v>197100</v>
      </c>
      <c r="I1950">
        <v>41530.452100000002</v>
      </c>
      <c r="J1950" s="2" t="s">
        <v>44</v>
      </c>
    </row>
    <row r="1951" spans="1:10" x14ac:dyDescent="0.35">
      <c r="A1951" s="1">
        <v>45550</v>
      </c>
      <c r="B1951" s="2" t="s">
        <v>15</v>
      </c>
      <c r="C1951" s="2" t="s">
        <v>20</v>
      </c>
      <c r="D1951" s="2" t="s">
        <v>21</v>
      </c>
      <c r="E1951" s="2" t="s">
        <v>18</v>
      </c>
      <c r="F1951">
        <v>882</v>
      </c>
      <c r="G1951">
        <v>406</v>
      </c>
      <c r="H1951">
        <v>358092</v>
      </c>
      <c r="I1951">
        <v>85773.427800000005</v>
      </c>
      <c r="J1951" s="2" t="s">
        <v>44</v>
      </c>
    </row>
    <row r="1952" spans="1:10" x14ac:dyDescent="0.35">
      <c r="A1952" s="1">
        <v>45550</v>
      </c>
      <c r="B1952" s="2" t="s">
        <v>36</v>
      </c>
      <c r="C1952" s="2" t="s">
        <v>27</v>
      </c>
      <c r="D1952" s="2" t="s">
        <v>12</v>
      </c>
      <c r="E1952" s="2" t="s">
        <v>33</v>
      </c>
      <c r="F1952">
        <v>630</v>
      </c>
      <c r="G1952">
        <v>368</v>
      </c>
      <c r="H1952">
        <v>231840</v>
      </c>
      <c r="I1952">
        <v>36736.041599999997</v>
      </c>
      <c r="J1952" s="2" t="s">
        <v>44</v>
      </c>
    </row>
    <row r="1953" spans="1:10" x14ac:dyDescent="0.35">
      <c r="A1953" s="1">
        <v>45550</v>
      </c>
      <c r="B1953" s="2" t="s">
        <v>25</v>
      </c>
      <c r="C1953" s="2" t="s">
        <v>23</v>
      </c>
      <c r="D1953" s="2" t="s">
        <v>21</v>
      </c>
      <c r="E1953" s="2" t="s">
        <v>18</v>
      </c>
      <c r="F1953">
        <v>669</v>
      </c>
      <c r="G1953">
        <v>261</v>
      </c>
      <c r="H1953">
        <v>174609</v>
      </c>
      <c r="I1953">
        <v>39505.082799999996</v>
      </c>
      <c r="J1953" s="2" t="s">
        <v>44</v>
      </c>
    </row>
    <row r="1954" spans="1:10" x14ac:dyDescent="0.35">
      <c r="A1954" s="1">
        <v>45551</v>
      </c>
      <c r="B1954" s="2" t="s">
        <v>19</v>
      </c>
      <c r="C1954" s="2" t="s">
        <v>16</v>
      </c>
      <c r="D1954" s="2" t="s">
        <v>30</v>
      </c>
      <c r="E1954" s="2" t="s">
        <v>28</v>
      </c>
      <c r="F1954">
        <v>512</v>
      </c>
      <c r="G1954">
        <v>225</v>
      </c>
      <c r="H1954">
        <v>115200</v>
      </c>
      <c r="I1954">
        <v>22030.777600000001</v>
      </c>
      <c r="J1954" s="2" t="s">
        <v>44</v>
      </c>
    </row>
    <row r="1955" spans="1:10" x14ac:dyDescent="0.35">
      <c r="A1955" s="1">
        <v>45551</v>
      </c>
      <c r="B1955" s="2" t="s">
        <v>25</v>
      </c>
      <c r="C1955" s="2" t="s">
        <v>11</v>
      </c>
      <c r="D1955" s="2" t="s">
        <v>17</v>
      </c>
      <c r="E1955" s="2" t="s">
        <v>33</v>
      </c>
      <c r="F1955">
        <v>226</v>
      </c>
      <c r="G1955">
        <v>417</v>
      </c>
      <c r="H1955">
        <v>94242</v>
      </c>
      <c r="I1955">
        <v>13318.236500000001</v>
      </c>
      <c r="J1955" s="2" t="s">
        <v>44</v>
      </c>
    </row>
    <row r="1956" spans="1:10" x14ac:dyDescent="0.35">
      <c r="A1956" s="1">
        <v>45552</v>
      </c>
      <c r="B1956" s="2" t="s">
        <v>31</v>
      </c>
      <c r="C1956" s="2" t="s">
        <v>23</v>
      </c>
      <c r="D1956" s="2" t="s">
        <v>21</v>
      </c>
      <c r="E1956" s="2" t="s">
        <v>22</v>
      </c>
      <c r="F1956">
        <v>561</v>
      </c>
      <c r="G1956">
        <v>273</v>
      </c>
      <c r="H1956">
        <v>153153</v>
      </c>
      <c r="I1956">
        <v>14174.443300000001</v>
      </c>
      <c r="J1956" s="2" t="s">
        <v>44</v>
      </c>
    </row>
    <row r="1957" spans="1:10" x14ac:dyDescent="0.35">
      <c r="A1957" s="1">
        <v>45553</v>
      </c>
      <c r="B1957" s="2" t="s">
        <v>26</v>
      </c>
      <c r="C1957" s="2" t="s">
        <v>27</v>
      </c>
      <c r="D1957" s="2" t="s">
        <v>30</v>
      </c>
      <c r="E1957" s="2" t="s">
        <v>22</v>
      </c>
      <c r="F1957">
        <v>878</v>
      </c>
      <c r="G1957">
        <v>488</v>
      </c>
      <c r="H1957">
        <v>428464</v>
      </c>
      <c r="I1957">
        <v>89681.864000000001</v>
      </c>
      <c r="J1957" s="2" t="s">
        <v>44</v>
      </c>
    </row>
    <row r="1958" spans="1:10" x14ac:dyDescent="0.35">
      <c r="A1958" s="1">
        <v>45553</v>
      </c>
      <c r="B1958" s="2" t="s">
        <v>36</v>
      </c>
      <c r="C1958" s="2" t="s">
        <v>11</v>
      </c>
      <c r="D1958" s="2" t="s">
        <v>17</v>
      </c>
      <c r="E1958" s="2" t="s">
        <v>32</v>
      </c>
      <c r="F1958">
        <v>328</v>
      </c>
      <c r="G1958">
        <v>296</v>
      </c>
      <c r="H1958">
        <v>97088</v>
      </c>
      <c r="I1958">
        <v>20606.0857</v>
      </c>
      <c r="J1958" s="2" t="s">
        <v>44</v>
      </c>
    </row>
    <row r="1959" spans="1:10" x14ac:dyDescent="0.35">
      <c r="A1959" s="1">
        <v>45554</v>
      </c>
      <c r="B1959" s="2" t="s">
        <v>25</v>
      </c>
      <c r="C1959" s="2" t="s">
        <v>11</v>
      </c>
      <c r="D1959" s="2" t="s">
        <v>30</v>
      </c>
      <c r="E1959" s="2" t="s">
        <v>28</v>
      </c>
      <c r="F1959">
        <v>963</v>
      </c>
      <c r="G1959">
        <v>371</v>
      </c>
      <c r="H1959">
        <v>357273</v>
      </c>
      <c r="I1959">
        <v>73839.062600000005</v>
      </c>
      <c r="J1959" s="2" t="s">
        <v>44</v>
      </c>
    </row>
    <row r="1960" spans="1:10" x14ac:dyDescent="0.35">
      <c r="A1960" s="1">
        <v>45554</v>
      </c>
      <c r="B1960" s="2" t="s">
        <v>26</v>
      </c>
      <c r="C1960" s="2" t="s">
        <v>23</v>
      </c>
      <c r="D1960" s="2" t="s">
        <v>17</v>
      </c>
      <c r="E1960" s="2" t="s">
        <v>33</v>
      </c>
      <c r="F1960">
        <v>756</v>
      </c>
      <c r="G1960">
        <v>129</v>
      </c>
      <c r="H1960">
        <v>97524</v>
      </c>
      <c r="I1960">
        <v>18780.795999999998</v>
      </c>
      <c r="J1960" s="2" t="s">
        <v>44</v>
      </c>
    </row>
    <row r="1961" spans="1:10" x14ac:dyDescent="0.35">
      <c r="A1961" s="1">
        <v>45554</v>
      </c>
      <c r="B1961" s="2" t="s">
        <v>19</v>
      </c>
      <c r="C1961" s="2" t="s">
        <v>23</v>
      </c>
      <c r="D1961" s="2" t="s">
        <v>17</v>
      </c>
      <c r="E1961" s="2" t="s">
        <v>33</v>
      </c>
      <c r="F1961">
        <v>299</v>
      </c>
      <c r="G1961">
        <v>211</v>
      </c>
      <c r="H1961">
        <v>63089</v>
      </c>
      <c r="I1961">
        <v>9418.0709999999999</v>
      </c>
      <c r="J1961" s="2" t="s">
        <v>44</v>
      </c>
    </row>
    <row r="1962" spans="1:10" x14ac:dyDescent="0.35">
      <c r="A1962" s="1">
        <v>45554</v>
      </c>
      <c r="B1962" s="2" t="s">
        <v>19</v>
      </c>
      <c r="C1962" s="2" t="s">
        <v>23</v>
      </c>
      <c r="D1962" s="2" t="s">
        <v>12</v>
      </c>
      <c r="E1962" s="2" t="s">
        <v>22</v>
      </c>
      <c r="F1962">
        <v>752</v>
      </c>
      <c r="G1962">
        <v>206</v>
      </c>
      <c r="H1962">
        <v>154912</v>
      </c>
      <c r="I1962">
        <v>25108.436399999999</v>
      </c>
      <c r="J1962" s="2" t="s">
        <v>44</v>
      </c>
    </row>
    <row r="1963" spans="1:10" x14ac:dyDescent="0.35">
      <c r="A1963" s="1">
        <v>45554</v>
      </c>
      <c r="B1963" s="2" t="s">
        <v>19</v>
      </c>
      <c r="C1963" s="2" t="s">
        <v>23</v>
      </c>
      <c r="D1963" s="2" t="s">
        <v>12</v>
      </c>
      <c r="E1963" s="2" t="s">
        <v>33</v>
      </c>
      <c r="F1963">
        <v>944</v>
      </c>
      <c r="G1963">
        <v>137</v>
      </c>
      <c r="H1963">
        <v>129328</v>
      </c>
      <c r="I1963">
        <v>16123.8773</v>
      </c>
      <c r="J1963" s="2" t="s">
        <v>44</v>
      </c>
    </row>
    <row r="1964" spans="1:10" x14ac:dyDescent="0.35">
      <c r="A1964" s="1">
        <v>45555</v>
      </c>
      <c r="B1964" s="2" t="s">
        <v>25</v>
      </c>
      <c r="C1964" s="2" t="s">
        <v>23</v>
      </c>
      <c r="D1964" s="2" t="s">
        <v>30</v>
      </c>
      <c r="E1964" s="2" t="s">
        <v>24</v>
      </c>
      <c r="F1964">
        <v>572</v>
      </c>
      <c r="G1964">
        <v>347</v>
      </c>
      <c r="H1964">
        <v>198484</v>
      </c>
      <c r="I1964">
        <v>37463.7261</v>
      </c>
      <c r="J1964" s="2" t="s">
        <v>44</v>
      </c>
    </row>
    <row r="1965" spans="1:10" x14ac:dyDescent="0.35">
      <c r="A1965" s="1">
        <v>45555</v>
      </c>
      <c r="B1965" s="2" t="s">
        <v>36</v>
      </c>
      <c r="C1965" s="2" t="s">
        <v>20</v>
      </c>
      <c r="D1965" s="2" t="s">
        <v>21</v>
      </c>
      <c r="E1965" s="2" t="s">
        <v>22</v>
      </c>
      <c r="F1965">
        <v>292</v>
      </c>
      <c r="G1965">
        <v>298</v>
      </c>
      <c r="H1965">
        <v>87016</v>
      </c>
      <c r="I1965">
        <v>20817.821400000001</v>
      </c>
      <c r="J1965" s="2" t="s">
        <v>44</v>
      </c>
    </row>
    <row r="1966" spans="1:10" x14ac:dyDescent="0.35">
      <c r="A1966" s="1">
        <v>45555</v>
      </c>
      <c r="B1966" s="2" t="s">
        <v>19</v>
      </c>
      <c r="C1966" s="2" t="s">
        <v>23</v>
      </c>
      <c r="D1966" s="2" t="s">
        <v>21</v>
      </c>
      <c r="E1966" s="2" t="s">
        <v>32</v>
      </c>
      <c r="F1966">
        <v>338</v>
      </c>
      <c r="G1966">
        <v>179</v>
      </c>
      <c r="H1966">
        <v>60502</v>
      </c>
      <c r="I1966">
        <v>6447.143</v>
      </c>
      <c r="J1966" s="2" t="s">
        <v>44</v>
      </c>
    </row>
    <row r="1967" spans="1:10" x14ac:dyDescent="0.35">
      <c r="A1967" s="1">
        <v>45555</v>
      </c>
      <c r="B1967" s="2" t="s">
        <v>10</v>
      </c>
      <c r="C1967" s="2" t="s">
        <v>29</v>
      </c>
      <c r="D1967" s="2" t="s">
        <v>17</v>
      </c>
      <c r="E1967" s="2" t="s">
        <v>33</v>
      </c>
      <c r="F1967">
        <v>977</v>
      </c>
      <c r="G1967">
        <v>489</v>
      </c>
      <c r="H1967">
        <v>477753</v>
      </c>
      <c r="I1967">
        <v>69954.4764</v>
      </c>
      <c r="J1967" s="2" t="s">
        <v>44</v>
      </c>
    </row>
    <row r="1968" spans="1:10" x14ac:dyDescent="0.35">
      <c r="A1968" s="1">
        <v>45555</v>
      </c>
      <c r="B1968" s="2" t="s">
        <v>34</v>
      </c>
      <c r="C1968" s="2" t="s">
        <v>27</v>
      </c>
      <c r="D1968" s="2" t="s">
        <v>17</v>
      </c>
      <c r="E1968" s="2" t="s">
        <v>32</v>
      </c>
      <c r="F1968">
        <v>126</v>
      </c>
      <c r="G1968">
        <v>347</v>
      </c>
      <c r="H1968">
        <v>43722</v>
      </c>
      <c r="I1968">
        <v>4565.1216999999997</v>
      </c>
      <c r="J1968" s="2" t="s">
        <v>44</v>
      </c>
    </row>
    <row r="1969" spans="1:10" x14ac:dyDescent="0.35">
      <c r="A1969" s="1">
        <v>45555</v>
      </c>
      <c r="B1969" s="2" t="s">
        <v>31</v>
      </c>
      <c r="C1969" s="2" t="s">
        <v>29</v>
      </c>
      <c r="D1969" s="2" t="s">
        <v>21</v>
      </c>
      <c r="E1969" s="2" t="s">
        <v>33</v>
      </c>
      <c r="F1969">
        <v>877</v>
      </c>
      <c r="G1969">
        <v>206</v>
      </c>
      <c r="H1969">
        <v>180662</v>
      </c>
      <c r="I1969">
        <v>18713.9928</v>
      </c>
      <c r="J1969" s="2" t="s">
        <v>44</v>
      </c>
    </row>
    <row r="1970" spans="1:10" x14ac:dyDescent="0.35">
      <c r="A1970" s="1">
        <v>45556</v>
      </c>
      <c r="B1970" s="2" t="s">
        <v>15</v>
      </c>
      <c r="C1970" s="2" t="s">
        <v>16</v>
      </c>
      <c r="D1970" s="2" t="s">
        <v>12</v>
      </c>
      <c r="E1970" s="2" t="s">
        <v>22</v>
      </c>
      <c r="F1970">
        <v>92</v>
      </c>
      <c r="G1970">
        <v>423</v>
      </c>
      <c r="H1970">
        <v>38916</v>
      </c>
      <c r="I1970">
        <v>6533.5978999999998</v>
      </c>
      <c r="J1970" s="2" t="s">
        <v>44</v>
      </c>
    </row>
    <row r="1971" spans="1:10" x14ac:dyDescent="0.35">
      <c r="A1971" s="1">
        <v>45556</v>
      </c>
      <c r="B1971" s="2" t="s">
        <v>26</v>
      </c>
      <c r="C1971" s="2" t="s">
        <v>11</v>
      </c>
      <c r="D1971" s="2" t="s">
        <v>12</v>
      </c>
      <c r="E1971" s="2" t="s">
        <v>28</v>
      </c>
      <c r="F1971">
        <v>680</v>
      </c>
      <c r="G1971">
        <v>250</v>
      </c>
      <c r="H1971">
        <v>170000</v>
      </c>
      <c r="I1971">
        <v>21842.1571</v>
      </c>
      <c r="J1971" s="2" t="s">
        <v>44</v>
      </c>
    </row>
    <row r="1972" spans="1:10" x14ac:dyDescent="0.35">
      <c r="A1972" s="1">
        <v>45556</v>
      </c>
      <c r="B1972" s="2" t="s">
        <v>15</v>
      </c>
      <c r="C1972" s="2" t="s">
        <v>16</v>
      </c>
      <c r="D1972" s="2" t="s">
        <v>21</v>
      </c>
      <c r="E1972" s="2" t="s">
        <v>22</v>
      </c>
      <c r="F1972">
        <v>792</v>
      </c>
      <c r="G1972">
        <v>290</v>
      </c>
      <c r="H1972">
        <v>229680</v>
      </c>
      <c r="I1972">
        <v>26209.450799999999</v>
      </c>
      <c r="J1972" s="2" t="s">
        <v>44</v>
      </c>
    </row>
    <row r="1973" spans="1:10" x14ac:dyDescent="0.35">
      <c r="A1973" s="1">
        <v>45556</v>
      </c>
      <c r="B1973" s="2" t="s">
        <v>36</v>
      </c>
      <c r="C1973" s="2" t="s">
        <v>20</v>
      </c>
      <c r="D1973" s="2" t="s">
        <v>17</v>
      </c>
      <c r="E1973" s="2" t="s">
        <v>24</v>
      </c>
      <c r="F1973">
        <v>558</v>
      </c>
      <c r="G1973">
        <v>481</v>
      </c>
      <c r="H1973">
        <v>268398</v>
      </c>
      <c r="I1973">
        <v>35205.150099999999</v>
      </c>
      <c r="J1973" s="2" t="s">
        <v>44</v>
      </c>
    </row>
    <row r="1974" spans="1:10" x14ac:dyDescent="0.35">
      <c r="A1974" s="1">
        <v>45557</v>
      </c>
      <c r="B1974" s="2" t="s">
        <v>34</v>
      </c>
      <c r="C1974" s="2" t="s">
        <v>27</v>
      </c>
      <c r="D1974" s="2" t="s">
        <v>12</v>
      </c>
      <c r="E1974" s="2" t="s">
        <v>35</v>
      </c>
      <c r="F1974">
        <v>516</v>
      </c>
      <c r="G1974">
        <v>386</v>
      </c>
      <c r="H1974">
        <v>199176</v>
      </c>
      <c r="I1974">
        <v>31789.696199999998</v>
      </c>
      <c r="J1974" s="2" t="s">
        <v>44</v>
      </c>
    </row>
    <row r="1975" spans="1:10" x14ac:dyDescent="0.35">
      <c r="A1975" s="1">
        <v>45557</v>
      </c>
      <c r="B1975" s="2" t="s">
        <v>10</v>
      </c>
      <c r="C1975" s="2" t="s">
        <v>23</v>
      </c>
      <c r="D1975" s="2" t="s">
        <v>12</v>
      </c>
      <c r="E1975" s="2" t="s">
        <v>24</v>
      </c>
      <c r="F1975">
        <v>778</v>
      </c>
      <c r="G1975">
        <v>407</v>
      </c>
      <c r="H1975">
        <v>316646</v>
      </c>
      <c r="I1975">
        <v>67075.507299999997</v>
      </c>
      <c r="J1975" s="2" t="s">
        <v>44</v>
      </c>
    </row>
    <row r="1976" spans="1:10" x14ac:dyDescent="0.35">
      <c r="A1976" s="1">
        <v>45558</v>
      </c>
      <c r="B1976" s="2" t="s">
        <v>31</v>
      </c>
      <c r="C1976" s="2" t="s">
        <v>29</v>
      </c>
      <c r="D1976" s="2" t="s">
        <v>17</v>
      </c>
      <c r="E1976" s="2" t="s">
        <v>32</v>
      </c>
      <c r="F1976">
        <v>933</v>
      </c>
      <c r="G1976">
        <v>241</v>
      </c>
      <c r="H1976">
        <v>224853</v>
      </c>
      <c r="I1976">
        <v>56002.358099999998</v>
      </c>
      <c r="J1976" s="2" t="s">
        <v>44</v>
      </c>
    </row>
    <row r="1977" spans="1:10" x14ac:dyDescent="0.35">
      <c r="A1977" s="1">
        <v>45558</v>
      </c>
      <c r="B1977" s="2" t="s">
        <v>36</v>
      </c>
      <c r="C1977" s="2" t="s">
        <v>16</v>
      </c>
      <c r="D1977" s="2" t="s">
        <v>12</v>
      </c>
      <c r="E1977" s="2" t="s">
        <v>18</v>
      </c>
      <c r="F1977">
        <v>192</v>
      </c>
      <c r="G1977">
        <v>378</v>
      </c>
      <c r="H1977">
        <v>72576</v>
      </c>
      <c r="I1977">
        <v>8770.2104999999992</v>
      </c>
      <c r="J1977" s="2" t="s">
        <v>44</v>
      </c>
    </row>
    <row r="1978" spans="1:10" x14ac:dyDescent="0.35">
      <c r="A1978" s="1">
        <v>45558</v>
      </c>
      <c r="B1978" s="2" t="s">
        <v>10</v>
      </c>
      <c r="C1978" s="2" t="s">
        <v>29</v>
      </c>
      <c r="D1978" s="2" t="s">
        <v>21</v>
      </c>
      <c r="E1978" s="2" t="s">
        <v>24</v>
      </c>
      <c r="F1978">
        <v>675</v>
      </c>
      <c r="G1978">
        <v>132</v>
      </c>
      <c r="H1978">
        <v>89100</v>
      </c>
      <c r="I1978">
        <v>21243.236099999998</v>
      </c>
      <c r="J1978" s="2" t="s">
        <v>44</v>
      </c>
    </row>
    <row r="1979" spans="1:10" x14ac:dyDescent="0.35">
      <c r="A1979" s="1">
        <v>45558</v>
      </c>
      <c r="B1979" s="2" t="s">
        <v>19</v>
      </c>
      <c r="C1979" s="2" t="s">
        <v>27</v>
      </c>
      <c r="D1979" s="2" t="s">
        <v>30</v>
      </c>
      <c r="E1979" s="2" t="s">
        <v>22</v>
      </c>
      <c r="F1979">
        <v>656</v>
      </c>
      <c r="G1979">
        <v>496</v>
      </c>
      <c r="H1979">
        <v>325376</v>
      </c>
      <c r="I1979">
        <v>47075.047599999998</v>
      </c>
      <c r="J1979" s="2" t="s">
        <v>44</v>
      </c>
    </row>
    <row r="1980" spans="1:10" x14ac:dyDescent="0.35">
      <c r="A1980" s="1">
        <v>45558</v>
      </c>
      <c r="B1980" s="2" t="s">
        <v>31</v>
      </c>
      <c r="C1980" s="2" t="s">
        <v>16</v>
      </c>
      <c r="D1980" s="2" t="s">
        <v>12</v>
      </c>
      <c r="E1980" s="2" t="s">
        <v>28</v>
      </c>
      <c r="F1980">
        <v>304</v>
      </c>
      <c r="G1980">
        <v>230</v>
      </c>
      <c r="H1980">
        <v>69920</v>
      </c>
      <c r="I1980">
        <v>7161.5904</v>
      </c>
      <c r="J1980" s="2" t="s">
        <v>44</v>
      </c>
    </row>
    <row r="1981" spans="1:10" x14ac:dyDescent="0.35">
      <c r="A1981" s="1">
        <v>45559</v>
      </c>
      <c r="B1981" s="2" t="s">
        <v>36</v>
      </c>
      <c r="C1981" s="2" t="s">
        <v>29</v>
      </c>
      <c r="D1981" s="2" t="s">
        <v>21</v>
      </c>
      <c r="E1981" s="2" t="s">
        <v>33</v>
      </c>
      <c r="F1981">
        <v>154</v>
      </c>
      <c r="G1981">
        <v>440</v>
      </c>
      <c r="H1981">
        <v>67760</v>
      </c>
      <c r="I1981">
        <v>16381.6625</v>
      </c>
      <c r="J1981" s="2" t="s">
        <v>44</v>
      </c>
    </row>
    <row r="1982" spans="1:10" x14ac:dyDescent="0.35">
      <c r="A1982" s="1">
        <v>45559</v>
      </c>
      <c r="B1982" s="2" t="s">
        <v>31</v>
      </c>
      <c r="C1982" s="2" t="s">
        <v>20</v>
      </c>
      <c r="D1982" s="2" t="s">
        <v>17</v>
      </c>
      <c r="E1982" s="2" t="s">
        <v>32</v>
      </c>
      <c r="F1982">
        <v>691</v>
      </c>
      <c r="G1982">
        <v>403</v>
      </c>
      <c r="H1982">
        <v>278473</v>
      </c>
      <c r="I1982">
        <v>53098.023300000001</v>
      </c>
      <c r="J1982" s="2" t="s">
        <v>44</v>
      </c>
    </row>
    <row r="1983" spans="1:10" x14ac:dyDescent="0.35">
      <c r="A1983" s="1">
        <v>45559</v>
      </c>
      <c r="B1983" s="2" t="s">
        <v>19</v>
      </c>
      <c r="C1983" s="2" t="s">
        <v>16</v>
      </c>
      <c r="D1983" s="2" t="s">
        <v>17</v>
      </c>
      <c r="E1983" s="2" t="s">
        <v>24</v>
      </c>
      <c r="F1983">
        <v>569</v>
      </c>
      <c r="G1983">
        <v>100</v>
      </c>
      <c r="H1983">
        <v>56900</v>
      </c>
      <c r="I1983">
        <v>7860.4515000000001</v>
      </c>
      <c r="J1983" s="2" t="s">
        <v>44</v>
      </c>
    </row>
    <row r="1984" spans="1:10" x14ac:dyDescent="0.35">
      <c r="A1984" s="1">
        <v>45559</v>
      </c>
      <c r="B1984" s="2" t="s">
        <v>19</v>
      </c>
      <c r="C1984" s="2" t="s">
        <v>29</v>
      </c>
      <c r="D1984" s="2" t="s">
        <v>17</v>
      </c>
      <c r="E1984" s="2" t="s">
        <v>22</v>
      </c>
      <c r="F1984">
        <v>590</v>
      </c>
      <c r="G1984">
        <v>312</v>
      </c>
      <c r="H1984">
        <v>184080</v>
      </c>
      <c r="I1984">
        <v>39746.0245</v>
      </c>
      <c r="J1984" s="2" t="s">
        <v>44</v>
      </c>
    </row>
    <row r="1985" spans="1:10" x14ac:dyDescent="0.35">
      <c r="A1985" s="1">
        <v>45560</v>
      </c>
      <c r="B1985" s="2" t="s">
        <v>10</v>
      </c>
      <c r="C1985" s="2" t="s">
        <v>20</v>
      </c>
      <c r="D1985" s="2" t="s">
        <v>12</v>
      </c>
      <c r="E1985" s="2" t="s">
        <v>33</v>
      </c>
      <c r="F1985">
        <v>401</v>
      </c>
      <c r="G1985">
        <v>497</v>
      </c>
      <c r="H1985">
        <v>199297</v>
      </c>
      <c r="I1985">
        <v>22405.311900000001</v>
      </c>
      <c r="J1985" s="2" t="s">
        <v>44</v>
      </c>
    </row>
    <row r="1986" spans="1:10" x14ac:dyDescent="0.35">
      <c r="A1986" s="1">
        <v>45560</v>
      </c>
      <c r="B1986" s="2" t="s">
        <v>26</v>
      </c>
      <c r="C1986" s="2" t="s">
        <v>23</v>
      </c>
      <c r="D1986" s="2" t="s">
        <v>17</v>
      </c>
      <c r="E1986" s="2" t="s">
        <v>22</v>
      </c>
      <c r="F1986">
        <v>713</v>
      </c>
      <c r="G1986">
        <v>175</v>
      </c>
      <c r="H1986">
        <v>124775</v>
      </c>
      <c r="I1986">
        <v>27573.486799999999</v>
      </c>
      <c r="J1986" s="2" t="s">
        <v>44</v>
      </c>
    </row>
    <row r="1987" spans="1:10" x14ac:dyDescent="0.35">
      <c r="A1987" s="1">
        <v>45560</v>
      </c>
      <c r="B1987" s="2" t="s">
        <v>19</v>
      </c>
      <c r="C1987" s="2" t="s">
        <v>20</v>
      </c>
      <c r="D1987" s="2" t="s">
        <v>12</v>
      </c>
      <c r="E1987" s="2" t="s">
        <v>33</v>
      </c>
      <c r="F1987">
        <v>582</v>
      </c>
      <c r="G1987">
        <v>463</v>
      </c>
      <c r="H1987">
        <v>269466</v>
      </c>
      <c r="I1987">
        <v>30244.89</v>
      </c>
      <c r="J1987" s="2" t="s">
        <v>44</v>
      </c>
    </row>
    <row r="1988" spans="1:10" x14ac:dyDescent="0.35">
      <c r="A1988" s="1">
        <v>45560</v>
      </c>
      <c r="B1988" s="2" t="s">
        <v>34</v>
      </c>
      <c r="C1988" s="2" t="s">
        <v>20</v>
      </c>
      <c r="D1988" s="2" t="s">
        <v>17</v>
      </c>
      <c r="E1988" s="2" t="s">
        <v>18</v>
      </c>
      <c r="F1988">
        <v>846</v>
      </c>
      <c r="G1988">
        <v>474</v>
      </c>
      <c r="H1988">
        <v>401004</v>
      </c>
      <c r="I1988">
        <v>39308.9859</v>
      </c>
      <c r="J1988" s="2" t="s">
        <v>44</v>
      </c>
    </row>
    <row r="1989" spans="1:10" x14ac:dyDescent="0.35">
      <c r="A1989" s="1">
        <v>45560</v>
      </c>
      <c r="B1989" s="2" t="s">
        <v>15</v>
      </c>
      <c r="C1989" s="2" t="s">
        <v>29</v>
      </c>
      <c r="D1989" s="2" t="s">
        <v>30</v>
      </c>
      <c r="E1989" s="2" t="s">
        <v>28</v>
      </c>
      <c r="F1989">
        <v>118</v>
      </c>
      <c r="G1989">
        <v>163</v>
      </c>
      <c r="H1989">
        <v>19234</v>
      </c>
      <c r="I1989">
        <v>1812.1641</v>
      </c>
      <c r="J1989" s="2" t="s">
        <v>44</v>
      </c>
    </row>
    <row r="1990" spans="1:10" x14ac:dyDescent="0.35">
      <c r="A1990" s="1">
        <v>45560</v>
      </c>
      <c r="B1990" s="2" t="s">
        <v>10</v>
      </c>
      <c r="C1990" s="2" t="s">
        <v>11</v>
      </c>
      <c r="D1990" s="2" t="s">
        <v>12</v>
      </c>
      <c r="E1990" s="2" t="s">
        <v>24</v>
      </c>
      <c r="F1990">
        <v>227</v>
      </c>
      <c r="G1990">
        <v>344</v>
      </c>
      <c r="H1990">
        <v>78088</v>
      </c>
      <c r="I1990">
        <v>7743.2830999999996</v>
      </c>
      <c r="J1990" s="2" t="s">
        <v>44</v>
      </c>
    </row>
    <row r="1991" spans="1:10" x14ac:dyDescent="0.35">
      <c r="A1991" s="1">
        <v>45561</v>
      </c>
      <c r="B1991" s="2" t="s">
        <v>36</v>
      </c>
      <c r="C1991" s="2" t="s">
        <v>29</v>
      </c>
      <c r="D1991" s="2" t="s">
        <v>30</v>
      </c>
      <c r="E1991" s="2" t="s">
        <v>18</v>
      </c>
      <c r="F1991">
        <v>120</v>
      </c>
      <c r="G1991">
        <v>112</v>
      </c>
      <c r="H1991">
        <v>13440</v>
      </c>
      <c r="I1991">
        <v>2942.7096000000001</v>
      </c>
      <c r="J1991" s="2" t="s">
        <v>44</v>
      </c>
    </row>
    <row r="1992" spans="1:10" x14ac:dyDescent="0.35">
      <c r="A1992" s="1">
        <v>45561</v>
      </c>
      <c r="B1992" s="2" t="s">
        <v>26</v>
      </c>
      <c r="C1992" s="2" t="s">
        <v>27</v>
      </c>
      <c r="D1992" s="2" t="s">
        <v>17</v>
      </c>
      <c r="E1992" s="2" t="s">
        <v>28</v>
      </c>
      <c r="F1992">
        <v>808</v>
      </c>
      <c r="G1992">
        <v>353</v>
      </c>
      <c r="H1992">
        <v>285224</v>
      </c>
      <c r="I1992">
        <v>28789.4925</v>
      </c>
      <c r="J1992" s="2" t="s">
        <v>44</v>
      </c>
    </row>
    <row r="1993" spans="1:10" x14ac:dyDescent="0.35">
      <c r="A1993" s="1">
        <v>45561</v>
      </c>
      <c r="B1993" s="2" t="s">
        <v>26</v>
      </c>
      <c r="C1993" s="2" t="s">
        <v>16</v>
      </c>
      <c r="D1993" s="2" t="s">
        <v>30</v>
      </c>
      <c r="E1993" s="2" t="s">
        <v>33</v>
      </c>
      <c r="F1993">
        <v>265</v>
      </c>
      <c r="G1993">
        <v>358</v>
      </c>
      <c r="H1993">
        <v>94870</v>
      </c>
      <c r="I1993">
        <v>14957.3961</v>
      </c>
      <c r="J1993" s="2" t="s">
        <v>44</v>
      </c>
    </row>
    <row r="1994" spans="1:10" x14ac:dyDescent="0.35">
      <c r="A1994" s="1">
        <v>45562</v>
      </c>
      <c r="B1994" s="2" t="s">
        <v>36</v>
      </c>
      <c r="C1994" s="2" t="s">
        <v>29</v>
      </c>
      <c r="D1994" s="2" t="s">
        <v>21</v>
      </c>
      <c r="E1994" s="2" t="s">
        <v>13</v>
      </c>
      <c r="F1994">
        <v>726</v>
      </c>
      <c r="G1994">
        <v>218</v>
      </c>
      <c r="H1994">
        <v>158268</v>
      </c>
      <c r="I1994">
        <v>22608.069899999999</v>
      </c>
      <c r="J1994" s="2" t="s">
        <v>44</v>
      </c>
    </row>
    <row r="1995" spans="1:10" x14ac:dyDescent="0.35">
      <c r="A1995" s="1">
        <v>45563</v>
      </c>
      <c r="B1995" s="2" t="s">
        <v>36</v>
      </c>
      <c r="C1995" s="2" t="s">
        <v>16</v>
      </c>
      <c r="D1995" s="2" t="s">
        <v>12</v>
      </c>
      <c r="E1995" s="2" t="s">
        <v>28</v>
      </c>
      <c r="F1995">
        <v>727</v>
      </c>
      <c r="G1995">
        <v>283</v>
      </c>
      <c r="H1995">
        <v>205741</v>
      </c>
      <c r="I1995">
        <v>47448.654600000002</v>
      </c>
      <c r="J1995" s="2" t="s">
        <v>44</v>
      </c>
    </row>
    <row r="1996" spans="1:10" x14ac:dyDescent="0.35">
      <c r="A1996" s="1">
        <v>45563</v>
      </c>
      <c r="B1996" s="2" t="s">
        <v>25</v>
      </c>
      <c r="C1996" s="2" t="s">
        <v>23</v>
      </c>
      <c r="D1996" s="2" t="s">
        <v>12</v>
      </c>
      <c r="E1996" s="2" t="s">
        <v>35</v>
      </c>
      <c r="F1996">
        <v>574</v>
      </c>
      <c r="G1996">
        <v>248</v>
      </c>
      <c r="H1996">
        <v>142352</v>
      </c>
      <c r="I1996">
        <v>28783.465800000002</v>
      </c>
      <c r="J1996" s="2" t="s">
        <v>44</v>
      </c>
    </row>
    <row r="1997" spans="1:10" x14ac:dyDescent="0.35">
      <c r="A1997" s="1">
        <v>45563</v>
      </c>
      <c r="B1997" s="2" t="s">
        <v>26</v>
      </c>
      <c r="C1997" s="2" t="s">
        <v>27</v>
      </c>
      <c r="D1997" s="2" t="s">
        <v>12</v>
      </c>
      <c r="E1997" s="2" t="s">
        <v>32</v>
      </c>
      <c r="F1997">
        <v>222</v>
      </c>
      <c r="G1997">
        <v>497</v>
      </c>
      <c r="H1997">
        <v>110334</v>
      </c>
      <c r="I1997">
        <v>15318.517099999999</v>
      </c>
      <c r="J1997" s="2" t="s">
        <v>44</v>
      </c>
    </row>
    <row r="1998" spans="1:10" x14ac:dyDescent="0.35">
      <c r="A1998" s="1">
        <v>45564</v>
      </c>
      <c r="B1998" s="2" t="s">
        <v>19</v>
      </c>
      <c r="C1998" s="2" t="s">
        <v>27</v>
      </c>
      <c r="D1998" s="2" t="s">
        <v>21</v>
      </c>
      <c r="E1998" s="2" t="s">
        <v>35</v>
      </c>
      <c r="F1998">
        <v>144</v>
      </c>
      <c r="G1998">
        <v>400</v>
      </c>
      <c r="H1998">
        <v>57600</v>
      </c>
      <c r="I1998">
        <v>13883.013199999999</v>
      </c>
      <c r="J1998" s="2" t="s">
        <v>44</v>
      </c>
    </row>
    <row r="1999" spans="1:10" x14ac:dyDescent="0.35">
      <c r="A1999" s="1">
        <v>45564</v>
      </c>
      <c r="B1999" s="2" t="s">
        <v>15</v>
      </c>
      <c r="C1999" s="2" t="s">
        <v>27</v>
      </c>
      <c r="D1999" s="2" t="s">
        <v>12</v>
      </c>
      <c r="E1999" s="2" t="s">
        <v>35</v>
      </c>
      <c r="F1999">
        <v>960</v>
      </c>
      <c r="G1999">
        <v>163</v>
      </c>
      <c r="H1999">
        <v>156480</v>
      </c>
      <c r="I1999">
        <v>29785.372800000001</v>
      </c>
      <c r="J1999" s="2" t="s">
        <v>44</v>
      </c>
    </row>
    <row r="2000" spans="1:10" x14ac:dyDescent="0.35">
      <c r="A2000" s="1">
        <v>45564</v>
      </c>
      <c r="B2000" s="2" t="s">
        <v>36</v>
      </c>
      <c r="C2000" s="2" t="s">
        <v>23</v>
      </c>
      <c r="D2000" s="2" t="s">
        <v>12</v>
      </c>
      <c r="E2000" s="2" t="s">
        <v>13</v>
      </c>
      <c r="F2000">
        <v>447</v>
      </c>
      <c r="G2000">
        <v>246</v>
      </c>
      <c r="H2000">
        <v>109962</v>
      </c>
      <c r="I2000">
        <v>11934.3253</v>
      </c>
      <c r="J2000" s="2" t="s">
        <v>44</v>
      </c>
    </row>
    <row r="2001" spans="1:10" x14ac:dyDescent="0.35">
      <c r="A2001" s="1">
        <v>45565</v>
      </c>
      <c r="B2001" s="2" t="s">
        <v>25</v>
      </c>
      <c r="C2001" s="2" t="s">
        <v>11</v>
      </c>
      <c r="D2001" s="2" t="s">
        <v>30</v>
      </c>
      <c r="E2001" s="2" t="s">
        <v>32</v>
      </c>
      <c r="F2001">
        <v>116</v>
      </c>
      <c r="G2001">
        <v>405</v>
      </c>
      <c r="H2001">
        <v>46980</v>
      </c>
      <c r="I2001">
        <v>7905.4359999999997</v>
      </c>
      <c r="J2001" s="2" t="s">
        <v>44</v>
      </c>
    </row>
    <row r="2002" spans="1:10" x14ac:dyDescent="0.35">
      <c r="A2002" s="1">
        <v>45565</v>
      </c>
      <c r="B2002" s="2" t="s">
        <v>36</v>
      </c>
      <c r="C2002" s="2" t="s">
        <v>23</v>
      </c>
      <c r="D2002" s="2" t="s">
        <v>30</v>
      </c>
      <c r="E2002" s="2" t="s">
        <v>22</v>
      </c>
      <c r="F2002">
        <v>595</v>
      </c>
      <c r="G2002">
        <v>120</v>
      </c>
      <c r="H2002">
        <v>71400</v>
      </c>
      <c r="I2002">
        <v>16681.505499999999</v>
      </c>
      <c r="J2002" s="2" t="s">
        <v>44</v>
      </c>
    </row>
    <row r="2003" spans="1:10" x14ac:dyDescent="0.35">
      <c r="A2003" s="1">
        <v>45565</v>
      </c>
      <c r="B2003" s="2" t="s">
        <v>10</v>
      </c>
      <c r="C2003" s="2" t="s">
        <v>20</v>
      </c>
      <c r="D2003" s="2" t="s">
        <v>12</v>
      </c>
      <c r="E2003" s="2" t="s">
        <v>22</v>
      </c>
      <c r="F2003">
        <v>76</v>
      </c>
      <c r="G2003">
        <v>336</v>
      </c>
      <c r="H2003">
        <v>25536</v>
      </c>
      <c r="I2003">
        <v>3633.9751999999999</v>
      </c>
      <c r="J2003" s="2" t="s">
        <v>44</v>
      </c>
    </row>
    <row r="2004" spans="1:10" x14ac:dyDescent="0.35">
      <c r="A2004" s="1">
        <v>45565</v>
      </c>
      <c r="B2004" s="2" t="s">
        <v>25</v>
      </c>
      <c r="C2004" s="2" t="s">
        <v>20</v>
      </c>
      <c r="D2004" s="2" t="s">
        <v>30</v>
      </c>
      <c r="E2004" s="2" t="s">
        <v>33</v>
      </c>
      <c r="F2004">
        <v>590</v>
      </c>
      <c r="G2004">
        <v>340</v>
      </c>
      <c r="H2004">
        <v>200600</v>
      </c>
      <c r="I2004">
        <v>36415.213799999998</v>
      </c>
      <c r="J2004" s="2" t="s">
        <v>44</v>
      </c>
    </row>
    <row r="2005" spans="1:10" x14ac:dyDescent="0.35">
      <c r="A2005" s="1">
        <v>45566</v>
      </c>
      <c r="B2005" s="2" t="s">
        <v>26</v>
      </c>
      <c r="C2005" s="2" t="s">
        <v>20</v>
      </c>
      <c r="D2005" s="2" t="s">
        <v>30</v>
      </c>
      <c r="E2005" s="2" t="s">
        <v>13</v>
      </c>
      <c r="F2005">
        <v>905</v>
      </c>
      <c r="G2005">
        <v>166</v>
      </c>
      <c r="H2005">
        <v>150230</v>
      </c>
      <c r="I2005">
        <v>20291.2317</v>
      </c>
      <c r="J2005" s="2" t="s">
        <v>45</v>
      </c>
    </row>
    <row r="2006" spans="1:10" x14ac:dyDescent="0.35">
      <c r="A2006" s="1">
        <v>45566</v>
      </c>
      <c r="B2006" s="2" t="s">
        <v>26</v>
      </c>
      <c r="C2006" s="2" t="s">
        <v>29</v>
      </c>
      <c r="D2006" s="2" t="s">
        <v>21</v>
      </c>
      <c r="E2006" s="2" t="s">
        <v>24</v>
      </c>
      <c r="F2006">
        <v>475</v>
      </c>
      <c r="G2006">
        <v>164</v>
      </c>
      <c r="H2006">
        <v>77900</v>
      </c>
      <c r="I2006">
        <v>11285.675499999999</v>
      </c>
      <c r="J2006" s="2" t="s">
        <v>45</v>
      </c>
    </row>
    <row r="2007" spans="1:10" x14ac:dyDescent="0.35">
      <c r="A2007" s="1">
        <v>45566</v>
      </c>
      <c r="B2007" s="2" t="s">
        <v>25</v>
      </c>
      <c r="C2007" s="2" t="s">
        <v>16</v>
      </c>
      <c r="D2007" s="2" t="s">
        <v>17</v>
      </c>
      <c r="E2007" s="2" t="s">
        <v>24</v>
      </c>
      <c r="F2007">
        <v>533</v>
      </c>
      <c r="G2007">
        <v>236</v>
      </c>
      <c r="H2007">
        <v>125788</v>
      </c>
      <c r="I2007">
        <v>27915.775900000001</v>
      </c>
      <c r="J2007" s="2" t="s">
        <v>45</v>
      </c>
    </row>
    <row r="2008" spans="1:10" x14ac:dyDescent="0.35">
      <c r="A2008" s="1">
        <v>45566</v>
      </c>
      <c r="B2008" s="2" t="s">
        <v>31</v>
      </c>
      <c r="C2008" s="2" t="s">
        <v>23</v>
      </c>
      <c r="D2008" s="2" t="s">
        <v>17</v>
      </c>
      <c r="E2008" s="2" t="s">
        <v>18</v>
      </c>
      <c r="F2008">
        <v>313</v>
      </c>
      <c r="G2008">
        <v>426</v>
      </c>
      <c r="H2008">
        <v>133338</v>
      </c>
      <c r="I2008">
        <v>27652.408299999999</v>
      </c>
      <c r="J2008" s="2" t="s">
        <v>45</v>
      </c>
    </row>
    <row r="2009" spans="1:10" x14ac:dyDescent="0.35">
      <c r="A2009" s="1">
        <v>45567</v>
      </c>
      <c r="B2009" s="2" t="s">
        <v>15</v>
      </c>
      <c r="C2009" s="2" t="s">
        <v>20</v>
      </c>
      <c r="D2009" s="2" t="s">
        <v>30</v>
      </c>
      <c r="E2009" s="2" t="s">
        <v>33</v>
      </c>
      <c r="F2009">
        <v>808</v>
      </c>
      <c r="G2009">
        <v>103</v>
      </c>
      <c r="H2009">
        <v>83224</v>
      </c>
      <c r="I2009">
        <v>10635.695299999999</v>
      </c>
      <c r="J2009" s="2" t="s">
        <v>45</v>
      </c>
    </row>
    <row r="2010" spans="1:10" x14ac:dyDescent="0.35">
      <c r="A2010" s="1">
        <v>45567</v>
      </c>
      <c r="B2010" s="2" t="s">
        <v>10</v>
      </c>
      <c r="C2010" s="2" t="s">
        <v>16</v>
      </c>
      <c r="D2010" s="2" t="s">
        <v>17</v>
      </c>
      <c r="E2010" s="2" t="s">
        <v>22</v>
      </c>
      <c r="F2010">
        <v>899</v>
      </c>
      <c r="G2010">
        <v>398</v>
      </c>
      <c r="H2010">
        <v>357802</v>
      </c>
      <c r="I2010">
        <v>48741.811600000001</v>
      </c>
      <c r="J2010" s="2" t="s">
        <v>45</v>
      </c>
    </row>
    <row r="2011" spans="1:10" x14ac:dyDescent="0.35">
      <c r="A2011" s="1">
        <v>45568</v>
      </c>
      <c r="B2011" s="2" t="s">
        <v>36</v>
      </c>
      <c r="C2011" s="2" t="s">
        <v>20</v>
      </c>
      <c r="D2011" s="2" t="s">
        <v>17</v>
      </c>
      <c r="E2011" s="2" t="s">
        <v>24</v>
      </c>
      <c r="F2011">
        <v>202</v>
      </c>
      <c r="G2011">
        <v>446</v>
      </c>
      <c r="H2011">
        <v>90092</v>
      </c>
      <c r="I2011">
        <v>12928.090099999999</v>
      </c>
      <c r="J2011" s="2" t="s">
        <v>45</v>
      </c>
    </row>
    <row r="2012" spans="1:10" x14ac:dyDescent="0.35">
      <c r="A2012" s="1">
        <v>45568</v>
      </c>
      <c r="B2012" s="2" t="s">
        <v>10</v>
      </c>
      <c r="C2012" s="2" t="s">
        <v>29</v>
      </c>
      <c r="D2012" s="2" t="s">
        <v>30</v>
      </c>
      <c r="E2012" s="2" t="s">
        <v>35</v>
      </c>
      <c r="F2012">
        <v>319</v>
      </c>
      <c r="G2012">
        <v>225</v>
      </c>
      <c r="H2012">
        <v>71775</v>
      </c>
      <c r="I2012">
        <v>15365.636399999999</v>
      </c>
      <c r="J2012" s="2" t="s">
        <v>45</v>
      </c>
    </row>
    <row r="2013" spans="1:10" x14ac:dyDescent="0.35">
      <c r="A2013" s="1">
        <v>45569</v>
      </c>
      <c r="B2013" s="2" t="s">
        <v>15</v>
      </c>
      <c r="C2013" s="2" t="s">
        <v>16</v>
      </c>
      <c r="D2013" s="2" t="s">
        <v>30</v>
      </c>
      <c r="E2013" s="2" t="s">
        <v>28</v>
      </c>
      <c r="F2013">
        <v>149</v>
      </c>
      <c r="G2013">
        <v>217</v>
      </c>
      <c r="H2013">
        <v>32333</v>
      </c>
      <c r="I2013">
        <v>3827.3939999999998</v>
      </c>
      <c r="J2013" s="2" t="s">
        <v>45</v>
      </c>
    </row>
    <row r="2014" spans="1:10" x14ac:dyDescent="0.35">
      <c r="A2014" s="1">
        <v>45570</v>
      </c>
      <c r="B2014" s="2" t="s">
        <v>15</v>
      </c>
      <c r="C2014" s="2" t="s">
        <v>29</v>
      </c>
      <c r="D2014" s="2" t="s">
        <v>17</v>
      </c>
      <c r="E2014" s="2" t="s">
        <v>13</v>
      </c>
      <c r="F2014">
        <v>575</v>
      </c>
      <c r="G2014">
        <v>281</v>
      </c>
      <c r="H2014">
        <v>161575</v>
      </c>
      <c r="I2014">
        <v>16381.3603</v>
      </c>
      <c r="J2014" s="2" t="s">
        <v>45</v>
      </c>
    </row>
    <row r="2015" spans="1:10" x14ac:dyDescent="0.35">
      <c r="A2015" s="1">
        <v>45570</v>
      </c>
      <c r="B2015" s="2" t="s">
        <v>19</v>
      </c>
      <c r="C2015" s="2" t="s">
        <v>11</v>
      </c>
      <c r="D2015" s="2" t="s">
        <v>30</v>
      </c>
      <c r="E2015" s="2" t="s">
        <v>33</v>
      </c>
      <c r="F2015">
        <v>687</v>
      </c>
      <c r="G2015">
        <v>257</v>
      </c>
      <c r="H2015">
        <v>176559</v>
      </c>
      <c r="I2015">
        <v>14754.8577</v>
      </c>
      <c r="J2015" s="2" t="s">
        <v>45</v>
      </c>
    </row>
    <row r="2016" spans="1:10" x14ac:dyDescent="0.35">
      <c r="A2016" s="1">
        <v>45570</v>
      </c>
      <c r="B2016" s="2" t="s">
        <v>34</v>
      </c>
      <c r="C2016" s="2" t="s">
        <v>29</v>
      </c>
      <c r="D2016" s="2" t="s">
        <v>12</v>
      </c>
      <c r="E2016" s="2" t="s">
        <v>35</v>
      </c>
      <c r="F2016">
        <v>849</v>
      </c>
      <c r="G2016">
        <v>365</v>
      </c>
      <c r="H2016">
        <v>309885</v>
      </c>
      <c r="I2016">
        <v>70257.610400000005</v>
      </c>
      <c r="J2016" s="2" t="s">
        <v>45</v>
      </c>
    </row>
    <row r="2017" spans="1:10" x14ac:dyDescent="0.35">
      <c r="A2017" s="1">
        <v>45571</v>
      </c>
      <c r="B2017" s="2" t="s">
        <v>36</v>
      </c>
      <c r="C2017" s="2" t="s">
        <v>29</v>
      </c>
      <c r="D2017" s="2" t="s">
        <v>21</v>
      </c>
      <c r="E2017" s="2" t="s">
        <v>32</v>
      </c>
      <c r="F2017">
        <v>306</v>
      </c>
      <c r="G2017">
        <v>102</v>
      </c>
      <c r="H2017">
        <v>31212</v>
      </c>
      <c r="I2017">
        <v>5761.6027999999997</v>
      </c>
      <c r="J2017" s="2" t="s">
        <v>45</v>
      </c>
    </row>
    <row r="2018" spans="1:10" x14ac:dyDescent="0.35">
      <c r="A2018" s="1">
        <v>45571</v>
      </c>
      <c r="B2018" s="2" t="s">
        <v>10</v>
      </c>
      <c r="C2018" s="2" t="s">
        <v>11</v>
      </c>
      <c r="D2018" s="2" t="s">
        <v>17</v>
      </c>
      <c r="E2018" s="2" t="s">
        <v>35</v>
      </c>
      <c r="F2018">
        <v>355</v>
      </c>
      <c r="G2018">
        <v>112</v>
      </c>
      <c r="H2018">
        <v>39760</v>
      </c>
      <c r="I2018">
        <v>5917.6925000000001</v>
      </c>
      <c r="J2018" s="2" t="s">
        <v>45</v>
      </c>
    </row>
    <row r="2019" spans="1:10" x14ac:dyDescent="0.35">
      <c r="A2019" s="1">
        <v>45571</v>
      </c>
      <c r="B2019" s="2" t="s">
        <v>25</v>
      </c>
      <c r="C2019" s="2" t="s">
        <v>20</v>
      </c>
      <c r="D2019" s="2" t="s">
        <v>21</v>
      </c>
      <c r="E2019" s="2" t="s">
        <v>22</v>
      </c>
      <c r="F2019">
        <v>514</v>
      </c>
      <c r="G2019">
        <v>159</v>
      </c>
      <c r="H2019">
        <v>81726</v>
      </c>
      <c r="I2019">
        <v>11311.726000000001</v>
      </c>
      <c r="J2019" s="2" t="s">
        <v>45</v>
      </c>
    </row>
    <row r="2020" spans="1:10" x14ac:dyDescent="0.35">
      <c r="A2020" s="1">
        <v>45572</v>
      </c>
      <c r="B2020" s="2" t="s">
        <v>34</v>
      </c>
      <c r="C2020" s="2" t="s">
        <v>23</v>
      </c>
      <c r="D2020" s="2" t="s">
        <v>17</v>
      </c>
      <c r="E2020" s="2" t="s">
        <v>28</v>
      </c>
      <c r="F2020">
        <v>648</v>
      </c>
      <c r="G2020">
        <v>408</v>
      </c>
      <c r="H2020">
        <v>264384</v>
      </c>
      <c r="I2020">
        <v>43538.886100000003</v>
      </c>
      <c r="J2020" s="2" t="s">
        <v>45</v>
      </c>
    </row>
    <row r="2021" spans="1:10" x14ac:dyDescent="0.35">
      <c r="A2021" s="1">
        <v>45572</v>
      </c>
      <c r="B2021" s="2" t="s">
        <v>31</v>
      </c>
      <c r="C2021" s="2" t="s">
        <v>16</v>
      </c>
      <c r="D2021" s="2" t="s">
        <v>12</v>
      </c>
      <c r="E2021" s="2" t="s">
        <v>33</v>
      </c>
      <c r="F2021">
        <v>390</v>
      </c>
      <c r="G2021">
        <v>429</v>
      </c>
      <c r="H2021">
        <v>167310</v>
      </c>
      <c r="I2021">
        <v>37759.307500000003</v>
      </c>
      <c r="J2021" s="2" t="s">
        <v>45</v>
      </c>
    </row>
    <row r="2022" spans="1:10" x14ac:dyDescent="0.35">
      <c r="A2022" s="1">
        <v>45572</v>
      </c>
      <c r="B2022" s="2" t="s">
        <v>10</v>
      </c>
      <c r="C2022" s="2" t="s">
        <v>27</v>
      </c>
      <c r="D2022" s="2" t="s">
        <v>30</v>
      </c>
      <c r="E2022" s="2" t="s">
        <v>28</v>
      </c>
      <c r="F2022">
        <v>866</v>
      </c>
      <c r="G2022">
        <v>495</v>
      </c>
      <c r="H2022">
        <v>428670</v>
      </c>
      <c r="I2022">
        <v>51431.272700000001</v>
      </c>
      <c r="J2022" s="2" t="s">
        <v>45</v>
      </c>
    </row>
    <row r="2023" spans="1:10" x14ac:dyDescent="0.35">
      <c r="A2023" s="1">
        <v>45572</v>
      </c>
      <c r="B2023" s="2" t="s">
        <v>36</v>
      </c>
      <c r="C2023" s="2" t="s">
        <v>16</v>
      </c>
      <c r="D2023" s="2" t="s">
        <v>30</v>
      </c>
      <c r="E2023" s="2" t="s">
        <v>35</v>
      </c>
      <c r="F2023">
        <v>807</v>
      </c>
      <c r="G2023">
        <v>408</v>
      </c>
      <c r="H2023">
        <v>329256</v>
      </c>
      <c r="I2023">
        <v>58196.717600000004</v>
      </c>
      <c r="J2023" s="2" t="s">
        <v>45</v>
      </c>
    </row>
    <row r="2024" spans="1:10" x14ac:dyDescent="0.35">
      <c r="A2024" s="1">
        <v>45572</v>
      </c>
      <c r="B2024" s="2" t="s">
        <v>25</v>
      </c>
      <c r="C2024" s="2" t="s">
        <v>20</v>
      </c>
      <c r="D2024" s="2" t="s">
        <v>30</v>
      </c>
      <c r="E2024" s="2" t="s">
        <v>13</v>
      </c>
      <c r="F2024">
        <v>487</v>
      </c>
      <c r="G2024">
        <v>370</v>
      </c>
      <c r="H2024">
        <v>180190</v>
      </c>
      <c r="I2024">
        <v>22714.944299999999</v>
      </c>
      <c r="J2024" s="2" t="s">
        <v>45</v>
      </c>
    </row>
    <row r="2025" spans="1:10" x14ac:dyDescent="0.35">
      <c r="A2025" s="1">
        <v>45572</v>
      </c>
      <c r="B2025" s="2" t="s">
        <v>15</v>
      </c>
      <c r="C2025" s="2" t="s">
        <v>29</v>
      </c>
      <c r="D2025" s="2" t="s">
        <v>12</v>
      </c>
      <c r="E2025" s="2" t="s">
        <v>24</v>
      </c>
      <c r="F2025">
        <v>923</v>
      </c>
      <c r="G2025">
        <v>351</v>
      </c>
      <c r="H2025">
        <v>323973</v>
      </c>
      <c r="I2025">
        <v>53086.108800000002</v>
      </c>
      <c r="J2025" s="2" t="s">
        <v>45</v>
      </c>
    </row>
    <row r="2026" spans="1:10" x14ac:dyDescent="0.35">
      <c r="A2026" s="1">
        <v>45572</v>
      </c>
      <c r="B2026" s="2" t="s">
        <v>19</v>
      </c>
      <c r="C2026" s="2" t="s">
        <v>16</v>
      </c>
      <c r="D2026" s="2" t="s">
        <v>17</v>
      </c>
      <c r="E2026" s="2" t="s">
        <v>13</v>
      </c>
      <c r="F2026">
        <v>149</v>
      </c>
      <c r="G2026">
        <v>283</v>
      </c>
      <c r="H2026">
        <v>42167</v>
      </c>
      <c r="I2026">
        <v>7374.6995999999999</v>
      </c>
      <c r="J2026" s="2" t="s">
        <v>45</v>
      </c>
    </row>
    <row r="2027" spans="1:10" x14ac:dyDescent="0.35">
      <c r="A2027" s="1">
        <v>45573</v>
      </c>
      <c r="B2027" s="2" t="s">
        <v>36</v>
      </c>
      <c r="C2027" s="2" t="s">
        <v>23</v>
      </c>
      <c r="D2027" s="2" t="s">
        <v>17</v>
      </c>
      <c r="E2027" s="2" t="s">
        <v>18</v>
      </c>
      <c r="F2027">
        <v>117</v>
      </c>
      <c r="G2027">
        <v>323</v>
      </c>
      <c r="H2027">
        <v>37791</v>
      </c>
      <c r="I2027">
        <v>4196.9596000000001</v>
      </c>
      <c r="J2027" s="2" t="s">
        <v>45</v>
      </c>
    </row>
    <row r="2028" spans="1:10" x14ac:dyDescent="0.35">
      <c r="A2028" s="1">
        <v>45573</v>
      </c>
      <c r="B2028" s="2" t="s">
        <v>19</v>
      </c>
      <c r="C2028" s="2" t="s">
        <v>23</v>
      </c>
      <c r="D2028" s="2" t="s">
        <v>21</v>
      </c>
      <c r="E2028" s="2" t="s">
        <v>22</v>
      </c>
      <c r="F2028">
        <v>659</v>
      </c>
      <c r="G2028">
        <v>389</v>
      </c>
      <c r="H2028">
        <v>256351</v>
      </c>
      <c r="I2028">
        <v>50270.453699999998</v>
      </c>
      <c r="J2028" s="2" t="s">
        <v>45</v>
      </c>
    </row>
    <row r="2029" spans="1:10" x14ac:dyDescent="0.35">
      <c r="A2029" s="1">
        <v>45573</v>
      </c>
      <c r="B2029" s="2" t="s">
        <v>19</v>
      </c>
      <c r="C2029" s="2" t="s">
        <v>27</v>
      </c>
      <c r="D2029" s="2" t="s">
        <v>21</v>
      </c>
      <c r="E2029" s="2" t="s">
        <v>18</v>
      </c>
      <c r="F2029">
        <v>473</v>
      </c>
      <c r="G2029">
        <v>261</v>
      </c>
      <c r="H2029">
        <v>123453</v>
      </c>
      <c r="I2029">
        <v>13516.688700000001</v>
      </c>
      <c r="J2029" s="2" t="s">
        <v>45</v>
      </c>
    </row>
    <row r="2030" spans="1:10" x14ac:dyDescent="0.35">
      <c r="A2030" s="1">
        <v>45574</v>
      </c>
      <c r="B2030" s="2" t="s">
        <v>34</v>
      </c>
      <c r="C2030" s="2" t="s">
        <v>20</v>
      </c>
      <c r="D2030" s="2" t="s">
        <v>12</v>
      </c>
      <c r="E2030" s="2" t="s">
        <v>13</v>
      </c>
      <c r="F2030">
        <v>815</v>
      </c>
      <c r="G2030">
        <v>396</v>
      </c>
      <c r="H2030">
        <v>322740</v>
      </c>
      <c r="I2030">
        <v>80614.950299999997</v>
      </c>
      <c r="J2030" s="2" t="s">
        <v>45</v>
      </c>
    </row>
    <row r="2031" spans="1:10" x14ac:dyDescent="0.35">
      <c r="A2031" s="1">
        <v>45574</v>
      </c>
      <c r="B2031" s="2" t="s">
        <v>31</v>
      </c>
      <c r="C2031" s="2" t="s">
        <v>29</v>
      </c>
      <c r="D2031" s="2" t="s">
        <v>17</v>
      </c>
      <c r="E2031" s="2" t="s">
        <v>13</v>
      </c>
      <c r="F2031">
        <v>571</v>
      </c>
      <c r="G2031">
        <v>360</v>
      </c>
      <c r="H2031">
        <v>205560</v>
      </c>
      <c r="I2031">
        <v>47298.8298</v>
      </c>
      <c r="J2031" s="2" t="s">
        <v>45</v>
      </c>
    </row>
    <row r="2032" spans="1:10" x14ac:dyDescent="0.35">
      <c r="A2032" s="1">
        <v>45574</v>
      </c>
      <c r="B2032" s="2" t="s">
        <v>15</v>
      </c>
      <c r="C2032" s="2" t="s">
        <v>23</v>
      </c>
      <c r="D2032" s="2" t="s">
        <v>17</v>
      </c>
      <c r="E2032" s="2" t="s">
        <v>35</v>
      </c>
      <c r="F2032">
        <v>335</v>
      </c>
      <c r="G2032">
        <v>268</v>
      </c>
      <c r="H2032">
        <v>89780</v>
      </c>
      <c r="I2032">
        <v>9473.8328000000001</v>
      </c>
      <c r="J2032" s="2" t="s">
        <v>45</v>
      </c>
    </row>
    <row r="2033" spans="1:10" x14ac:dyDescent="0.35">
      <c r="A2033" s="1">
        <v>45575</v>
      </c>
      <c r="B2033" s="2" t="s">
        <v>26</v>
      </c>
      <c r="C2033" s="2" t="s">
        <v>20</v>
      </c>
      <c r="D2033" s="2" t="s">
        <v>17</v>
      </c>
      <c r="E2033" s="2" t="s">
        <v>24</v>
      </c>
      <c r="F2033">
        <v>237</v>
      </c>
      <c r="G2033">
        <v>278</v>
      </c>
      <c r="H2033">
        <v>65886</v>
      </c>
      <c r="I2033">
        <v>7310.1490000000003</v>
      </c>
      <c r="J2033" s="2" t="s">
        <v>45</v>
      </c>
    </row>
    <row r="2034" spans="1:10" x14ac:dyDescent="0.35">
      <c r="A2034" s="1">
        <v>45575</v>
      </c>
      <c r="B2034" s="2" t="s">
        <v>10</v>
      </c>
      <c r="C2034" s="2" t="s">
        <v>29</v>
      </c>
      <c r="D2034" s="2" t="s">
        <v>17</v>
      </c>
      <c r="E2034" s="2" t="s">
        <v>35</v>
      </c>
      <c r="F2034">
        <v>723</v>
      </c>
      <c r="G2034">
        <v>242</v>
      </c>
      <c r="H2034">
        <v>174966</v>
      </c>
      <c r="I2034">
        <v>36730.407599999999</v>
      </c>
      <c r="J2034" s="2" t="s">
        <v>45</v>
      </c>
    </row>
    <row r="2035" spans="1:10" x14ac:dyDescent="0.35">
      <c r="A2035" s="1">
        <v>45575</v>
      </c>
      <c r="B2035" s="2" t="s">
        <v>15</v>
      </c>
      <c r="C2035" s="2" t="s">
        <v>23</v>
      </c>
      <c r="D2035" s="2" t="s">
        <v>12</v>
      </c>
      <c r="E2035" s="2" t="s">
        <v>24</v>
      </c>
      <c r="F2035">
        <v>556</v>
      </c>
      <c r="G2035">
        <v>106</v>
      </c>
      <c r="H2035">
        <v>58936</v>
      </c>
      <c r="I2035">
        <v>14070.1752</v>
      </c>
      <c r="J2035" s="2" t="s">
        <v>45</v>
      </c>
    </row>
    <row r="2036" spans="1:10" x14ac:dyDescent="0.35">
      <c r="A2036" s="1">
        <v>45575</v>
      </c>
      <c r="B2036" s="2" t="s">
        <v>31</v>
      </c>
      <c r="C2036" s="2" t="s">
        <v>16</v>
      </c>
      <c r="D2036" s="2" t="s">
        <v>17</v>
      </c>
      <c r="E2036" s="2" t="s">
        <v>13</v>
      </c>
      <c r="F2036">
        <v>476</v>
      </c>
      <c r="G2036">
        <v>251</v>
      </c>
      <c r="H2036">
        <v>119476</v>
      </c>
      <c r="I2036">
        <v>25987.772000000001</v>
      </c>
      <c r="J2036" s="2" t="s">
        <v>45</v>
      </c>
    </row>
    <row r="2037" spans="1:10" x14ac:dyDescent="0.35">
      <c r="A2037" s="1">
        <v>45576</v>
      </c>
      <c r="B2037" s="2" t="s">
        <v>26</v>
      </c>
      <c r="C2037" s="2" t="s">
        <v>16</v>
      </c>
      <c r="D2037" s="2" t="s">
        <v>21</v>
      </c>
      <c r="E2037" s="2" t="s">
        <v>28</v>
      </c>
      <c r="F2037">
        <v>946</v>
      </c>
      <c r="G2037">
        <v>181</v>
      </c>
      <c r="H2037">
        <v>171226</v>
      </c>
      <c r="I2037">
        <v>34326.772400000002</v>
      </c>
      <c r="J2037" s="2" t="s">
        <v>45</v>
      </c>
    </row>
    <row r="2038" spans="1:10" x14ac:dyDescent="0.35">
      <c r="A2038" s="1">
        <v>45576</v>
      </c>
      <c r="B2038" s="2" t="s">
        <v>10</v>
      </c>
      <c r="C2038" s="2" t="s">
        <v>23</v>
      </c>
      <c r="D2038" s="2" t="s">
        <v>21</v>
      </c>
      <c r="E2038" s="2" t="s">
        <v>24</v>
      </c>
      <c r="F2038">
        <v>933</v>
      </c>
      <c r="G2038">
        <v>278</v>
      </c>
      <c r="H2038">
        <v>259374</v>
      </c>
      <c r="I2038">
        <v>56600.908499999998</v>
      </c>
      <c r="J2038" s="2" t="s">
        <v>45</v>
      </c>
    </row>
    <row r="2039" spans="1:10" x14ac:dyDescent="0.35">
      <c r="A2039" s="1">
        <v>45577</v>
      </c>
      <c r="B2039" s="2" t="s">
        <v>31</v>
      </c>
      <c r="C2039" s="2" t="s">
        <v>29</v>
      </c>
      <c r="D2039" s="2" t="s">
        <v>21</v>
      </c>
      <c r="E2039" s="2" t="s">
        <v>33</v>
      </c>
      <c r="F2039">
        <v>253</v>
      </c>
      <c r="G2039">
        <v>145</v>
      </c>
      <c r="H2039">
        <v>36685</v>
      </c>
      <c r="I2039">
        <v>4872.4441999999999</v>
      </c>
      <c r="J2039" s="2" t="s">
        <v>45</v>
      </c>
    </row>
    <row r="2040" spans="1:10" x14ac:dyDescent="0.35">
      <c r="A2040" s="1">
        <v>45578</v>
      </c>
      <c r="B2040" s="2" t="s">
        <v>19</v>
      </c>
      <c r="C2040" s="2" t="s">
        <v>29</v>
      </c>
      <c r="D2040" s="2" t="s">
        <v>12</v>
      </c>
      <c r="E2040" s="2" t="s">
        <v>32</v>
      </c>
      <c r="F2040">
        <v>360</v>
      </c>
      <c r="G2040">
        <v>367</v>
      </c>
      <c r="H2040">
        <v>132120</v>
      </c>
      <c r="I2040">
        <v>16697.180700000001</v>
      </c>
      <c r="J2040" s="2" t="s">
        <v>45</v>
      </c>
    </row>
    <row r="2041" spans="1:10" x14ac:dyDescent="0.35">
      <c r="A2041" s="1">
        <v>45579</v>
      </c>
      <c r="B2041" s="2" t="s">
        <v>19</v>
      </c>
      <c r="C2041" s="2" t="s">
        <v>23</v>
      </c>
      <c r="D2041" s="2" t="s">
        <v>12</v>
      </c>
      <c r="E2041" s="2" t="s">
        <v>24</v>
      </c>
      <c r="F2041">
        <v>626</v>
      </c>
      <c r="G2041">
        <v>332</v>
      </c>
      <c r="H2041">
        <v>207832</v>
      </c>
      <c r="I2041">
        <v>36531.549899999998</v>
      </c>
      <c r="J2041" s="2" t="s">
        <v>45</v>
      </c>
    </row>
    <row r="2042" spans="1:10" x14ac:dyDescent="0.35">
      <c r="A2042" s="1">
        <v>45579</v>
      </c>
      <c r="B2042" s="2" t="s">
        <v>15</v>
      </c>
      <c r="C2042" s="2" t="s">
        <v>11</v>
      </c>
      <c r="D2042" s="2" t="s">
        <v>30</v>
      </c>
      <c r="E2042" s="2" t="s">
        <v>33</v>
      </c>
      <c r="F2042">
        <v>606</v>
      </c>
      <c r="G2042">
        <v>275</v>
      </c>
      <c r="H2042">
        <v>166650</v>
      </c>
      <c r="I2042">
        <v>39869.350599999998</v>
      </c>
      <c r="J2042" s="2" t="s">
        <v>45</v>
      </c>
    </row>
    <row r="2043" spans="1:10" x14ac:dyDescent="0.35">
      <c r="A2043" s="1">
        <v>45579</v>
      </c>
      <c r="B2043" s="2" t="s">
        <v>19</v>
      </c>
      <c r="C2043" s="2" t="s">
        <v>27</v>
      </c>
      <c r="D2043" s="2" t="s">
        <v>12</v>
      </c>
      <c r="E2043" s="2" t="s">
        <v>28</v>
      </c>
      <c r="F2043">
        <v>191</v>
      </c>
      <c r="G2043">
        <v>281</v>
      </c>
      <c r="H2043">
        <v>53671</v>
      </c>
      <c r="I2043">
        <v>9189.4462999999996</v>
      </c>
      <c r="J2043" s="2" t="s">
        <v>45</v>
      </c>
    </row>
    <row r="2044" spans="1:10" x14ac:dyDescent="0.35">
      <c r="A2044" s="1">
        <v>45580</v>
      </c>
      <c r="B2044" s="2" t="s">
        <v>36</v>
      </c>
      <c r="C2044" s="2" t="s">
        <v>23</v>
      </c>
      <c r="D2044" s="2" t="s">
        <v>17</v>
      </c>
      <c r="E2044" s="2" t="s">
        <v>28</v>
      </c>
      <c r="F2044">
        <v>291</v>
      </c>
      <c r="G2044">
        <v>408</v>
      </c>
      <c r="H2044">
        <v>118728</v>
      </c>
      <c r="I2044">
        <v>26388.5128</v>
      </c>
      <c r="J2044" s="2" t="s">
        <v>45</v>
      </c>
    </row>
    <row r="2045" spans="1:10" x14ac:dyDescent="0.35">
      <c r="A2045" s="1">
        <v>45580</v>
      </c>
      <c r="B2045" s="2" t="s">
        <v>19</v>
      </c>
      <c r="C2045" s="2" t="s">
        <v>16</v>
      </c>
      <c r="D2045" s="2" t="s">
        <v>30</v>
      </c>
      <c r="E2045" s="2" t="s">
        <v>22</v>
      </c>
      <c r="F2045">
        <v>196</v>
      </c>
      <c r="G2045">
        <v>150</v>
      </c>
      <c r="H2045">
        <v>29400</v>
      </c>
      <c r="I2045">
        <v>4753.0245999999997</v>
      </c>
      <c r="J2045" s="2" t="s">
        <v>45</v>
      </c>
    </row>
    <row r="2046" spans="1:10" x14ac:dyDescent="0.35">
      <c r="A2046" s="1">
        <v>45581</v>
      </c>
      <c r="B2046" s="2" t="s">
        <v>10</v>
      </c>
      <c r="C2046" s="2" t="s">
        <v>29</v>
      </c>
      <c r="D2046" s="2" t="s">
        <v>12</v>
      </c>
      <c r="E2046" s="2" t="s">
        <v>22</v>
      </c>
      <c r="F2046">
        <v>857</v>
      </c>
      <c r="G2046">
        <v>300</v>
      </c>
      <c r="H2046">
        <v>257100</v>
      </c>
      <c r="I2046">
        <v>46012.606800000001</v>
      </c>
      <c r="J2046" s="2" t="s">
        <v>45</v>
      </c>
    </row>
    <row r="2047" spans="1:10" x14ac:dyDescent="0.35">
      <c r="A2047" s="1">
        <v>45582</v>
      </c>
      <c r="B2047" s="2" t="s">
        <v>34</v>
      </c>
      <c r="C2047" s="2" t="s">
        <v>29</v>
      </c>
      <c r="D2047" s="2" t="s">
        <v>30</v>
      </c>
      <c r="E2047" s="2" t="s">
        <v>13</v>
      </c>
      <c r="F2047">
        <v>90</v>
      </c>
      <c r="G2047">
        <v>245</v>
      </c>
      <c r="H2047">
        <v>22050</v>
      </c>
      <c r="I2047">
        <v>3291.6426000000001</v>
      </c>
      <c r="J2047" s="2" t="s">
        <v>45</v>
      </c>
    </row>
    <row r="2048" spans="1:10" x14ac:dyDescent="0.35">
      <c r="A2048" s="1">
        <v>45582</v>
      </c>
      <c r="B2048" s="2" t="s">
        <v>34</v>
      </c>
      <c r="C2048" s="2" t="s">
        <v>27</v>
      </c>
      <c r="D2048" s="2" t="s">
        <v>12</v>
      </c>
      <c r="E2048" s="2" t="s">
        <v>33</v>
      </c>
      <c r="F2048">
        <v>177</v>
      </c>
      <c r="G2048">
        <v>447</v>
      </c>
      <c r="H2048">
        <v>79119</v>
      </c>
      <c r="I2048">
        <v>10412.215</v>
      </c>
      <c r="J2048" s="2" t="s">
        <v>45</v>
      </c>
    </row>
    <row r="2049" spans="1:10" x14ac:dyDescent="0.35">
      <c r="A2049" s="1">
        <v>45583</v>
      </c>
      <c r="B2049" s="2" t="s">
        <v>34</v>
      </c>
      <c r="C2049" s="2" t="s">
        <v>27</v>
      </c>
      <c r="D2049" s="2" t="s">
        <v>17</v>
      </c>
      <c r="E2049" s="2" t="s">
        <v>35</v>
      </c>
      <c r="F2049">
        <v>603</v>
      </c>
      <c r="G2049">
        <v>220</v>
      </c>
      <c r="H2049">
        <v>132660</v>
      </c>
      <c r="I2049">
        <v>33010.992899999997</v>
      </c>
      <c r="J2049" s="2" t="s">
        <v>45</v>
      </c>
    </row>
    <row r="2050" spans="1:10" x14ac:dyDescent="0.35">
      <c r="A2050" s="1">
        <v>45583</v>
      </c>
      <c r="B2050" s="2" t="s">
        <v>15</v>
      </c>
      <c r="C2050" s="2" t="s">
        <v>27</v>
      </c>
      <c r="D2050" s="2" t="s">
        <v>21</v>
      </c>
      <c r="E2050" s="2" t="s">
        <v>35</v>
      </c>
      <c r="F2050">
        <v>678</v>
      </c>
      <c r="G2050">
        <v>310</v>
      </c>
      <c r="H2050">
        <v>210180</v>
      </c>
      <c r="I2050">
        <v>26239.5753</v>
      </c>
      <c r="J2050" s="2" t="s">
        <v>45</v>
      </c>
    </row>
    <row r="2051" spans="1:10" x14ac:dyDescent="0.35">
      <c r="A2051" s="1">
        <v>45583</v>
      </c>
      <c r="B2051" s="2" t="s">
        <v>10</v>
      </c>
      <c r="C2051" s="2" t="s">
        <v>29</v>
      </c>
      <c r="D2051" s="2" t="s">
        <v>30</v>
      </c>
      <c r="E2051" s="2" t="s">
        <v>32</v>
      </c>
      <c r="F2051">
        <v>370</v>
      </c>
      <c r="G2051">
        <v>442</v>
      </c>
      <c r="H2051">
        <v>163540</v>
      </c>
      <c r="I2051">
        <v>19008.795099999999</v>
      </c>
      <c r="J2051" s="2" t="s">
        <v>45</v>
      </c>
    </row>
    <row r="2052" spans="1:10" x14ac:dyDescent="0.35">
      <c r="A2052" s="1">
        <v>45583</v>
      </c>
      <c r="B2052" s="2" t="s">
        <v>10</v>
      </c>
      <c r="C2052" s="2" t="s">
        <v>29</v>
      </c>
      <c r="D2052" s="2" t="s">
        <v>21</v>
      </c>
      <c r="E2052" s="2" t="s">
        <v>18</v>
      </c>
      <c r="F2052">
        <v>533</v>
      </c>
      <c r="G2052">
        <v>388</v>
      </c>
      <c r="H2052">
        <v>206804</v>
      </c>
      <c r="I2052">
        <v>48207.385600000001</v>
      </c>
      <c r="J2052" s="2" t="s">
        <v>45</v>
      </c>
    </row>
    <row r="2053" spans="1:10" x14ac:dyDescent="0.35">
      <c r="A2053" s="1">
        <v>45584</v>
      </c>
      <c r="B2053" s="2" t="s">
        <v>10</v>
      </c>
      <c r="C2053" s="2" t="s">
        <v>16</v>
      </c>
      <c r="D2053" s="2" t="s">
        <v>30</v>
      </c>
      <c r="E2053" s="2" t="s">
        <v>22</v>
      </c>
      <c r="F2053">
        <v>913</v>
      </c>
      <c r="G2053">
        <v>188</v>
      </c>
      <c r="H2053">
        <v>171644</v>
      </c>
      <c r="I2053">
        <v>41724.244500000001</v>
      </c>
      <c r="J2053" s="2" t="s">
        <v>45</v>
      </c>
    </row>
    <row r="2054" spans="1:10" x14ac:dyDescent="0.35">
      <c r="A2054" s="1">
        <v>45584</v>
      </c>
      <c r="B2054" s="2" t="s">
        <v>26</v>
      </c>
      <c r="C2054" s="2" t="s">
        <v>23</v>
      </c>
      <c r="D2054" s="2" t="s">
        <v>17</v>
      </c>
      <c r="E2054" s="2" t="s">
        <v>32</v>
      </c>
      <c r="F2054">
        <v>787</v>
      </c>
      <c r="G2054">
        <v>251</v>
      </c>
      <c r="H2054">
        <v>197537</v>
      </c>
      <c r="I2054">
        <v>31539.690500000001</v>
      </c>
      <c r="J2054" s="2" t="s">
        <v>45</v>
      </c>
    </row>
    <row r="2055" spans="1:10" x14ac:dyDescent="0.35">
      <c r="A2055" s="1">
        <v>45585</v>
      </c>
      <c r="B2055" s="2" t="s">
        <v>36</v>
      </c>
      <c r="C2055" s="2" t="s">
        <v>11</v>
      </c>
      <c r="D2055" s="2" t="s">
        <v>30</v>
      </c>
      <c r="E2055" s="2" t="s">
        <v>24</v>
      </c>
      <c r="F2055">
        <v>614</v>
      </c>
      <c r="G2055">
        <v>196</v>
      </c>
      <c r="H2055">
        <v>120344</v>
      </c>
      <c r="I2055">
        <v>18745.719000000001</v>
      </c>
      <c r="J2055" s="2" t="s">
        <v>45</v>
      </c>
    </row>
    <row r="2056" spans="1:10" x14ac:dyDescent="0.35">
      <c r="A2056" s="1">
        <v>45585</v>
      </c>
      <c r="B2056" s="2" t="s">
        <v>25</v>
      </c>
      <c r="C2056" s="2" t="s">
        <v>29</v>
      </c>
      <c r="D2056" s="2" t="s">
        <v>17</v>
      </c>
      <c r="E2056" s="2" t="s">
        <v>22</v>
      </c>
      <c r="F2056">
        <v>892</v>
      </c>
      <c r="G2056">
        <v>318</v>
      </c>
      <c r="H2056">
        <v>283656</v>
      </c>
      <c r="I2056">
        <v>42749.383999999998</v>
      </c>
      <c r="J2056" s="2" t="s">
        <v>45</v>
      </c>
    </row>
    <row r="2057" spans="1:10" x14ac:dyDescent="0.35">
      <c r="A2057" s="1">
        <v>45585</v>
      </c>
      <c r="B2057" s="2" t="s">
        <v>25</v>
      </c>
      <c r="C2057" s="2" t="s">
        <v>27</v>
      </c>
      <c r="D2057" s="2" t="s">
        <v>17</v>
      </c>
      <c r="E2057" s="2" t="s">
        <v>33</v>
      </c>
      <c r="F2057">
        <v>277</v>
      </c>
      <c r="G2057">
        <v>281</v>
      </c>
      <c r="H2057">
        <v>77837</v>
      </c>
      <c r="I2057">
        <v>18528.560399999998</v>
      </c>
      <c r="J2057" s="2" t="s">
        <v>45</v>
      </c>
    </row>
    <row r="2058" spans="1:10" x14ac:dyDescent="0.35">
      <c r="A2058" s="1">
        <v>45585</v>
      </c>
      <c r="B2058" s="2" t="s">
        <v>26</v>
      </c>
      <c r="C2058" s="2" t="s">
        <v>20</v>
      </c>
      <c r="D2058" s="2" t="s">
        <v>30</v>
      </c>
      <c r="E2058" s="2" t="s">
        <v>22</v>
      </c>
      <c r="F2058">
        <v>775</v>
      </c>
      <c r="G2058">
        <v>368</v>
      </c>
      <c r="H2058">
        <v>285200</v>
      </c>
      <c r="I2058">
        <v>58244.951000000001</v>
      </c>
      <c r="J2058" s="2" t="s">
        <v>45</v>
      </c>
    </row>
    <row r="2059" spans="1:10" x14ac:dyDescent="0.35">
      <c r="A2059" s="1">
        <v>45586</v>
      </c>
      <c r="B2059" s="2" t="s">
        <v>10</v>
      </c>
      <c r="C2059" s="2" t="s">
        <v>27</v>
      </c>
      <c r="D2059" s="2" t="s">
        <v>17</v>
      </c>
      <c r="E2059" s="2" t="s">
        <v>13</v>
      </c>
      <c r="F2059">
        <v>623</v>
      </c>
      <c r="G2059">
        <v>260</v>
      </c>
      <c r="H2059">
        <v>161980</v>
      </c>
      <c r="I2059">
        <v>40446.643400000001</v>
      </c>
      <c r="J2059" s="2" t="s">
        <v>45</v>
      </c>
    </row>
    <row r="2060" spans="1:10" x14ac:dyDescent="0.35">
      <c r="A2060" s="1">
        <v>45586</v>
      </c>
      <c r="B2060" s="2" t="s">
        <v>10</v>
      </c>
      <c r="C2060" s="2" t="s">
        <v>20</v>
      </c>
      <c r="D2060" s="2" t="s">
        <v>21</v>
      </c>
      <c r="E2060" s="2" t="s">
        <v>22</v>
      </c>
      <c r="F2060">
        <v>800</v>
      </c>
      <c r="G2060">
        <v>202</v>
      </c>
      <c r="H2060">
        <v>161600</v>
      </c>
      <c r="I2060">
        <v>30270.311399999999</v>
      </c>
      <c r="J2060" s="2" t="s">
        <v>45</v>
      </c>
    </row>
    <row r="2061" spans="1:10" x14ac:dyDescent="0.35">
      <c r="A2061" s="1">
        <v>45586</v>
      </c>
      <c r="B2061" s="2" t="s">
        <v>10</v>
      </c>
      <c r="C2061" s="2" t="s">
        <v>23</v>
      </c>
      <c r="D2061" s="2" t="s">
        <v>30</v>
      </c>
      <c r="E2061" s="2" t="s">
        <v>24</v>
      </c>
      <c r="F2061">
        <v>231</v>
      </c>
      <c r="G2061">
        <v>213</v>
      </c>
      <c r="H2061">
        <v>49203</v>
      </c>
      <c r="I2061">
        <v>10647.946099999999</v>
      </c>
      <c r="J2061" s="2" t="s">
        <v>45</v>
      </c>
    </row>
    <row r="2062" spans="1:10" x14ac:dyDescent="0.35">
      <c r="A2062" s="1">
        <v>45587</v>
      </c>
      <c r="B2062" s="2" t="s">
        <v>19</v>
      </c>
      <c r="C2062" s="2" t="s">
        <v>27</v>
      </c>
      <c r="D2062" s="2" t="s">
        <v>30</v>
      </c>
      <c r="E2062" s="2" t="s">
        <v>33</v>
      </c>
      <c r="F2062">
        <v>492</v>
      </c>
      <c r="G2062">
        <v>243</v>
      </c>
      <c r="H2062">
        <v>119556</v>
      </c>
      <c r="I2062">
        <v>11962.5134</v>
      </c>
      <c r="J2062" s="2" t="s">
        <v>45</v>
      </c>
    </row>
    <row r="2063" spans="1:10" x14ac:dyDescent="0.35">
      <c r="A2063" s="1">
        <v>45587</v>
      </c>
      <c r="B2063" s="2" t="s">
        <v>19</v>
      </c>
      <c r="C2063" s="2" t="s">
        <v>23</v>
      </c>
      <c r="D2063" s="2" t="s">
        <v>17</v>
      </c>
      <c r="E2063" s="2" t="s">
        <v>24</v>
      </c>
      <c r="F2063">
        <v>81</v>
      </c>
      <c r="G2063">
        <v>452</v>
      </c>
      <c r="H2063">
        <v>36612</v>
      </c>
      <c r="I2063">
        <v>4279.1607999999997</v>
      </c>
      <c r="J2063" s="2" t="s">
        <v>45</v>
      </c>
    </row>
    <row r="2064" spans="1:10" x14ac:dyDescent="0.35">
      <c r="A2064" s="1">
        <v>45587</v>
      </c>
      <c r="B2064" s="2" t="s">
        <v>31</v>
      </c>
      <c r="C2064" s="2" t="s">
        <v>20</v>
      </c>
      <c r="D2064" s="2" t="s">
        <v>30</v>
      </c>
      <c r="E2064" s="2" t="s">
        <v>35</v>
      </c>
      <c r="F2064">
        <v>523</v>
      </c>
      <c r="G2064">
        <v>429</v>
      </c>
      <c r="H2064">
        <v>224367</v>
      </c>
      <c r="I2064">
        <v>33594.007299999997</v>
      </c>
      <c r="J2064" s="2" t="s">
        <v>45</v>
      </c>
    </row>
    <row r="2065" spans="1:10" x14ac:dyDescent="0.35">
      <c r="A2065" s="1">
        <v>45587</v>
      </c>
      <c r="B2065" s="2" t="s">
        <v>15</v>
      </c>
      <c r="C2065" s="2" t="s">
        <v>11</v>
      </c>
      <c r="D2065" s="2" t="s">
        <v>21</v>
      </c>
      <c r="E2065" s="2" t="s">
        <v>33</v>
      </c>
      <c r="F2065">
        <v>307</v>
      </c>
      <c r="G2065">
        <v>349</v>
      </c>
      <c r="H2065">
        <v>107143</v>
      </c>
      <c r="I2065">
        <v>24902.005099999998</v>
      </c>
      <c r="J2065" s="2" t="s">
        <v>45</v>
      </c>
    </row>
    <row r="2066" spans="1:10" x14ac:dyDescent="0.35">
      <c r="A2066" s="1">
        <v>45587</v>
      </c>
      <c r="B2066" s="2" t="s">
        <v>31</v>
      </c>
      <c r="C2066" s="2" t="s">
        <v>29</v>
      </c>
      <c r="D2066" s="2" t="s">
        <v>21</v>
      </c>
      <c r="E2066" s="2" t="s">
        <v>22</v>
      </c>
      <c r="F2066">
        <v>941</v>
      </c>
      <c r="G2066">
        <v>460</v>
      </c>
      <c r="H2066">
        <v>432860</v>
      </c>
      <c r="I2066">
        <v>101710.55809999999</v>
      </c>
      <c r="J2066" s="2" t="s">
        <v>45</v>
      </c>
    </row>
    <row r="2067" spans="1:10" x14ac:dyDescent="0.35">
      <c r="A2067" s="1">
        <v>45587</v>
      </c>
      <c r="B2067" s="2" t="s">
        <v>34</v>
      </c>
      <c r="C2067" s="2" t="s">
        <v>20</v>
      </c>
      <c r="D2067" s="2" t="s">
        <v>17</v>
      </c>
      <c r="E2067" s="2" t="s">
        <v>32</v>
      </c>
      <c r="F2067">
        <v>965</v>
      </c>
      <c r="G2067">
        <v>315</v>
      </c>
      <c r="H2067">
        <v>303975</v>
      </c>
      <c r="I2067">
        <v>56616.508900000001</v>
      </c>
      <c r="J2067" s="2" t="s">
        <v>45</v>
      </c>
    </row>
    <row r="2068" spans="1:10" x14ac:dyDescent="0.35">
      <c r="A2068" s="1">
        <v>45587</v>
      </c>
      <c r="B2068" s="2" t="s">
        <v>34</v>
      </c>
      <c r="C2068" s="2" t="s">
        <v>11</v>
      </c>
      <c r="D2068" s="2" t="s">
        <v>30</v>
      </c>
      <c r="E2068" s="2" t="s">
        <v>32</v>
      </c>
      <c r="F2068">
        <v>124</v>
      </c>
      <c r="G2068">
        <v>401</v>
      </c>
      <c r="H2068">
        <v>49724</v>
      </c>
      <c r="I2068">
        <v>4352.4732999999997</v>
      </c>
      <c r="J2068" s="2" t="s">
        <v>45</v>
      </c>
    </row>
    <row r="2069" spans="1:10" x14ac:dyDescent="0.35">
      <c r="A2069" s="1">
        <v>45587</v>
      </c>
      <c r="B2069" s="2" t="s">
        <v>34</v>
      </c>
      <c r="C2069" s="2" t="s">
        <v>29</v>
      </c>
      <c r="D2069" s="2" t="s">
        <v>17</v>
      </c>
      <c r="E2069" s="2" t="s">
        <v>35</v>
      </c>
      <c r="F2069">
        <v>953</v>
      </c>
      <c r="G2069">
        <v>473</v>
      </c>
      <c r="H2069">
        <v>450769</v>
      </c>
      <c r="I2069">
        <v>88186.731400000004</v>
      </c>
      <c r="J2069" s="2" t="s">
        <v>45</v>
      </c>
    </row>
    <row r="2070" spans="1:10" x14ac:dyDescent="0.35">
      <c r="A2070" s="1">
        <v>45588</v>
      </c>
      <c r="B2070" s="2" t="s">
        <v>34</v>
      </c>
      <c r="C2070" s="2" t="s">
        <v>16</v>
      </c>
      <c r="D2070" s="2" t="s">
        <v>17</v>
      </c>
      <c r="E2070" s="2" t="s">
        <v>35</v>
      </c>
      <c r="F2070">
        <v>67</v>
      </c>
      <c r="G2070">
        <v>107</v>
      </c>
      <c r="H2070">
        <v>7169</v>
      </c>
      <c r="I2070">
        <v>1204.9853000000001</v>
      </c>
      <c r="J2070" s="2" t="s">
        <v>45</v>
      </c>
    </row>
    <row r="2071" spans="1:10" x14ac:dyDescent="0.35">
      <c r="A2071" s="1">
        <v>45588</v>
      </c>
      <c r="B2071" s="2" t="s">
        <v>19</v>
      </c>
      <c r="C2071" s="2" t="s">
        <v>23</v>
      </c>
      <c r="D2071" s="2" t="s">
        <v>12</v>
      </c>
      <c r="E2071" s="2" t="s">
        <v>32</v>
      </c>
      <c r="F2071">
        <v>279</v>
      </c>
      <c r="G2071">
        <v>286</v>
      </c>
      <c r="H2071">
        <v>79794</v>
      </c>
      <c r="I2071">
        <v>19874.488000000001</v>
      </c>
      <c r="J2071" s="2" t="s">
        <v>45</v>
      </c>
    </row>
    <row r="2072" spans="1:10" x14ac:dyDescent="0.35">
      <c r="A2072" s="1">
        <v>45588</v>
      </c>
      <c r="B2072" s="2" t="s">
        <v>26</v>
      </c>
      <c r="C2072" s="2" t="s">
        <v>27</v>
      </c>
      <c r="D2072" s="2" t="s">
        <v>30</v>
      </c>
      <c r="E2072" s="2" t="s">
        <v>32</v>
      </c>
      <c r="F2072">
        <v>976</v>
      </c>
      <c r="G2072">
        <v>141</v>
      </c>
      <c r="H2072">
        <v>137616</v>
      </c>
      <c r="I2072">
        <v>28292.734899999999</v>
      </c>
      <c r="J2072" s="2" t="s">
        <v>45</v>
      </c>
    </row>
    <row r="2073" spans="1:10" x14ac:dyDescent="0.35">
      <c r="A2073" s="1">
        <v>45588</v>
      </c>
      <c r="B2073" s="2" t="s">
        <v>36</v>
      </c>
      <c r="C2073" s="2" t="s">
        <v>23</v>
      </c>
      <c r="D2073" s="2" t="s">
        <v>30</v>
      </c>
      <c r="E2073" s="2" t="s">
        <v>24</v>
      </c>
      <c r="F2073">
        <v>612</v>
      </c>
      <c r="G2073">
        <v>255</v>
      </c>
      <c r="H2073">
        <v>156060</v>
      </c>
      <c r="I2073">
        <v>16824.232</v>
      </c>
      <c r="J2073" s="2" t="s">
        <v>45</v>
      </c>
    </row>
    <row r="2074" spans="1:10" x14ac:dyDescent="0.35">
      <c r="A2074" s="1">
        <v>45588</v>
      </c>
      <c r="B2074" s="2" t="s">
        <v>31</v>
      </c>
      <c r="C2074" s="2" t="s">
        <v>29</v>
      </c>
      <c r="D2074" s="2" t="s">
        <v>17</v>
      </c>
      <c r="E2074" s="2" t="s">
        <v>24</v>
      </c>
      <c r="F2074">
        <v>399</v>
      </c>
      <c r="G2074">
        <v>147</v>
      </c>
      <c r="H2074">
        <v>58653</v>
      </c>
      <c r="I2074">
        <v>11592.9277</v>
      </c>
      <c r="J2074" s="2" t="s">
        <v>45</v>
      </c>
    </row>
    <row r="2075" spans="1:10" x14ac:dyDescent="0.35">
      <c r="A2075" s="1">
        <v>45588</v>
      </c>
      <c r="B2075" s="2" t="s">
        <v>34</v>
      </c>
      <c r="C2075" s="2" t="s">
        <v>11</v>
      </c>
      <c r="D2075" s="2" t="s">
        <v>12</v>
      </c>
      <c r="E2075" s="2" t="s">
        <v>33</v>
      </c>
      <c r="F2075">
        <v>810</v>
      </c>
      <c r="G2075">
        <v>154</v>
      </c>
      <c r="H2075">
        <v>124740</v>
      </c>
      <c r="I2075">
        <v>30122.644400000001</v>
      </c>
      <c r="J2075" s="2" t="s">
        <v>45</v>
      </c>
    </row>
    <row r="2076" spans="1:10" x14ac:dyDescent="0.35">
      <c r="A2076" s="1">
        <v>45588</v>
      </c>
      <c r="B2076" s="2" t="s">
        <v>31</v>
      </c>
      <c r="C2076" s="2" t="s">
        <v>20</v>
      </c>
      <c r="D2076" s="2" t="s">
        <v>17</v>
      </c>
      <c r="E2076" s="2" t="s">
        <v>35</v>
      </c>
      <c r="F2076">
        <v>751</v>
      </c>
      <c r="G2076">
        <v>275</v>
      </c>
      <c r="H2076">
        <v>206525</v>
      </c>
      <c r="I2076">
        <v>39358.399599999997</v>
      </c>
      <c r="J2076" s="2" t="s">
        <v>45</v>
      </c>
    </row>
    <row r="2077" spans="1:10" x14ac:dyDescent="0.35">
      <c r="A2077" s="1">
        <v>45588</v>
      </c>
      <c r="B2077" s="2" t="s">
        <v>15</v>
      </c>
      <c r="C2077" s="2" t="s">
        <v>27</v>
      </c>
      <c r="D2077" s="2" t="s">
        <v>21</v>
      </c>
      <c r="E2077" s="2" t="s">
        <v>33</v>
      </c>
      <c r="F2077">
        <v>678</v>
      </c>
      <c r="G2077">
        <v>342</v>
      </c>
      <c r="H2077">
        <v>231876</v>
      </c>
      <c r="I2077">
        <v>19826.012699999999</v>
      </c>
      <c r="J2077" s="2" t="s">
        <v>45</v>
      </c>
    </row>
    <row r="2078" spans="1:10" x14ac:dyDescent="0.35">
      <c r="A2078" s="1">
        <v>45588</v>
      </c>
      <c r="B2078" s="2" t="s">
        <v>36</v>
      </c>
      <c r="C2078" s="2" t="s">
        <v>29</v>
      </c>
      <c r="D2078" s="2" t="s">
        <v>12</v>
      </c>
      <c r="E2078" s="2" t="s">
        <v>13</v>
      </c>
      <c r="F2078">
        <v>631</v>
      </c>
      <c r="G2078">
        <v>244</v>
      </c>
      <c r="H2078">
        <v>153964</v>
      </c>
      <c r="I2078">
        <v>16551.953699999998</v>
      </c>
      <c r="J2078" s="2" t="s">
        <v>45</v>
      </c>
    </row>
    <row r="2079" spans="1:10" x14ac:dyDescent="0.35">
      <c r="A2079" s="1">
        <v>45588</v>
      </c>
      <c r="B2079" s="2" t="s">
        <v>19</v>
      </c>
      <c r="C2079" s="2" t="s">
        <v>20</v>
      </c>
      <c r="D2079" s="2" t="s">
        <v>30</v>
      </c>
      <c r="E2079" s="2" t="s">
        <v>28</v>
      </c>
      <c r="F2079">
        <v>288</v>
      </c>
      <c r="G2079">
        <v>285</v>
      </c>
      <c r="H2079">
        <v>82080</v>
      </c>
      <c r="I2079">
        <v>15237.576999999999</v>
      </c>
      <c r="J2079" s="2" t="s">
        <v>45</v>
      </c>
    </row>
    <row r="2080" spans="1:10" x14ac:dyDescent="0.35">
      <c r="A2080" s="1">
        <v>45589</v>
      </c>
      <c r="B2080" s="2" t="s">
        <v>15</v>
      </c>
      <c r="C2080" s="2" t="s">
        <v>20</v>
      </c>
      <c r="D2080" s="2" t="s">
        <v>21</v>
      </c>
      <c r="E2080" s="2" t="s">
        <v>33</v>
      </c>
      <c r="F2080">
        <v>741</v>
      </c>
      <c r="G2080">
        <v>355</v>
      </c>
      <c r="H2080">
        <v>263055</v>
      </c>
      <c r="I2080">
        <v>39230.873500000002</v>
      </c>
      <c r="J2080" s="2" t="s">
        <v>45</v>
      </c>
    </row>
    <row r="2081" spans="1:10" x14ac:dyDescent="0.35">
      <c r="A2081" s="1">
        <v>45589</v>
      </c>
      <c r="B2081" s="2" t="s">
        <v>19</v>
      </c>
      <c r="C2081" s="2" t="s">
        <v>11</v>
      </c>
      <c r="D2081" s="2" t="s">
        <v>12</v>
      </c>
      <c r="E2081" s="2" t="s">
        <v>32</v>
      </c>
      <c r="F2081">
        <v>748</v>
      </c>
      <c r="G2081">
        <v>201</v>
      </c>
      <c r="H2081">
        <v>150348</v>
      </c>
      <c r="I2081">
        <v>17374.6672</v>
      </c>
      <c r="J2081" s="2" t="s">
        <v>45</v>
      </c>
    </row>
    <row r="2082" spans="1:10" x14ac:dyDescent="0.35">
      <c r="A2082" s="1">
        <v>45589</v>
      </c>
      <c r="B2082" s="2" t="s">
        <v>10</v>
      </c>
      <c r="C2082" s="2" t="s">
        <v>23</v>
      </c>
      <c r="D2082" s="2" t="s">
        <v>12</v>
      </c>
      <c r="E2082" s="2" t="s">
        <v>22</v>
      </c>
      <c r="F2082">
        <v>356</v>
      </c>
      <c r="G2082">
        <v>458</v>
      </c>
      <c r="H2082">
        <v>163048</v>
      </c>
      <c r="I2082">
        <v>22917.921999999999</v>
      </c>
      <c r="J2082" s="2" t="s">
        <v>45</v>
      </c>
    </row>
    <row r="2083" spans="1:10" x14ac:dyDescent="0.35">
      <c r="A2083" s="1">
        <v>45590</v>
      </c>
      <c r="B2083" s="2" t="s">
        <v>19</v>
      </c>
      <c r="C2083" s="2" t="s">
        <v>27</v>
      </c>
      <c r="D2083" s="2" t="s">
        <v>30</v>
      </c>
      <c r="E2083" s="2" t="s">
        <v>18</v>
      </c>
      <c r="F2083">
        <v>409</v>
      </c>
      <c r="G2083">
        <v>310</v>
      </c>
      <c r="H2083">
        <v>126790</v>
      </c>
      <c r="I2083">
        <v>16702.395</v>
      </c>
      <c r="J2083" s="2" t="s">
        <v>45</v>
      </c>
    </row>
    <row r="2084" spans="1:10" x14ac:dyDescent="0.35">
      <c r="A2084" s="1">
        <v>45590</v>
      </c>
      <c r="B2084" s="2" t="s">
        <v>15</v>
      </c>
      <c r="C2084" s="2" t="s">
        <v>20</v>
      </c>
      <c r="D2084" s="2" t="s">
        <v>12</v>
      </c>
      <c r="E2084" s="2" t="s">
        <v>33</v>
      </c>
      <c r="F2084">
        <v>286</v>
      </c>
      <c r="G2084">
        <v>356</v>
      </c>
      <c r="H2084">
        <v>101816</v>
      </c>
      <c r="I2084">
        <v>24974.437399999999</v>
      </c>
      <c r="J2084" s="2" t="s">
        <v>45</v>
      </c>
    </row>
    <row r="2085" spans="1:10" x14ac:dyDescent="0.35">
      <c r="A2085" s="1">
        <v>45590</v>
      </c>
      <c r="B2085" s="2" t="s">
        <v>31</v>
      </c>
      <c r="C2085" s="2" t="s">
        <v>29</v>
      </c>
      <c r="D2085" s="2" t="s">
        <v>21</v>
      </c>
      <c r="E2085" s="2" t="s">
        <v>18</v>
      </c>
      <c r="F2085">
        <v>204</v>
      </c>
      <c r="G2085">
        <v>142</v>
      </c>
      <c r="H2085">
        <v>28968</v>
      </c>
      <c r="I2085">
        <v>5697.7115999999996</v>
      </c>
      <c r="J2085" s="2" t="s">
        <v>45</v>
      </c>
    </row>
    <row r="2086" spans="1:10" x14ac:dyDescent="0.35">
      <c r="A2086" s="1">
        <v>45590</v>
      </c>
      <c r="B2086" s="2" t="s">
        <v>34</v>
      </c>
      <c r="C2086" s="2" t="s">
        <v>20</v>
      </c>
      <c r="D2086" s="2" t="s">
        <v>21</v>
      </c>
      <c r="E2086" s="2" t="s">
        <v>35</v>
      </c>
      <c r="F2086">
        <v>960</v>
      </c>
      <c r="G2086">
        <v>358</v>
      </c>
      <c r="H2086">
        <v>343680</v>
      </c>
      <c r="I2086">
        <v>34498.698799999998</v>
      </c>
      <c r="J2086" s="2" t="s">
        <v>45</v>
      </c>
    </row>
    <row r="2087" spans="1:10" x14ac:dyDescent="0.35">
      <c r="A2087" s="1">
        <v>45590</v>
      </c>
      <c r="B2087" s="2" t="s">
        <v>15</v>
      </c>
      <c r="C2087" s="2" t="s">
        <v>11</v>
      </c>
      <c r="D2087" s="2" t="s">
        <v>17</v>
      </c>
      <c r="E2087" s="2" t="s">
        <v>24</v>
      </c>
      <c r="F2087">
        <v>740</v>
      </c>
      <c r="G2087">
        <v>485</v>
      </c>
      <c r="H2087">
        <v>358900</v>
      </c>
      <c r="I2087">
        <v>54129.862099999998</v>
      </c>
      <c r="J2087" s="2" t="s">
        <v>45</v>
      </c>
    </row>
    <row r="2088" spans="1:10" x14ac:dyDescent="0.35">
      <c r="A2088" s="1">
        <v>45590</v>
      </c>
      <c r="B2088" s="2" t="s">
        <v>25</v>
      </c>
      <c r="C2088" s="2" t="s">
        <v>11</v>
      </c>
      <c r="D2088" s="2" t="s">
        <v>21</v>
      </c>
      <c r="E2088" s="2" t="s">
        <v>18</v>
      </c>
      <c r="F2088">
        <v>207</v>
      </c>
      <c r="G2088">
        <v>177</v>
      </c>
      <c r="H2088">
        <v>36639</v>
      </c>
      <c r="I2088">
        <v>7880.8850000000002</v>
      </c>
      <c r="J2088" s="2" t="s">
        <v>45</v>
      </c>
    </row>
    <row r="2089" spans="1:10" x14ac:dyDescent="0.35">
      <c r="A2089" s="1">
        <v>45591</v>
      </c>
      <c r="B2089" s="2" t="s">
        <v>10</v>
      </c>
      <c r="C2089" s="2" t="s">
        <v>11</v>
      </c>
      <c r="D2089" s="2" t="s">
        <v>30</v>
      </c>
      <c r="E2089" s="2" t="s">
        <v>35</v>
      </c>
      <c r="F2089">
        <v>921</v>
      </c>
      <c r="G2089">
        <v>471</v>
      </c>
      <c r="H2089">
        <v>433791</v>
      </c>
      <c r="I2089">
        <v>55731.979399999997</v>
      </c>
      <c r="J2089" s="2" t="s">
        <v>45</v>
      </c>
    </row>
    <row r="2090" spans="1:10" x14ac:dyDescent="0.35">
      <c r="A2090" s="1">
        <v>45591</v>
      </c>
      <c r="B2090" s="2" t="s">
        <v>26</v>
      </c>
      <c r="C2090" s="2" t="s">
        <v>29</v>
      </c>
      <c r="D2090" s="2" t="s">
        <v>30</v>
      </c>
      <c r="E2090" s="2" t="s">
        <v>32</v>
      </c>
      <c r="F2090">
        <v>211</v>
      </c>
      <c r="G2090">
        <v>461</v>
      </c>
      <c r="H2090">
        <v>97271</v>
      </c>
      <c r="I2090">
        <v>23520.837100000001</v>
      </c>
      <c r="J2090" s="2" t="s">
        <v>45</v>
      </c>
    </row>
    <row r="2091" spans="1:10" x14ac:dyDescent="0.35">
      <c r="A2091" s="1">
        <v>45591</v>
      </c>
      <c r="B2091" s="2" t="s">
        <v>10</v>
      </c>
      <c r="C2091" s="2" t="s">
        <v>11</v>
      </c>
      <c r="D2091" s="2" t="s">
        <v>17</v>
      </c>
      <c r="E2091" s="2" t="s">
        <v>18</v>
      </c>
      <c r="F2091">
        <v>868</v>
      </c>
      <c r="G2091">
        <v>191</v>
      </c>
      <c r="H2091">
        <v>165788</v>
      </c>
      <c r="I2091">
        <v>28471.238300000001</v>
      </c>
      <c r="J2091" s="2" t="s">
        <v>45</v>
      </c>
    </row>
    <row r="2092" spans="1:10" x14ac:dyDescent="0.35">
      <c r="A2092" s="1">
        <v>45592</v>
      </c>
      <c r="B2092" s="2" t="s">
        <v>10</v>
      </c>
      <c r="C2092" s="2" t="s">
        <v>23</v>
      </c>
      <c r="D2092" s="2" t="s">
        <v>30</v>
      </c>
      <c r="E2092" s="2" t="s">
        <v>32</v>
      </c>
      <c r="F2092">
        <v>971</v>
      </c>
      <c r="G2092">
        <v>457</v>
      </c>
      <c r="H2092">
        <v>443747</v>
      </c>
      <c r="I2092">
        <v>97565.093200000003</v>
      </c>
      <c r="J2092" s="2" t="s">
        <v>45</v>
      </c>
    </row>
    <row r="2093" spans="1:10" x14ac:dyDescent="0.35">
      <c r="A2093" s="1">
        <v>45592</v>
      </c>
      <c r="B2093" s="2" t="s">
        <v>26</v>
      </c>
      <c r="C2093" s="2" t="s">
        <v>27</v>
      </c>
      <c r="D2093" s="2" t="s">
        <v>12</v>
      </c>
      <c r="E2093" s="2" t="s">
        <v>13</v>
      </c>
      <c r="F2093">
        <v>905</v>
      </c>
      <c r="G2093">
        <v>458</v>
      </c>
      <c r="H2093">
        <v>414490</v>
      </c>
      <c r="I2093">
        <v>93563.153300000005</v>
      </c>
      <c r="J2093" s="2" t="s">
        <v>45</v>
      </c>
    </row>
    <row r="2094" spans="1:10" x14ac:dyDescent="0.35">
      <c r="A2094" s="1">
        <v>45592</v>
      </c>
      <c r="B2094" s="2" t="s">
        <v>26</v>
      </c>
      <c r="C2094" s="2" t="s">
        <v>16</v>
      </c>
      <c r="D2094" s="2" t="s">
        <v>21</v>
      </c>
      <c r="E2094" s="2" t="s">
        <v>18</v>
      </c>
      <c r="F2094">
        <v>263</v>
      </c>
      <c r="G2094">
        <v>276</v>
      </c>
      <c r="H2094">
        <v>72588</v>
      </c>
      <c r="I2094">
        <v>17353.1934</v>
      </c>
      <c r="J2094" s="2" t="s">
        <v>45</v>
      </c>
    </row>
    <row r="2095" spans="1:10" x14ac:dyDescent="0.35">
      <c r="A2095" s="1">
        <v>45592</v>
      </c>
      <c r="B2095" s="2" t="s">
        <v>10</v>
      </c>
      <c r="C2095" s="2" t="s">
        <v>16</v>
      </c>
      <c r="D2095" s="2" t="s">
        <v>30</v>
      </c>
      <c r="E2095" s="2" t="s">
        <v>22</v>
      </c>
      <c r="F2095">
        <v>152</v>
      </c>
      <c r="G2095">
        <v>396</v>
      </c>
      <c r="H2095">
        <v>60192</v>
      </c>
      <c r="I2095">
        <v>12359.3614</v>
      </c>
      <c r="J2095" s="2" t="s">
        <v>45</v>
      </c>
    </row>
    <row r="2096" spans="1:10" x14ac:dyDescent="0.35">
      <c r="A2096" s="1">
        <v>45593</v>
      </c>
      <c r="B2096" s="2" t="s">
        <v>15</v>
      </c>
      <c r="C2096" s="2" t="s">
        <v>29</v>
      </c>
      <c r="D2096" s="2" t="s">
        <v>21</v>
      </c>
      <c r="E2096" s="2" t="s">
        <v>13</v>
      </c>
      <c r="F2096">
        <v>162</v>
      </c>
      <c r="G2096">
        <v>106</v>
      </c>
      <c r="H2096">
        <v>17172</v>
      </c>
      <c r="I2096">
        <v>3197.7212</v>
      </c>
      <c r="J2096" s="2" t="s">
        <v>45</v>
      </c>
    </row>
    <row r="2097" spans="1:10" x14ac:dyDescent="0.35">
      <c r="A2097" s="1">
        <v>45593</v>
      </c>
      <c r="B2097" s="2" t="s">
        <v>26</v>
      </c>
      <c r="C2097" s="2" t="s">
        <v>23</v>
      </c>
      <c r="D2097" s="2" t="s">
        <v>21</v>
      </c>
      <c r="E2097" s="2" t="s">
        <v>22</v>
      </c>
      <c r="F2097">
        <v>188</v>
      </c>
      <c r="G2097">
        <v>195</v>
      </c>
      <c r="H2097">
        <v>36660</v>
      </c>
      <c r="I2097">
        <v>3310.7829000000002</v>
      </c>
      <c r="J2097" s="2" t="s">
        <v>45</v>
      </c>
    </row>
    <row r="2098" spans="1:10" x14ac:dyDescent="0.35">
      <c r="A2098" s="1">
        <v>45593</v>
      </c>
      <c r="B2098" s="2" t="s">
        <v>34</v>
      </c>
      <c r="C2098" s="2" t="s">
        <v>23</v>
      </c>
      <c r="D2098" s="2" t="s">
        <v>17</v>
      </c>
      <c r="E2098" s="2" t="s">
        <v>32</v>
      </c>
      <c r="F2098">
        <v>104</v>
      </c>
      <c r="G2098">
        <v>349</v>
      </c>
      <c r="H2098">
        <v>36296</v>
      </c>
      <c r="I2098">
        <v>4883.2682999999997</v>
      </c>
      <c r="J2098" s="2" t="s">
        <v>45</v>
      </c>
    </row>
    <row r="2099" spans="1:10" x14ac:dyDescent="0.35">
      <c r="A2099" s="1">
        <v>45594</v>
      </c>
      <c r="B2099" s="2" t="s">
        <v>34</v>
      </c>
      <c r="C2099" s="2" t="s">
        <v>29</v>
      </c>
      <c r="D2099" s="2" t="s">
        <v>21</v>
      </c>
      <c r="E2099" s="2" t="s">
        <v>18</v>
      </c>
      <c r="F2099">
        <v>548</v>
      </c>
      <c r="G2099">
        <v>149</v>
      </c>
      <c r="H2099">
        <v>81652</v>
      </c>
      <c r="I2099">
        <v>15522.937400000001</v>
      </c>
      <c r="J2099" s="2" t="s">
        <v>45</v>
      </c>
    </row>
    <row r="2100" spans="1:10" x14ac:dyDescent="0.35">
      <c r="A2100" s="1">
        <v>45594</v>
      </c>
      <c r="B2100" s="2" t="s">
        <v>36</v>
      </c>
      <c r="C2100" s="2" t="s">
        <v>29</v>
      </c>
      <c r="D2100" s="2" t="s">
        <v>21</v>
      </c>
      <c r="E2100" s="2" t="s">
        <v>32</v>
      </c>
      <c r="F2100">
        <v>914</v>
      </c>
      <c r="G2100">
        <v>343</v>
      </c>
      <c r="H2100">
        <v>313502</v>
      </c>
      <c r="I2100">
        <v>51322.525600000001</v>
      </c>
      <c r="J2100" s="2" t="s">
        <v>45</v>
      </c>
    </row>
    <row r="2101" spans="1:10" x14ac:dyDescent="0.35">
      <c r="A2101" s="1">
        <v>45594</v>
      </c>
      <c r="B2101" s="2" t="s">
        <v>25</v>
      </c>
      <c r="C2101" s="2" t="s">
        <v>29</v>
      </c>
      <c r="D2101" s="2" t="s">
        <v>30</v>
      </c>
      <c r="E2101" s="2" t="s">
        <v>28</v>
      </c>
      <c r="F2101">
        <v>384</v>
      </c>
      <c r="G2101">
        <v>453</v>
      </c>
      <c r="H2101">
        <v>173952</v>
      </c>
      <c r="I2101">
        <v>39346.131000000001</v>
      </c>
      <c r="J2101" s="2" t="s">
        <v>45</v>
      </c>
    </row>
    <row r="2102" spans="1:10" x14ac:dyDescent="0.35">
      <c r="A2102" s="1">
        <v>45595</v>
      </c>
      <c r="B2102" s="2" t="s">
        <v>15</v>
      </c>
      <c r="C2102" s="2" t="s">
        <v>11</v>
      </c>
      <c r="D2102" s="2" t="s">
        <v>21</v>
      </c>
      <c r="E2102" s="2" t="s">
        <v>18</v>
      </c>
      <c r="F2102">
        <v>902</v>
      </c>
      <c r="G2102">
        <v>225</v>
      </c>
      <c r="H2102">
        <v>202950</v>
      </c>
      <c r="I2102">
        <v>36174.6633</v>
      </c>
      <c r="J2102" s="2" t="s">
        <v>45</v>
      </c>
    </row>
    <row r="2103" spans="1:10" x14ac:dyDescent="0.35">
      <c r="A2103" s="1">
        <v>45595</v>
      </c>
      <c r="B2103" s="2" t="s">
        <v>31</v>
      </c>
      <c r="C2103" s="2" t="s">
        <v>23</v>
      </c>
      <c r="D2103" s="2" t="s">
        <v>17</v>
      </c>
      <c r="E2103" s="2" t="s">
        <v>18</v>
      </c>
      <c r="F2103">
        <v>557</v>
      </c>
      <c r="G2103">
        <v>115</v>
      </c>
      <c r="H2103">
        <v>64055</v>
      </c>
      <c r="I2103">
        <v>5337.8684999999996</v>
      </c>
      <c r="J2103" s="2" t="s">
        <v>45</v>
      </c>
    </row>
    <row r="2104" spans="1:10" x14ac:dyDescent="0.35">
      <c r="A2104" s="1">
        <v>45596</v>
      </c>
      <c r="B2104" s="2" t="s">
        <v>31</v>
      </c>
      <c r="C2104" s="2" t="s">
        <v>16</v>
      </c>
      <c r="D2104" s="2" t="s">
        <v>12</v>
      </c>
      <c r="E2104" s="2" t="s">
        <v>18</v>
      </c>
      <c r="F2104">
        <v>245</v>
      </c>
      <c r="G2104">
        <v>440</v>
      </c>
      <c r="H2104">
        <v>107800</v>
      </c>
      <c r="I2104">
        <v>19578.2582</v>
      </c>
      <c r="J2104" s="2" t="s">
        <v>45</v>
      </c>
    </row>
    <row r="2105" spans="1:10" x14ac:dyDescent="0.35">
      <c r="A2105" s="1">
        <v>45596</v>
      </c>
      <c r="B2105" s="2" t="s">
        <v>19</v>
      </c>
      <c r="C2105" s="2" t="s">
        <v>11</v>
      </c>
      <c r="D2105" s="2" t="s">
        <v>30</v>
      </c>
      <c r="E2105" s="2" t="s">
        <v>28</v>
      </c>
      <c r="F2105">
        <v>868</v>
      </c>
      <c r="G2105">
        <v>437</v>
      </c>
      <c r="H2105">
        <v>379316</v>
      </c>
      <c r="I2105">
        <v>37436.2212</v>
      </c>
      <c r="J2105" s="2" t="s">
        <v>45</v>
      </c>
    </row>
    <row r="2106" spans="1:10" x14ac:dyDescent="0.35">
      <c r="A2106" s="1">
        <v>45596</v>
      </c>
      <c r="B2106" s="2" t="s">
        <v>31</v>
      </c>
      <c r="C2106" s="2" t="s">
        <v>27</v>
      </c>
      <c r="D2106" s="2" t="s">
        <v>12</v>
      </c>
      <c r="E2106" s="2" t="s">
        <v>33</v>
      </c>
      <c r="F2106">
        <v>624</v>
      </c>
      <c r="G2106">
        <v>220</v>
      </c>
      <c r="H2106">
        <v>137280</v>
      </c>
      <c r="I2106">
        <v>22105.267800000001</v>
      </c>
      <c r="J2106" s="2" t="s">
        <v>45</v>
      </c>
    </row>
    <row r="2107" spans="1:10" x14ac:dyDescent="0.35">
      <c r="A2107" s="1">
        <v>45596</v>
      </c>
      <c r="B2107" s="2" t="s">
        <v>31</v>
      </c>
      <c r="C2107" s="2" t="s">
        <v>16</v>
      </c>
      <c r="D2107" s="2" t="s">
        <v>17</v>
      </c>
      <c r="E2107" s="2" t="s">
        <v>35</v>
      </c>
      <c r="F2107">
        <v>498</v>
      </c>
      <c r="G2107">
        <v>292</v>
      </c>
      <c r="H2107">
        <v>145416</v>
      </c>
      <c r="I2107">
        <v>20034.436600000001</v>
      </c>
      <c r="J2107" s="2" t="s">
        <v>45</v>
      </c>
    </row>
    <row r="2108" spans="1:10" x14ac:dyDescent="0.35">
      <c r="A2108" s="1">
        <v>45598</v>
      </c>
      <c r="B2108" s="2" t="s">
        <v>25</v>
      </c>
      <c r="C2108" s="2" t="s">
        <v>16</v>
      </c>
      <c r="D2108" s="2" t="s">
        <v>30</v>
      </c>
      <c r="E2108" s="2" t="s">
        <v>24</v>
      </c>
      <c r="F2108">
        <v>225</v>
      </c>
      <c r="G2108">
        <v>413</v>
      </c>
      <c r="H2108">
        <v>92925</v>
      </c>
      <c r="I2108">
        <v>13233.395699999999</v>
      </c>
      <c r="J2108" s="2" t="s">
        <v>46</v>
      </c>
    </row>
    <row r="2109" spans="1:10" x14ac:dyDescent="0.35">
      <c r="A2109" s="1">
        <v>45598</v>
      </c>
      <c r="B2109" s="2" t="s">
        <v>19</v>
      </c>
      <c r="C2109" s="2" t="s">
        <v>11</v>
      </c>
      <c r="D2109" s="2" t="s">
        <v>17</v>
      </c>
      <c r="E2109" s="2" t="s">
        <v>24</v>
      </c>
      <c r="F2109">
        <v>416</v>
      </c>
      <c r="G2109">
        <v>289</v>
      </c>
      <c r="H2109">
        <v>120224</v>
      </c>
      <c r="I2109">
        <v>26620.607599999999</v>
      </c>
      <c r="J2109" s="2" t="s">
        <v>46</v>
      </c>
    </row>
    <row r="2110" spans="1:10" x14ac:dyDescent="0.35">
      <c r="A2110" s="1">
        <v>45598</v>
      </c>
      <c r="B2110" s="2" t="s">
        <v>19</v>
      </c>
      <c r="C2110" s="2" t="s">
        <v>16</v>
      </c>
      <c r="D2110" s="2" t="s">
        <v>21</v>
      </c>
      <c r="E2110" s="2" t="s">
        <v>35</v>
      </c>
      <c r="F2110">
        <v>61</v>
      </c>
      <c r="G2110">
        <v>487</v>
      </c>
      <c r="H2110">
        <v>29707</v>
      </c>
      <c r="I2110">
        <v>3526.7932999999998</v>
      </c>
      <c r="J2110" s="2" t="s">
        <v>46</v>
      </c>
    </row>
    <row r="2111" spans="1:10" x14ac:dyDescent="0.35">
      <c r="A2111" s="1">
        <v>45598</v>
      </c>
      <c r="B2111" s="2" t="s">
        <v>19</v>
      </c>
      <c r="C2111" s="2" t="s">
        <v>11</v>
      </c>
      <c r="D2111" s="2" t="s">
        <v>30</v>
      </c>
      <c r="E2111" s="2" t="s">
        <v>33</v>
      </c>
      <c r="F2111">
        <v>952</v>
      </c>
      <c r="G2111">
        <v>294</v>
      </c>
      <c r="H2111">
        <v>279888</v>
      </c>
      <c r="I2111">
        <v>55515.644200000002</v>
      </c>
      <c r="J2111" s="2" t="s">
        <v>46</v>
      </c>
    </row>
    <row r="2112" spans="1:10" x14ac:dyDescent="0.35">
      <c r="A2112" s="1">
        <v>45598</v>
      </c>
      <c r="B2112" s="2" t="s">
        <v>36</v>
      </c>
      <c r="C2112" s="2" t="s">
        <v>16</v>
      </c>
      <c r="D2112" s="2" t="s">
        <v>12</v>
      </c>
      <c r="E2112" s="2" t="s">
        <v>18</v>
      </c>
      <c r="F2112">
        <v>913</v>
      </c>
      <c r="G2112">
        <v>193</v>
      </c>
      <c r="H2112">
        <v>176209</v>
      </c>
      <c r="I2112">
        <v>41634.1561</v>
      </c>
      <c r="J2112" s="2" t="s">
        <v>46</v>
      </c>
    </row>
    <row r="2113" spans="1:10" x14ac:dyDescent="0.35">
      <c r="A2113" s="1">
        <v>45598</v>
      </c>
      <c r="B2113" s="2" t="s">
        <v>36</v>
      </c>
      <c r="C2113" s="2" t="s">
        <v>16</v>
      </c>
      <c r="D2113" s="2" t="s">
        <v>17</v>
      </c>
      <c r="E2113" s="2" t="s">
        <v>24</v>
      </c>
      <c r="F2113">
        <v>932</v>
      </c>
      <c r="G2113">
        <v>102</v>
      </c>
      <c r="H2113">
        <v>95064</v>
      </c>
      <c r="I2113">
        <v>9041.0382000000009</v>
      </c>
      <c r="J2113" s="2" t="s">
        <v>46</v>
      </c>
    </row>
    <row r="2114" spans="1:10" x14ac:dyDescent="0.35">
      <c r="A2114" s="1">
        <v>45598</v>
      </c>
      <c r="B2114" s="2" t="s">
        <v>36</v>
      </c>
      <c r="C2114" s="2" t="s">
        <v>11</v>
      </c>
      <c r="D2114" s="2" t="s">
        <v>17</v>
      </c>
      <c r="E2114" s="2" t="s">
        <v>13</v>
      </c>
      <c r="F2114">
        <v>73</v>
      </c>
      <c r="G2114">
        <v>376</v>
      </c>
      <c r="H2114">
        <v>27448</v>
      </c>
      <c r="I2114">
        <v>3555.8216000000002</v>
      </c>
      <c r="J2114" s="2" t="s">
        <v>46</v>
      </c>
    </row>
    <row r="2115" spans="1:10" x14ac:dyDescent="0.35">
      <c r="A2115" s="1">
        <v>45598</v>
      </c>
      <c r="B2115" s="2" t="s">
        <v>31</v>
      </c>
      <c r="C2115" s="2" t="s">
        <v>29</v>
      </c>
      <c r="D2115" s="2" t="s">
        <v>12</v>
      </c>
      <c r="E2115" s="2" t="s">
        <v>35</v>
      </c>
      <c r="F2115">
        <v>218</v>
      </c>
      <c r="G2115">
        <v>385</v>
      </c>
      <c r="H2115">
        <v>83930</v>
      </c>
      <c r="I2115">
        <v>16944.8423</v>
      </c>
      <c r="J2115" s="2" t="s">
        <v>46</v>
      </c>
    </row>
    <row r="2116" spans="1:10" x14ac:dyDescent="0.35">
      <c r="A2116" s="1">
        <v>45599</v>
      </c>
      <c r="B2116" s="2" t="s">
        <v>10</v>
      </c>
      <c r="C2116" s="2" t="s">
        <v>16</v>
      </c>
      <c r="D2116" s="2" t="s">
        <v>17</v>
      </c>
      <c r="E2116" s="2" t="s">
        <v>22</v>
      </c>
      <c r="F2116">
        <v>353</v>
      </c>
      <c r="G2116">
        <v>499</v>
      </c>
      <c r="H2116">
        <v>176147</v>
      </c>
      <c r="I2116">
        <v>37804.426899999999</v>
      </c>
      <c r="J2116" s="2" t="s">
        <v>46</v>
      </c>
    </row>
    <row r="2117" spans="1:10" x14ac:dyDescent="0.35">
      <c r="A2117" s="1">
        <v>45599</v>
      </c>
      <c r="B2117" s="2" t="s">
        <v>31</v>
      </c>
      <c r="C2117" s="2" t="s">
        <v>29</v>
      </c>
      <c r="D2117" s="2" t="s">
        <v>30</v>
      </c>
      <c r="E2117" s="2" t="s">
        <v>35</v>
      </c>
      <c r="F2117">
        <v>318</v>
      </c>
      <c r="G2117">
        <v>120</v>
      </c>
      <c r="H2117">
        <v>38160</v>
      </c>
      <c r="I2117">
        <v>3268.8094000000001</v>
      </c>
      <c r="J2117" s="2" t="s">
        <v>46</v>
      </c>
    </row>
    <row r="2118" spans="1:10" x14ac:dyDescent="0.35">
      <c r="A2118" s="1">
        <v>45599</v>
      </c>
      <c r="B2118" s="2" t="s">
        <v>36</v>
      </c>
      <c r="C2118" s="2" t="s">
        <v>20</v>
      </c>
      <c r="D2118" s="2" t="s">
        <v>17</v>
      </c>
      <c r="E2118" s="2" t="s">
        <v>33</v>
      </c>
      <c r="F2118">
        <v>319</v>
      </c>
      <c r="G2118">
        <v>394</v>
      </c>
      <c r="H2118">
        <v>125686</v>
      </c>
      <c r="I2118">
        <v>14112.0162</v>
      </c>
      <c r="J2118" s="2" t="s">
        <v>46</v>
      </c>
    </row>
    <row r="2119" spans="1:10" x14ac:dyDescent="0.35">
      <c r="A2119" s="1">
        <v>45600</v>
      </c>
      <c r="B2119" s="2" t="s">
        <v>19</v>
      </c>
      <c r="C2119" s="2" t="s">
        <v>16</v>
      </c>
      <c r="D2119" s="2" t="s">
        <v>21</v>
      </c>
      <c r="E2119" s="2" t="s">
        <v>22</v>
      </c>
      <c r="F2119">
        <v>722</v>
      </c>
      <c r="G2119">
        <v>234</v>
      </c>
      <c r="H2119">
        <v>168948</v>
      </c>
      <c r="I2119">
        <v>37658.864999999998</v>
      </c>
      <c r="J2119" s="2" t="s">
        <v>46</v>
      </c>
    </row>
    <row r="2120" spans="1:10" x14ac:dyDescent="0.35">
      <c r="A2120" s="1">
        <v>45600</v>
      </c>
      <c r="B2120" s="2" t="s">
        <v>36</v>
      </c>
      <c r="C2120" s="2" t="s">
        <v>23</v>
      </c>
      <c r="D2120" s="2" t="s">
        <v>17</v>
      </c>
      <c r="E2120" s="2" t="s">
        <v>22</v>
      </c>
      <c r="F2120">
        <v>410</v>
      </c>
      <c r="G2120">
        <v>481</v>
      </c>
      <c r="H2120">
        <v>197210</v>
      </c>
      <c r="I2120">
        <v>16199.8897</v>
      </c>
      <c r="J2120" s="2" t="s">
        <v>46</v>
      </c>
    </row>
    <row r="2121" spans="1:10" x14ac:dyDescent="0.35">
      <c r="A2121" s="1">
        <v>45600</v>
      </c>
      <c r="B2121" s="2" t="s">
        <v>36</v>
      </c>
      <c r="C2121" s="2" t="s">
        <v>29</v>
      </c>
      <c r="D2121" s="2" t="s">
        <v>17</v>
      </c>
      <c r="E2121" s="2" t="s">
        <v>28</v>
      </c>
      <c r="F2121">
        <v>441</v>
      </c>
      <c r="G2121">
        <v>306</v>
      </c>
      <c r="H2121">
        <v>134946</v>
      </c>
      <c r="I2121">
        <v>20975.3331</v>
      </c>
      <c r="J2121" s="2" t="s">
        <v>46</v>
      </c>
    </row>
    <row r="2122" spans="1:10" x14ac:dyDescent="0.35">
      <c r="A2122" s="1">
        <v>45600</v>
      </c>
      <c r="B2122" s="2" t="s">
        <v>31</v>
      </c>
      <c r="C2122" s="2" t="s">
        <v>23</v>
      </c>
      <c r="D2122" s="2" t="s">
        <v>30</v>
      </c>
      <c r="E2122" s="2" t="s">
        <v>13</v>
      </c>
      <c r="F2122">
        <v>569</v>
      </c>
      <c r="G2122">
        <v>298</v>
      </c>
      <c r="H2122">
        <v>169562</v>
      </c>
      <c r="I2122">
        <v>15382.956700000001</v>
      </c>
      <c r="J2122" s="2" t="s">
        <v>46</v>
      </c>
    </row>
    <row r="2123" spans="1:10" x14ac:dyDescent="0.35">
      <c r="A2123" s="1">
        <v>45601</v>
      </c>
      <c r="B2123" s="2" t="s">
        <v>25</v>
      </c>
      <c r="C2123" s="2" t="s">
        <v>23</v>
      </c>
      <c r="D2123" s="2" t="s">
        <v>12</v>
      </c>
      <c r="E2123" s="2" t="s">
        <v>13</v>
      </c>
      <c r="F2123">
        <v>257</v>
      </c>
      <c r="G2123">
        <v>147</v>
      </c>
      <c r="H2123">
        <v>37779</v>
      </c>
      <c r="I2123">
        <v>5061.2278999999999</v>
      </c>
      <c r="J2123" s="2" t="s">
        <v>46</v>
      </c>
    </row>
    <row r="2124" spans="1:10" x14ac:dyDescent="0.35">
      <c r="A2124" s="1">
        <v>45601</v>
      </c>
      <c r="B2124" s="2" t="s">
        <v>36</v>
      </c>
      <c r="C2124" s="2" t="s">
        <v>23</v>
      </c>
      <c r="D2124" s="2" t="s">
        <v>17</v>
      </c>
      <c r="E2124" s="2" t="s">
        <v>13</v>
      </c>
      <c r="F2124">
        <v>813</v>
      </c>
      <c r="G2124">
        <v>497</v>
      </c>
      <c r="H2124">
        <v>404061</v>
      </c>
      <c r="I2124">
        <v>70493.650800000003</v>
      </c>
      <c r="J2124" s="2" t="s">
        <v>46</v>
      </c>
    </row>
    <row r="2125" spans="1:10" x14ac:dyDescent="0.35">
      <c r="A2125" s="1">
        <v>45602</v>
      </c>
      <c r="B2125" s="2" t="s">
        <v>31</v>
      </c>
      <c r="C2125" s="2" t="s">
        <v>11</v>
      </c>
      <c r="D2125" s="2" t="s">
        <v>17</v>
      </c>
      <c r="E2125" s="2" t="s">
        <v>33</v>
      </c>
      <c r="F2125">
        <v>291</v>
      </c>
      <c r="G2125">
        <v>466</v>
      </c>
      <c r="H2125">
        <v>135606</v>
      </c>
      <c r="I2125">
        <v>12069.2711</v>
      </c>
      <c r="J2125" s="2" t="s">
        <v>46</v>
      </c>
    </row>
    <row r="2126" spans="1:10" x14ac:dyDescent="0.35">
      <c r="A2126" s="1">
        <v>45602</v>
      </c>
      <c r="B2126" s="2" t="s">
        <v>19</v>
      </c>
      <c r="C2126" s="2" t="s">
        <v>23</v>
      </c>
      <c r="D2126" s="2" t="s">
        <v>12</v>
      </c>
      <c r="E2126" s="2" t="s">
        <v>22</v>
      </c>
      <c r="F2126">
        <v>440</v>
      </c>
      <c r="G2126">
        <v>409</v>
      </c>
      <c r="H2126">
        <v>179960</v>
      </c>
      <c r="I2126">
        <v>38467.288099999998</v>
      </c>
      <c r="J2126" s="2" t="s">
        <v>46</v>
      </c>
    </row>
    <row r="2127" spans="1:10" x14ac:dyDescent="0.35">
      <c r="A2127" s="1">
        <v>45602</v>
      </c>
      <c r="B2127" s="2" t="s">
        <v>15</v>
      </c>
      <c r="C2127" s="2" t="s">
        <v>29</v>
      </c>
      <c r="D2127" s="2" t="s">
        <v>17</v>
      </c>
      <c r="E2127" s="2" t="s">
        <v>28</v>
      </c>
      <c r="F2127">
        <v>922</v>
      </c>
      <c r="G2127">
        <v>185</v>
      </c>
      <c r="H2127">
        <v>170570</v>
      </c>
      <c r="I2127">
        <v>28114.683799999999</v>
      </c>
      <c r="J2127" s="2" t="s">
        <v>46</v>
      </c>
    </row>
    <row r="2128" spans="1:10" x14ac:dyDescent="0.35">
      <c r="A2128" s="1">
        <v>45602</v>
      </c>
      <c r="B2128" s="2" t="s">
        <v>34</v>
      </c>
      <c r="C2128" s="2" t="s">
        <v>20</v>
      </c>
      <c r="D2128" s="2" t="s">
        <v>30</v>
      </c>
      <c r="E2128" s="2" t="s">
        <v>13</v>
      </c>
      <c r="F2128">
        <v>278</v>
      </c>
      <c r="G2128">
        <v>278</v>
      </c>
      <c r="H2128">
        <v>77284</v>
      </c>
      <c r="I2128">
        <v>9432.8127999999997</v>
      </c>
      <c r="J2128" s="2" t="s">
        <v>46</v>
      </c>
    </row>
    <row r="2129" spans="1:10" x14ac:dyDescent="0.35">
      <c r="A2129" s="1">
        <v>45603</v>
      </c>
      <c r="B2129" s="2" t="s">
        <v>19</v>
      </c>
      <c r="C2129" s="2" t="s">
        <v>20</v>
      </c>
      <c r="D2129" s="2" t="s">
        <v>12</v>
      </c>
      <c r="E2129" s="2" t="s">
        <v>35</v>
      </c>
      <c r="F2129">
        <v>400</v>
      </c>
      <c r="G2129">
        <v>237</v>
      </c>
      <c r="H2129">
        <v>94800</v>
      </c>
      <c r="I2129">
        <v>12341.898499999999</v>
      </c>
      <c r="J2129" s="2" t="s">
        <v>46</v>
      </c>
    </row>
    <row r="2130" spans="1:10" x14ac:dyDescent="0.35">
      <c r="A2130" s="1">
        <v>45604</v>
      </c>
      <c r="B2130" s="2" t="s">
        <v>15</v>
      </c>
      <c r="C2130" s="2" t="s">
        <v>20</v>
      </c>
      <c r="D2130" s="2" t="s">
        <v>30</v>
      </c>
      <c r="E2130" s="2" t="s">
        <v>22</v>
      </c>
      <c r="F2130">
        <v>776</v>
      </c>
      <c r="G2130">
        <v>105</v>
      </c>
      <c r="H2130">
        <v>81480</v>
      </c>
      <c r="I2130">
        <v>16358.850899999999</v>
      </c>
      <c r="J2130" s="2" t="s">
        <v>46</v>
      </c>
    </row>
    <row r="2131" spans="1:10" x14ac:dyDescent="0.35">
      <c r="A2131" s="1">
        <v>45605</v>
      </c>
      <c r="B2131" s="2" t="s">
        <v>25</v>
      </c>
      <c r="C2131" s="2" t="s">
        <v>27</v>
      </c>
      <c r="D2131" s="2" t="s">
        <v>21</v>
      </c>
      <c r="E2131" s="2" t="s">
        <v>32</v>
      </c>
      <c r="F2131">
        <v>378</v>
      </c>
      <c r="G2131">
        <v>139</v>
      </c>
      <c r="H2131">
        <v>52542</v>
      </c>
      <c r="I2131">
        <v>5033.5798000000004</v>
      </c>
      <c r="J2131" s="2" t="s">
        <v>46</v>
      </c>
    </row>
    <row r="2132" spans="1:10" x14ac:dyDescent="0.35">
      <c r="A2132" s="1">
        <v>45605</v>
      </c>
      <c r="B2132" s="2" t="s">
        <v>25</v>
      </c>
      <c r="C2132" s="2" t="s">
        <v>11</v>
      </c>
      <c r="D2132" s="2" t="s">
        <v>17</v>
      </c>
      <c r="E2132" s="2" t="s">
        <v>24</v>
      </c>
      <c r="F2132">
        <v>281</v>
      </c>
      <c r="G2132">
        <v>313</v>
      </c>
      <c r="H2132">
        <v>87953</v>
      </c>
      <c r="I2132">
        <v>14371.455099999999</v>
      </c>
      <c r="J2132" s="2" t="s">
        <v>46</v>
      </c>
    </row>
    <row r="2133" spans="1:10" x14ac:dyDescent="0.35">
      <c r="A2133" s="1">
        <v>45606</v>
      </c>
      <c r="B2133" s="2" t="s">
        <v>25</v>
      </c>
      <c r="C2133" s="2" t="s">
        <v>27</v>
      </c>
      <c r="D2133" s="2" t="s">
        <v>17</v>
      </c>
      <c r="E2133" s="2" t="s">
        <v>22</v>
      </c>
      <c r="F2133">
        <v>691</v>
      </c>
      <c r="G2133">
        <v>198</v>
      </c>
      <c r="H2133">
        <v>136818</v>
      </c>
      <c r="I2133">
        <v>16119.328799999999</v>
      </c>
      <c r="J2133" s="2" t="s">
        <v>46</v>
      </c>
    </row>
    <row r="2134" spans="1:10" x14ac:dyDescent="0.35">
      <c r="A2134" s="1">
        <v>45606</v>
      </c>
      <c r="B2134" s="2" t="s">
        <v>31</v>
      </c>
      <c r="C2134" s="2" t="s">
        <v>16</v>
      </c>
      <c r="D2134" s="2" t="s">
        <v>12</v>
      </c>
      <c r="E2134" s="2" t="s">
        <v>18</v>
      </c>
      <c r="F2134">
        <v>502</v>
      </c>
      <c r="G2134">
        <v>344</v>
      </c>
      <c r="H2134">
        <v>172688</v>
      </c>
      <c r="I2134">
        <v>35454.2601</v>
      </c>
      <c r="J2134" s="2" t="s">
        <v>46</v>
      </c>
    </row>
    <row r="2135" spans="1:10" x14ac:dyDescent="0.35">
      <c r="A2135" s="1">
        <v>45606</v>
      </c>
      <c r="B2135" s="2" t="s">
        <v>15</v>
      </c>
      <c r="C2135" s="2" t="s">
        <v>16</v>
      </c>
      <c r="D2135" s="2" t="s">
        <v>12</v>
      </c>
      <c r="E2135" s="2" t="s">
        <v>22</v>
      </c>
      <c r="F2135">
        <v>484</v>
      </c>
      <c r="G2135">
        <v>114</v>
      </c>
      <c r="H2135">
        <v>55176</v>
      </c>
      <c r="I2135">
        <v>6011.7771000000002</v>
      </c>
      <c r="J2135" s="2" t="s">
        <v>46</v>
      </c>
    </row>
    <row r="2136" spans="1:10" x14ac:dyDescent="0.35">
      <c r="A2136" s="1">
        <v>45607</v>
      </c>
      <c r="B2136" s="2" t="s">
        <v>25</v>
      </c>
      <c r="C2136" s="2" t="s">
        <v>20</v>
      </c>
      <c r="D2136" s="2" t="s">
        <v>17</v>
      </c>
      <c r="E2136" s="2" t="s">
        <v>35</v>
      </c>
      <c r="F2136">
        <v>837</v>
      </c>
      <c r="G2136">
        <v>240</v>
      </c>
      <c r="H2136">
        <v>200880</v>
      </c>
      <c r="I2136">
        <v>28190.887699999999</v>
      </c>
      <c r="J2136" s="2" t="s">
        <v>46</v>
      </c>
    </row>
    <row r="2137" spans="1:10" x14ac:dyDescent="0.35">
      <c r="A2137" s="1">
        <v>45607</v>
      </c>
      <c r="B2137" s="2" t="s">
        <v>26</v>
      </c>
      <c r="C2137" s="2" t="s">
        <v>27</v>
      </c>
      <c r="D2137" s="2" t="s">
        <v>12</v>
      </c>
      <c r="E2137" s="2" t="s">
        <v>32</v>
      </c>
      <c r="F2137">
        <v>599</v>
      </c>
      <c r="G2137">
        <v>432</v>
      </c>
      <c r="H2137">
        <v>258768</v>
      </c>
      <c r="I2137">
        <v>36678.426299999999</v>
      </c>
      <c r="J2137" s="2" t="s">
        <v>46</v>
      </c>
    </row>
    <row r="2138" spans="1:10" x14ac:dyDescent="0.35">
      <c r="A2138" s="1">
        <v>45607</v>
      </c>
      <c r="B2138" s="2" t="s">
        <v>19</v>
      </c>
      <c r="C2138" s="2" t="s">
        <v>27</v>
      </c>
      <c r="D2138" s="2" t="s">
        <v>12</v>
      </c>
      <c r="E2138" s="2" t="s">
        <v>32</v>
      </c>
      <c r="F2138">
        <v>591</v>
      </c>
      <c r="G2138">
        <v>333</v>
      </c>
      <c r="H2138">
        <v>196803</v>
      </c>
      <c r="I2138">
        <v>22205.0337</v>
      </c>
      <c r="J2138" s="2" t="s">
        <v>46</v>
      </c>
    </row>
    <row r="2139" spans="1:10" x14ac:dyDescent="0.35">
      <c r="A2139" s="1">
        <v>45608</v>
      </c>
      <c r="B2139" s="2" t="s">
        <v>34</v>
      </c>
      <c r="C2139" s="2" t="s">
        <v>16</v>
      </c>
      <c r="D2139" s="2" t="s">
        <v>30</v>
      </c>
      <c r="E2139" s="2" t="s">
        <v>33</v>
      </c>
      <c r="F2139">
        <v>415</v>
      </c>
      <c r="G2139">
        <v>344</v>
      </c>
      <c r="H2139">
        <v>142760</v>
      </c>
      <c r="I2139">
        <v>16447.278300000002</v>
      </c>
      <c r="J2139" s="2" t="s">
        <v>46</v>
      </c>
    </row>
    <row r="2140" spans="1:10" x14ac:dyDescent="0.35">
      <c r="A2140" s="1">
        <v>45608</v>
      </c>
      <c r="B2140" s="2" t="s">
        <v>34</v>
      </c>
      <c r="C2140" s="2" t="s">
        <v>11</v>
      </c>
      <c r="D2140" s="2" t="s">
        <v>17</v>
      </c>
      <c r="E2140" s="2" t="s">
        <v>33</v>
      </c>
      <c r="F2140">
        <v>308</v>
      </c>
      <c r="G2140">
        <v>386</v>
      </c>
      <c r="H2140">
        <v>118888</v>
      </c>
      <c r="I2140">
        <v>14633.898800000001</v>
      </c>
      <c r="J2140" s="2" t="s">
        <v>46</v>
      </c>
    </row>
    <row r="2141" spans="1:10" x14ac:dyDescent="0.35">
      <c r="A2141" s="1">
        <v>45608</v>
      </c>
      <c r="B2141" s="2" t="s">
        <v>19</v>
      </c>
      <c r="C2141" s="2" t="s">
        <v>20</v>
      </c>
      <c r="D2141" s="2" t="s">
        <v>17</v>
      </c>
      <c r="E2141" s="2" t="s">
        <v>24</v>
      </c>
      <c r="F2141">
        <v>377</v>
      </c>
      <c r="G2141">
        <v>225</v>
      </c>
      <c r="H2141">
        <v>84825</v>
      </c>
      <c r="I2141">
        <v>19642.374599999999</v>
      </c>
      <c r="J2141" s="2" t="s">
        <v>46</v>
      </c>
    </row>
    <row r="2142" spans="1:10" x14ac:dyDescent="0.35">
      <c r="A2142" s="1">
        <v>45608</v>
      </c>
      <c r="B2142" s="2" t="s">
        <v>26</v>
      </c>
      <c r="C2142" s="2" t="s">
        <v>23</v>
      </c>
      <c r="D2142" s="2" t="s">
        <v>21</v>
      </c>
      <c r="E2142" s="2" t="s">
        <v>18</v>
      </c>
      <c r="F2142">
        <v>269</v>
      </c>
      <c r="G2142">
        <v>207</v>
      </c>
      <c r="H2142">
        <v>55683</v>
      </c>
      <c r="I2142">
        <v>12328.9552</v>
      </c>
      <c r="J2142" s="2" t="s">
        <v>46</v>
      </c>
    </row>
    <row r="2143" spans="1:10" x14ac:dyDescent="0.35">
      <c r="A2143" s="1">
        <v>45609</v>
      </c>
      <c r="B2143" s="2" t="s">
        <v>19</v>
      </c>
      <c r="C2143" s="2" t="s">
        <v>23</v>
      </c>
      <c r="D2143" s="2" t="s">
        <v>12</v>
      </c>
      <c r="E2143" s="2" t="s">
        <v>28</v>
      </c>
      <c r="F2143">
        <v>366</v>
      </c>
      <c r="G2143">
        <v>413</v>
      </c>
      <c r="H2143">
        <v>151158</v>
      </c>
      <c r="I2143">
        <v>19254.222699999998</v>
      </c>
      <c r="J2143" s="2" t="s">
        <v>46</v>
      </c>
    </row>
    <row r="2144" spans="1:10" x14ac:dyDescent="0.35">
      <c r="A2144" s="1">
        <v>45609</v>
      </c>
      <c r="B2144" s="2" t="s">
        <v>36</v>
      </c>
      <c r="C2144" s="2" t="s">
        <v>29</v>
      </c>
      <c r="D2144" s="2" t="s">
        <v>17</v>
      </c>
      <c r="E2144" s="2" t="s">
        <v>18</v>
      </c>
      <c r="F2144">
        <v>54</v>
      </c>
      <c r="G2144">
        <v>159</v>
      </c>
      <c r="H2144">
        <v>8586</v>
      </c>
      <c r="I2144">
        <v>1547.9437</v>
      </c>
      <c r="J2144" s="2" t="s">
        <v>46</v>
      </c>
    </row>
    <row r="2145" spans="1:10" x14ac:dyDescent="0.35">
      <c r="A2145" s="1">
        <v>45610</v>
      </c>
      <c r="B2145" s="2" t="s">
        <v>34</v>
      </c>
      <c r="C2145" s="2" t="s">
        <v>27</v>
      </c>
      <c r="D2145" s="2" t="s">
        <v>21</v>
      </c>
      <c r="E2145" s="2" t="s">
        <v>24</v>
      </c>
      <c r="F2145">
        <v>146</v>
      </c>
      <c r="G2145">
        <v>169</v>
      </c>
      <c r="H2145">
        <v>24674</v>
      </c>
      <c r="I2145">
        <v>6140.9000999999998</v>
      </c>
      <c r="J2145" s="2" t="s">
        <v>46</v>
      </c>
    </row>
    <row r="2146" spans="1:10" x14ac:dyDescent="0.35">
      <c r="A2146" s="1">
        <v>45610</v>
      </c>
      <c r="B2146" s="2" t="s">
        <v>10</v>
      </c>
      <c r="C2146" s="2" t="s">
        <v>29</v>
      </c>
      <c r="D2146" s="2" t="s">
        <v>21</v>
      </c>
      <c r="E2146" s="2" t="s">
        <v>24</v>
      </c>
      <c r="F2146">
        <v>171</v>
      </c>
      <c r="G2146">
        <v>212</v>
      </c>
      <c r="H2146">
        <v>36252</v>
      </c>
      <c r="I2146">
        <v>3605.5868</v>
      </c>
      <c r="J2146" s="2" t="s">
        <v>46</v>
      </c>
    </row>
    <row r="2147" spans="1:10" x14ac:dyDescent="0.35">
      <c r="A2147" s="1">
        <v>45611</v>
      </c>
      <c r="B2147" s="2" t="s">
        <v>10</v>
      </c>
      <c r="C2147" s="2" t="s">
        <v>29</v>
      </c>
      <c r="D2147" s="2" t="s">
        <v>17</v>
      </c>
      <c r="E2147" s="2" t="s">
        <v>35</v>
      </c>
      <c r="F2147">
        <v>873</v>
      </c>
      <c r="G2147">
        <v>294</v>
      </c>
      <c r="H2147">
        <v>256662</v>
      </c>
      <c r="I2147">
        <v>44016.797299999998</v>
      </c>
      <c r="J2147" s="2" t="s">
        <v>46</v>
      </c>
    </row>
    <row r="2148" spans="1:10" x14ac:dyDescent="0.35">
      <c r="A2148" s="1">
        <v>45611</v>
      </c>
      <c r="B2148" s="2" t="s">
        <v>31</v>
      </c>
      <c r="C2148" s="2" t="s">
        <v>11</v>
      </c>
      <c r="D2148" s="2" t="s">
        <v>30</v>
      </c>
      <c r="E2148" s="2" t="s">
        <v>18</v>
      </c>
      <c r="F2148">
        <v>640</v>
      </c>
      <c r="G2148">
        <v>201</v>
      </c>
      <c r="H2148">
        <v>128640</v>
      </c>
      <c r="I2148">
        <v>18908.808799999999</v>
      </c>
      <c r="J2148" s="2" t="s">
        <v>46</v>
      </c>
    </row>
    <row r="2149" spans="1:10" x14ac:dyDescent="0.35">
      <c r="A2149" s="1">
        <v>45611</v>
      </c>
      <c r="B2149" s="2" t="s">
        <v>15</v>
      </c>
      <c r="C2149" s="2" t="s">
        <v>27</v>
      </c>
      <c r="D2149" s="2" t="s">
        <v>30</v>
      </c>
      <c r="E2149" s="2" t="s">
        <v>33</v>
      </c>
      <c r="F2149">
        <v>573</v>
      </c>
      <c r="G2149">
        <v>201</v>
      </c>
      <c r="H2149">
        <v>115173</v>
      </c>
      <c r="I2149">
        <v>13194.450999999999</v>
      </c>
      <c r="J2149" s="2" t="s">
        <v>46</v>
      </c>
    </row>
    <row r="2150" spans="1:10" x14ac:dyDescent="0.35">
      <c r="A2150" s="1">
        <v>45611</v>
      </c>
      <c r="B2150" s="2" t="s">
        <v>19</v>
      </c>
      <c r="C2150" s="2" t="s">
        <v>11</v>
      </c>
      <c r="D2150" s="2" t="s">
        <v>12</v>
      </c>
      <c r="E2150" s="2" t="s">
        <v>35</v>
      </c>
      <c r="F2150">
        <v>513</v>
      </c>
      <c r="G2150">
        <v>177</v>
      </c>
      <c r="H2150">
        <v>90801</v>
      </c>
      <c r="I2150">
        <v>9605.3323999999993</v>
      </c>
      <c r="J2150" s="2" t="s">
        <v>46</v>
      </c>
    </row>
    <row r="2151" spans="1:10" x14ac:dyDescent="0.35">
      <c r="A2151" s="1">
        <v>45611</v>
      </c>
      <c r="B2151" s="2" t="s">
        <v>25</v>
      </c>
      <c r="C2151" s="2" t="s">
        <v>20</v>
      </c>
      <c r="D2151" s="2" t="s">
        <v>17</v>
      </c>
      <c r="E2151" s="2" t="s">
        <v>32</v>
      </c>
      <c r="F2151">
        <v>288</v>
      </c>
      <c r="G2151">
        <v>454</v>
      </c>
      <c r="H2151">
        <v>130752</v>
      </c>
      <c r="I2151">
        <v>14606.1374</v>
      </c>
      <c r="J2151" s="2" t="s">
        <v>46</v>
      </c>
    </row>
    <row r="2152" spans="1:10" x14ac:dyDescent="0.35">
      <c r="A2152" s="1">
        <v>45611</v>
      </c>
      <c r="B2152" s="2" t="s">
        <v>19</v>
      </c>
      <c r="C2152" s="2" t="s">
        <v>20</v>
      </c>
      <c r="D2152" s="2" t="s">
        <v>12</v>
      </c>
      <c r="E2152" s="2" t="s">
        <v>35</v>
      </c>
      <c r="F2152">
        <v>851</v>
      </c>
      <c r="G2152">
        <v>485</v>
      </c>
      <c r="H2152">
        <v>412735</v>
      </c>
      <c r="I2152">
        <v>74758.315600000002</v>
      </c>
      <c r="J2152" s="2" t="s">
        <v>46</v>
      </c>
    </row>
    <row r="2153" spans="1:10" x14ac:dyDescent="0.35">
      <c r="A2153" s="1">
        <v>45612</v>
      </c>
      <c r="B2153" s="2" t="s">
        <v>26</v>
      </c>
      <c r="C2153" s="2" t="s">
        <v>23</v>
      </c>
      <c r="D2153" s="2" t="s">
        <v>17</v>
      </c>
      <c r="E2153" s="2" t="s">
        <v>24</v>
      </c>
      <c r="F2153">
        <v>829</v>
      </c>
      <c r="G2153">
        <v>443</v>
      </c>
      <c r="H2153">
        <v>367247</v>
      </c>
      <c r="I2153">
        <v>47845.388400000003</v>
      </c>
      <c r="J2153" s="2" t="s">
        <v>46</v>
      </c>
    </row>
    <row r="2154" spans="1:10" x14ac:dyDescent="0.35">
      <c r="A2154" s="1">
        <v>45612</v>
      </c>
      <c r="B2154" s="2" t="s">
        <v>26</v>
      </c>
      <c r="C2154" s="2" t="s">
        <v>29</v>
      </c>
      <c r="D2154" s="2" t="s">
        <v>21</v>
      </c>
      <c r="E2154" s="2" t="s">
        <v>13</v>
      </c>
      <c r="F2154">
        <v>401</v>
      </c>
      <c r="G2154">
        <v>188</v>
      </c>
      <c r="H2154">
        <v>75388</v>
      </c>
      <c r="I2154">
        <v>8024.0802000000003</v>
      </c>
      <c r="J2154" s="2" t="s">
        <v>46</v>
      </c>
    </row>
    <row r="2155" spans="1:10" x14ac:dyDescent="0.35">
      <c r="A2155" s="1">
        <v>45612</v>
      </c>
      <c r="B2155" s="2" t="s">
        <v>31</v>
      </c>
      <c r="C2155" s="2" t="s">
        <v>20</v>
      </c>
      <c r="D2155" s="2" t="s">
        <v>30</v>
      </c>
      <c r="E2155" s="2" t="s">
        <v>33</v>
      </c>
      <c r="F2155">
        <v>398</v>
      </c>
      <c r="G2155">
        <v>281</v>
      </c>
      <c r="H2155">
        <v>111838</v>
      </c>
      <c r="I2155">
        <v>10110.219999999999</v>
      </c>
      <c r="J2155" s="2" t="s">
        <v>46</v>
      </c>
    </row>
    <row r="2156" spans="1:10" x14ac:dyDescent="0.35">
      <c r="A2156" s="1">
        <v>45612</v>
      </c>
      <c r="B2156" s="2" t="s">
        <v>31</v>
      </c>
      <c r="C2156" s="2" t="s">
        <v>20</v>
      </c>
      <c r="D2156" s="2" t="s">
        <v>30</v>
      </c>
      <c r="E2156" s="2" t="s">
        <v>35</v>
      </c>
      <c r="F2156">
        <v>415</v>
      </c>
      <c r="G2156">
        <v>228</v>
      </c>
      <c r="H2156">
        <v>94620</v>
      </c>
      <c r="I2156">
        <v>16048.3724</v>
      </c>
      <c r="J2156" s="2" t="s">
        <v>46</v>
      </c>
    </row>
    <row r="2157" spans="1:10" x14ac:dyDescent="0.35">
      <c r="A2157" s="1">
        <v>45613</v>
      </c>
      <c r="B2157" s="2" t="s">
        <v>36</v>
      </c>
      <c r="C2157" s="2" t="s">
        <v>29</v>
      </c>
      <c r="D2157" s="2" t="s">
        <v>21</v>
      </c>
      <c r="E2157" s="2" t="s">
        <v>28</v>
      </c>
      <c r="F2157">
        <v>236</v>
      </c>
      <c r="G2157">
        <v>142</v>
      </c>
      <c r="H2157">
        <v>33512</v>
      </c>
      <c r="I2157">
        <v>5988.9224000000004</v>
      </c>
      <c r="J2157" s="2" t="s">
        <v>46</v>
      </c>
    </row>
    <row r="2158" spans="1:10" x14ac:dyDescent="0.35">
      <c r="A2158" s="1">
        <v>45613</v>
      </c>
      <c r="B2158" s="2" t="s">
        <v>36</v>
      </c>
      <c r="C2158" s="2" t="s">
        <v>23</v>
      </c>
      <c r="D2158" s="2" t="s">
        <v>30</v>
      </c>
      <c r="E2158" s="2" t="s">
        <v>32</v>
      </c>
      <c r="F2158">
        <v>672</v>
      </c>
      <c r="G2158">
        <v>216</v>
      </c>
      <c r="H2158">
        <v>145152</v>
      </c>
      <c r="I2158">
        <v>29932.867399999999</v>
      </c>
      <c r="J2158" s="2" t="s">
        <v>46</v>
      </c>
    </row>
    <row r="2159" spans="1:10" x14ac:dyDescent="0.35">
      <c r="A2159" s="1">
        <v>45613</v>
      </c>
      <c r="B2159" s="2" t="s">
        <v>25</v>
      </c>
      <c r="C2159" s="2" t="s">
        <v>23</v>
      </c>
      <c r="D2159" s="2" t="s">
        <v>21</v>
      </c>
      <c r="E2159" s="2" t="s">
        <v>18</v>
      </c>
      <c r="F2159">
        <v>495</v>
      </c>
      <c r="G2159">
        <v>414</v>
      </c>
      <c r="H2159">
        <v>204930</v>
      </c>
      <c r="I2159">
        <v>48318.819199999998</v>
      </c>
      <c r="J2159" s="2" t="s">
        <v>46</v>
      </c>
    </row>
    <row r="2160" spans="1:10" x14ac:dyDescent="0.35">
      <c r="A2160" s="1">
        <v>45613</v>
      </c>
      <c r="B2160" s="2" t="s">
        <v>34</v>
      </c>
      <c r="C2160" s="2" t="s">
        <v>20</v>
      </c>
      <c r="D2160" s="2" t="s">
        <v>21</v>
      </c>
      <c r="E2160" s="2" t="s">
        <v>33</v>
      </c>
      <c r="F2160">
        <v>543</v>
      </c>
      <c r="G2160">
        <v>449</v>
      </c>
      <c r="H2160">
        <v>243807</v>
      </c>
      <c r="I2160">
        <v>45133.57</v>
      </c>
      <c r="J2160" s="2" t="s">
        <v>46</v>
      </c>
    </row>
    <row r="2161" spans="1:10" x14ac:dyDescent="0.35">
      <c r="A2161" s="1">
        <v>45614</v>
      </c>
      <c r="B2161" s="2" t="s">
        <v>25</v>
      </c>
      <c r="C2161" s="2" t="s">
        <v>11</v>
      </c>
      <c r="D2161" s="2" t="s">
        <v>17</v>
      </c>
      <c r="E2161" s="2" t="s">
        <v>13</v>
      </c>
      <c r="F2161">
        <v>834</v>
      </c>
      <c r="G2161">
        <v>250</v>
      </c>
      <c r="H2161">
        <v>208500</v>
      </c>
      <c r="I2161">
        <v>23645.307199999999</v>
      </c>
      <c r="J2161" s="2" t="s">
        <v>46</v>
      </c>
    </row>
    <row r="2162" spans="1:10" x14ac:dyDescent="0.35">
      <c r="A2162" s="1">
        <v>45614</v>
      </c>
      <c r="B2162" s="2" t="s">
        <v>26</v>
      </c>
      <c r="C2162" s="2" t="s">
        <v>29</v>
      </c>
      <c r="D2162" s="2" t="s">
        <v>17</v>
      </c>
      <c r="E2162" s="2" t="s">
        <v>28</v>
      </c>
      <c r="F2162">
        <v>216</v>
      </c>
      <c r="G2162">
        <v>245</v>
      </c>
      <c r="H2162">
        <v>52920</v>
      </c>
      <c r="I2162">
        <v>9743.0215000000007</v>
      </c>
      <c r="J2162" s="2" t="s">
        <v>46</v>
      </c>
    </row>
    <row r="2163" spans="1:10" x14ac:dyDescent="0.35">
      <c r="A2163" s="1">
        <v>45614</v>
      </c>
      <c r="B2163" s="2" t="s">
        <v>36</v>
      </c>
      <c r="C2163" s="2" t="s">
        <v>16</v>
      </c>
      <c r="D2163" s="2" t="s">
        <v>17</v>
      </c>
      <c r="E2163" s="2" t="s">
        <v>28</v>
      </c>
      <c r="F2163">
        <v>339</v>
      </c>
      <c r="G2163">
        <v>416</v>
      </c>
      <c r="H2163">
        <v>141024</v>
      </c>
      <c r="I2163">
        <v>28679.385600000001</v>
      </c>
      <c r="J2163" s="2" t="s">
        <v>46</v>
      </c>
    </row>
    <row r="2164" spans="1:10" x14ac:dyDescent="0.35">
      <c r="A2164" s="1">
        <v>45614</v>
      </c>
      <c r="B2164" s="2" t="s">
        <v>19</v>
      </c>
      <c r="C2164" s="2" t="s">
        <v>16</v>
      </c>
      <c r="D2164" s="2" t="s">
        <v>30</v>
      </c>
      <c r="E2164" s="2" t="s">
        <v>18</v>
      </c>
      <c r="F2164">
        <v>666</v>
      </c>
      <c r="G2164">
        <v>394</v>
      </c>
      <c r="H2164">
        <v>262404</v>
      </c>
      <c r="I2164">
        <v>39098.076300000001</v>
      </c>
      <c r="J2164" s="2" t="s">
        <v>46</v>
      </c>
    </row>
    <row r="2165" spans="1:10" x14ac:dyDescent="0.35">
      <c r="A2165" s="1">
        <v>45615</v>
      </c>
      <c r="B2165" s="2" t="s">
        <v>10</v>
      </c>
      <c r="C2165" s="2" t="s">
        <v>27</v>
      </c>
      <c r="D2165" s="2" t="s">
        <v>21</v>
      </c>
      <c r="E2165" s="2" t="s">
        <v>18</v>
      </c>
      <c r="F2165">
        <v>283</v>
      </c>
      <c r="G2165">
        <v>390</v>
      </c>
      <c r="H2165">
        <v>110370</v>
      </c>
      <c r="I2165">
        <v>11417.435299999999</v>
      </c>
      <c r="J2165" s="2" t="s">
        <v>46</v>
      </c>
    </row>
    <row r="2166" spans="1:10" x14ac:dyDescent="0.35">
      <c r="A2166" s="1">
        <v>45615</v>
      </c>
      <c r="B2166" s="2" t="s">
        <v>31</v>
      </c>
      <c r="C2166" s="2" t="s">
        <v>23</v>
      </c>
      <c r="D2166" s="2" t="s">
        <v>21</v>
      </c>
      <c r="E2166" s="2" t="s">
        <v>35</v>
      </c>
      <c r="F2166">
        <v>81</v>
      </c>
      <c r="G2166">
        <v>120</v>
      </c>
      <c r="H2166">
        <v>9720</v>
      </c>
      <c r="I2166">
        <v>1137.1854000000001</v>
      </c>
      <c r="J2166" s="2" t="s">
        <v>46</v>
      </c>
    </row>
    <row r="2167" spans="1:10" x14ac:dyDescent="0.35">
      <c r="A2167" s="1">
        <v>45615</v>
      </c>
      <c r="B2167" s="2" t="s">
        <v>36</v>
      </c>
      <c r="C2167" s="2" t="s">
        <v>29</v>
      </c>
      <c r="D2167" s="2" t="s">
        <v>17</v>
      </c>
      <c r="E2167" s="2" t="s">
        <v>13</v>
      </c>
      <c r="F2167">
        <v>320</v>
      </c>
      <c r="G2167">
        <v>113</v>
      </c>
      <c r="H2167">
        <v>36160</v>
      </c>
      <c r="I2167">
        <v>5175.6427999999996</v>
      </c>
      <c r="J2167" s="2" t="s">
        <v>46</v>
      </c>
    </row>
    <row r="2168" spans="1:10" x14ac:dyDescent="0.35">
      <c r="A2168" s="1">
        <v>45616</v>
      </c>
      <c r="B2168" s="2" t="s">
        <v>15</v>
      </c>
      <c r="C2168" s="2" t="s">
        <v>23</v>
      </c>
      <c r="D2168" s="2" t="s">
        <v>21</v>
      </c>
      <c r="E2168" s="2" t="s">
        <v>13</v>
      </c>
      <c r="F2168">
        <v>615</v>
      </c>
      <c r="G2168">
        <v>294</v>
      </c>
      <c r="H2168">
        <v>180810</v>
      </c>
      <c r="I2168">
        <v>36262.660199999998</v>
      </c>
      <c r="J2168" s="2" t="s">
        <v>46</v>
      </c>
    </row>
    <row r="2169" spans="1:10" x14ac:dyDescent="0.35">
      <c r="A2169" s="1">
        <v>45616</v>
      </c>
      <c r="B2169" s="2" t="s">
        <v>34</v>
      </c>
      <c r="C2169" s="2" t="s">
        <v>23</v>
      </c>
      <c r="D2169" s="2" t="s">
        <v>21</v>
      </c>
      <c r="E2169" s="2" t="s">
        <v>33</v>
      </c>
      <c r="F2169">
        <v>367</v>
      </c>
      <c r="G2169">
        <v>152</v>
      </c>
      <c r="H2169">
        <v>55784</v>
      </c>
      <c r="I2169">
        <v>13473.006799999999</v>
      </c>
      <c r="J2169" s="2" t="s">
        <v>46</v>
      </c>
    </row>
    <row r="2170" spans="1:10" x14ac:dyDescent="0.35">
      <c r="A2170" s="1">
        <v>45616</v>
      </c>
      <c r="B2170" s="2" t="s">
        <v>36</v>
      </c>
      <c r="C2170" s="2" t="s">
        <v>16</v>
      </c>
      <c r="D2170" s="2" t="s">
        <v>21</v>
      </c>
      <c r="E2170" s="2" t="s">
        <v>32</v>
      </c>
      <c r="F2170">
        <v>657</v>
      </c>
      <c r="G2170">
        <v>121</v>
      </c>
      <c r="H2170">
        <v>79497</v>
      </c>
      <c r="I2170">
        <v>9538.4354999999996</v>
      </c>
      <c r="J2170" s="2" t="s">
        <v>46</v>
      </c>
    </row>
    <row r="2171" spans="1:10" x14ac:dyDescent="0.35">
      <c r="A2171" s="1">
        <v>45616</v>
      </c>
      <c r="B2171" s="2" t="s">
        <v>36</v>
      </c>
      <c r="C2171" s="2" t="s">
        <v>11</v>
      </c>
      <c r="D2171" s="2" t="s">
        <v>12</v>
      </c>
      <c r="E2171" s="2" t="s">
        <v>24</v>
      </c>
      <c r="F2171">
        <v>576</v>
      </c>
      <c r="G2171">
        <v>341</v>
      </c>
      <c r="H2171">
        <v>196416</v>
      </c>
      <c r="I2171">
        <v>28986.836800000001</v>
      </c>
      <c r="J2171" s="2" t="s">
        <v>46</v>
      </c>
    </row>
    <row r="2172" spans="1:10" x14ac:dyDescent="0.35">
      <c r="A2172" s="1">
        <v>45616</v>
      </c>
      <c r="B2172" s="2" t="s">
        <v>15</v>
      </c>
      <c r="C2172" s="2" t="s">
        <v>16</v>
      </c>
      <c r="D2172" s="2" t="s">
        <v>21</v>
      </c>
      <c r="E2172" s="2" t="s">
        <v>18</v>
      </c>
      <c r="F2172">
        <v>145</v>
      </c>
      <c r="G2172">
        <v>389</v>
      </c>
      <c r="H2172">
        <v>56405</v>
      </c>
      <c r="I2172">
        <v>10892.607</v>
      </c>
      <c r="J2172" s="2" t="s">
        <v>46</v>
      </c>
    </row>
    <row r="2173" spans="1:10" x14ac:dyDescent="0.35">
      <c r="A2173" s="1">
        <v>45616</v>
      </c>
      <c r="B2173" s="2" t="s">
        <v>26</v>
      </c>
      <c r="C2173" s="2" t="s">
        <v>29</v>
      </c>
      <c r="D2173" s="2" t="s">
        <v>21</v>
      </c>
      <c r="E2173" s="2" t="s">
        <v>22</v>
      </c>
      <c r="F2173">
        <v>535</v>
      </c>
      <c r="G2173">
        <v>308</v>
      </c>
      <c r="H2173">
        <v>164780</v>
      </c>
      <c r="I2173">
        <v>23790.061799999999</v>
      </c>
      <c r="J2173" s="2" t="s">
        <v>46</v>
      </c>
    </row>
    <row r="2174" spans="1:10" x14ac:dyDescent="0.35">
      <c r="A2174" s="1">
        <v>45617</v>
      </c>
      <c r="B2174" s="2" t="s">
        <v>25</v>
      </c>
      <c r="C2174" s="2" t="s">
        <v>16</v>
      </c>
      <c r="D2174" s="2" t="s">
        <v>30</v>
      </c>
      <c r="E2174" s="2" t="s">
        <v>13</v>
      </c>
      <c r="F2174">
        <v>469</v>
      </c>
      <c r="G2174">
        <v>301</v>
      </c>
      <c r="H2174">
        <v>141169</v>
      </c>
      <c r="I2174">
        <v>16520.2274</v>
      </c>
      <c r="J2174" s="2" t="s">
        <v>46</v>
      </c>
    </row>
    <row r="2175" spans="1:10" x14ac:dyDescent="0.35">
      <c r="A2175" s="1">
        <v>45617</v>
      </c>
      <c r="B2175" s="2" t="s">
        <v>34</v>
      </c>
      <c r="C2175" s="2" t="s">
        <v>23</v>
      </c>
      <c r="D2175" s="2" t="s">
        <v>21</v>
      </c>
      <c r="E2175" s="2" t="s">
        <v>32</v>
      </c>
      <c r="F2175">
        <v>418</v>
      </c>
      <c r="G2175">
        <v>483</v>
      </c>
      <c r="H2175">
        <v>201894</v>
      </c>
      <c r="I2175">
        <v>36069.328500000003</v>
      </c>
      <c r="J2175" s="2" t="s">
        <v>46</v>
      </c>
    </row>
    <row r="2176" spans="1:10" x14ac:dyDescent="0.35">
      <c r="A2176" s="1">
        <v>45617</v>
      </c>
      <c r="B2176" s="2" t="s">
        <v>25</v>
      </c>
      <c r="C2176" s="2" t="s">
        <v>11</v>
      </c>
      <c r="D2176" s="2" t="s">
        <v>12</v>
      </c>
      <c r="E2176" s="2" t="s">
        <v>33</v>
      </c>
      <c r="F2176">
        <v>751</v>
      </c>
      <c r="G2176">
        <v>158</v>
      </c>
      <c r="H2176">
        <v>118658</v>
      </c>
      <c r="I2176">
        <v>18760.429899999999</v>
      </c>
      <c r="J2176" s="2" t="s">
        <v>46</v>
      </c>
    </row>
    <row r="2177" spans="1:10" x14ac:dyDescent="0.35">
      <c r="A2177" s="1">
        <v>45617</v>
      </c>
      <c r="B2177" s="2" t="s">
        <v>36</v>
      </c>
      <c r="C2177" s="2" t="s">
        <v>16</v>
      </c>
      <c r="D2177" s="2" t="s">
        <v>21</v>
      </c>
      <c r="E2177" s="2" t="s">
        <v>13</v>
      </c>
      <c r="F2177">
        <v>517</v>
      </c>
      <c r="G2177">
        <v>495</v>
      </c>
      <c r="H2177">
        <v>255915</v>
      </c>
      <c r="I2177">
        <v>24182.036899999999</v>
      </c>
      <c r="J2177" s="2" t="s">
        <v>46</v>
      </c>
    </row>
    <row r="2178" spans="1:10" x14ac:dyDescent="0.35">
      <c r="A2178" s="1">
        <v>45618</v>
      </c>
      <c r="B2178" s="2" t="s">
        <v>31</v>
      </c>
      <c r="C2178" s="2" t="s">
        <v>20</v>
      </c>
      <c r="D2178" s="2" t="s">
        <v>12</v>
      </c>
      <c r="E2178" s="2" t="s">
        <v>24</v>
      </c>
      <c r="F2178">
        <v>266</v>
      </c>
      <c r="G2178">
        <v>473</v>
      </c>
      <c r="H2178">
        <v>125818</v>
      </c>
      <c r="I2178">
        <v>19877.7896</v>
      </c>
      <c r="J2178" s="2" t="s">
        <v>46</v>
      </c>
    </row>
    <row r="2179" spans="1:10" x14ac:dyDescent="0.35">
      <c r="A2179" s="1">
        <v>45619</v>
      </c>
      <c r="B2179" s="2" t="s">
        <v>25</v>
      </c>
      <c r="C2179" s="2" t="s">
        <v>23</v>
      </c>
      <c r="D2179" s="2" t="s">
        <v>12</v>
      </c>
      <c r="E2179" s="2" t="s">
        <v>33</v>
      </c>
      <c r="F2179">
        <v>598</v>
      </c>
      <c r="G2179">
        <v>350</v>
      </c>
      <c r="H2179">
        <v>209300</v>
      </c>
      <c r="I2179">
        <v>25317.314600000002</v>
      </c>
      <c r="J2179" s="2" t="s">
        <v>46</v>
      </c>
    </row>
    <row r="2180" spans="1:10" x14ac:dyDescent="0.35">
      <c r="A2180" s="1">
        <v>45619</v>
      </c>
      <c r="B2180" s="2" t="s">
        <v>25</v>
      </c>
      <c r="C2180" s="2" t="s">
        <v>11</v>
      </c>
      <c r="D2180" s="2" t="s">
        <v>30</v>
      </c>
      <c r="E2180" s="2" t="s">
        <v>18</v>
      </c>
      <c r="F2180">
        <v>750</v>
      </c>
      <c r="G2180">
        <v>402</v>
      </c>
      <c r="H2180">
        <v>301500</v>
      </c>
      <c r="I2180">
        <v>57584.804900000003</v>
      </c>
      <c r="J2180" s="2" t="s">
        <v>46</v>
      </c>
    </row>
    <row r="2181" spans="1:10" x14ac:dyDescent="0.35">
      <c r="A2181" s="1">
        <v>45619</v>
      </c>
      <c r="B2181" s="2" t="s">
        <v>26</v>
      </c>
      <c r="C2181" s="2" t="s">
        <v>11</v>
      </c>
      <c r="D2181" s="2" t="s">
        <v>17</v>
      </c>
      <c r="E2181" s="2" t="s">
        <v>33</v>
      </c>
      <c r="F2181">
        <v>617</v>
      </c>
      <c r="G2181">
        <v>374</v>
      </c>
      <c r="H2181">
        <v>230758</v>
      </c>
      <c r="I2181">
        <v>40242.002800000002</v>
      </c>
      <c r="J2181" s="2" t="s">
        <v>46</v>
      </c>
    </row>
    <row r="2182" spans="1:10" x14ac:dyDescent="0.35">
      <c r="A2182" s="1">
        <v>45619</v>
      </c>
      <c r="B2182" s="2" t="s">
        <v>36</v>
      </c>
      <c r="C2182" s="2" t="s">
        <v>20</v>
      </c>
      <c r="D2182" s="2" t="s">
        <v>30</v>
      </c>
      <c r="E2182" s="2" t="s">
        <v>24</v>
      </c>
      <c r="F2182">
        <v>432</v>
      </c>
      <c r="G2182">
        <v>268</v>
      </c>
      <c r="H2182">
        <v>115776</v>
      </c>
      <c r="I2182">
        <v>16614.232800000002</v>
      </c>
      <c r="J2182" s="2" t="s">
        <v>46</v>
      </c>
    </row>
    <row r="2183" spans="1:10" x14ac:dyDescent="0.35">
      <c r="A2183" s="1">
        <v>45621</v>
      </c>
      <c r="B2183" s="2" t="s">
        <v>26</v>
      </c>
      <c r="C2183" s="2" t="s">
        <v>27</v>
      </c>
      <c r="D2183" s="2" t="s">
        <v>21</v>
      </c>
      <c r="E2183" s="2" t="s">
        <v>33</v>
      </c>
      <c r="F2183">
        <v>576</v>
      </c>
      <c r="G2183">
        <v>297</v>
      </c>
      <c r="H2183">
        <v>171072</v>
      </c>
      <c r="I2183">
        <v>17864.192599999998</v>
      </c>
      <c r="J2183" s="2" t="s">
        <v>46</v>
      </c>
    </row>
    <row r="2184" spans="1:10" x14ac:dyDescent="0.35">
      <c r="A2184" s="1">
        <v>45621</v>
      </c>
      <c r="B2184" s="2" t="s">
        <v>19</v>
      </c>
      <c r="C2184" s="2" t="s">
        <v>23</v>
      </c>
      <c r="D2184" s="2" t="s">
        <v>21</v>
      </c>
      <c r="E2184" s="2" t="s">
        <v>32</v>
      </c>
      <c r="F2184">
        <v>855</v>
      </c>
      <c r="G2184">
        <v>236</v>
      </c>
      <c r="H2184">
        <v>201780</v>
      </c>
      <c r="I2184">
        <v>23687.3089</v>
      </c>
      <c r="J2184" s="2" t="s">
        <v>46</v>
      </c>
    </row>
    <row r="2185" spans="1:10" x14ac:dyDescent="0.35">
      <c r="A2185" s="1">
        <v>45621</v>
      </c>
      <c r="B2185" s="2" t="s">
        <v>34</v>
      </c>
      <c r="C2185" s="2" t="s">
        <v>29</v>
      </c>
      <c r="D2185" s="2" t="s">
        <v>21</v>
      </c>
      <c r="E2185" s="2" t="s">
        <v>32</v>
      </c>
      <c r="F2185">
        <v>297</v>
      </c>
      <c r="G2185">
        <v>147</v>
      </c>
      <c r="H2185">
        <v>43659</v>
      </c>
      <c r="I2185">
        <v>5671.9183000000003</v>
      </c>
      <c r="J2185" s="2" t="s">
        <v>46</v>
      </c>
    </row>
    <row r="2186" spans="1:10" x14ac:dyDescent="0.35">
      <c r="A2186" s="1">
        <v>45622</v>
      </c>
      <c r="B2186" s="2" t="s">
        <v>15</v>
      </c>
      <c r="C2186" s="2" t="s">
        <v>23</v>
      </c>
      <c r="D2186" s="2" t="s">
        <v>12</v>
      </c>
      <c r="E2186" s="2" t="s">
        <v>33</v>
      </c>
      <c r="F2186">
        <v>454</v>
      </c>
      <c r="G2186">
        <v>405</v>
      </c>
      <c r="H2186">
        <v>183870</v>
      </c>
      <c r="I2186">
        <v>22612.517500000002</v>
      </c>
      <c r="J2186" s="2" t="s">
        <v>46</v>
      </c>
    </row>
    <row r="2187" spans="1:10" x14ac:dyDescent="0.35">
      <c r="A2187" s="1">
        <v>45622</v>
      </c>
      <c r="B2187" s="2" t="s">
        <v>26</v>
      </c>
      <c r="C2187" s="2" t="s">
        <v>11</v>
      </c>
      <c r="D2187" s="2" t="s">
        <v>21</v>
      </c>
      <c r="E2187" s="2" t="s">
        <v>22</v>
      </c>
      <c r="F2187">
        <v>489</v>
      </c>
      <c r="G2187">
        <v>385</v>
      </c>
      <c r="H2187">
        <v>188265</v>
      </c>
      <c r="I2187">
        <v>37255.128799999999</v>
      </c>
      <c r="J2187" s="2" t="s">
        <v>46</v>
      </c>
    </row>
    <row r="2188" spans="1:10" x14ac:dyDescent="0.35">
      <c r="A2188" s="1">
        <v>45622</v>
      </c>
      <c r="B2188" s="2" t="s">
        <v>34</v>
      </c>
      <c r="C2188" s="2" t="s">
        <v>29</v>
      </c>
      <c r="D2188" s="2" t="s">
        <v>21</v>
      </c>
      <c r="E2188" s="2" t="s">
        <v>13</v>
      </c>
      <c r="F2188">
        <v>699</v>
      </c>
      <c r="G2188">
        <v>285</v>
      </c>
      <c r="H2188">
        <v>199215</v>
      </c>
      <c r="I2188">
        <v>43742.018900000003</v>
      </c>
      <c r="J2188" s="2" t="s">
        <v>46</v>
      </c>
    </row>
    <row r="2189" spans="1:10" x14ac:dyDescent="0.35">
      <c r="A2189" s="1">
        <v>45623</v>
      </c>
      <c r="B2189" s="2" t="s">
        <v>10</v>
      </c>
      <c r="C2189" s="2" t="s">
        <v>23</v>
      </c>
      <c r="D2189" s="2" t="s">
        <v>21</v>
      </c>
      <c r="E2189" s="2" t="s">
        <v>18</v>
      </c>
      <c r="F2189">
        <v>83</v>
      </c>
      <c r="G2189">
        <v>310</v>
      </c>
      <c r="H2189">
        <v>25730</v>
      </c>
      <c r="I2189">
        <v>6382.6812</v>
      </c>
      <c r="J2189" s="2" t="s">
        <v>46</v>
      </c>
    </row>
    <row r="2190" spans="1:10" x14ac:dyDescent="0.35">
      <c r="A2190" s="1">
        <v>45623</v>
      </c>
      <c r="B2190" s="2" t="s">
        <v>34</v>
      </c>
      <c r="C2190" s="2" t="s">
        <v>27</v>
      </c>
      <c r="D2190" s="2" t="s">
        <v>17</v>
      </c>
      <c r="E2190" s="2" t="s">
        <v>13</v>
      </c>
      <c r="F2190">
        <v>105</v>
      </c>
      <c r="G2190">
        <v>202</v>
      </c>
      <c r="H2190">
        <v>21210</v>
      </c>
      <c r="I2190">
        <v>4047.4013</v>
      </c>
      <c r="J2190" s="2" t="s">
        <v>46</v>
      </c>
    </row>
    <row r="2191" spans="1:10" x14ac:dyDescent="0.35">
      <c r="A2191" s="1">
        <v>45624</v>
      </c>
      <c r="B2191" s="2" t="s">
        <v>19</v>
      </c>
      <c r="C2191" s="2" t="s">
        <v>11</v>
      </c>
      <c r="D2191" s="2" t="s">
        <v>17</v>
      </c>
      <c r="E2191" s="2" t="s">
        <v>13</v>
      </c>
      <c r="F2191">
        <v>198</v>
      </c>
      <c r="G2191">
        <v>319</v>
      </c>
      <c r="H2191">
        <v>63162</v>
      </c>
      <c r="I2191">
        <v>6181.6809000000003</v>
      </c>
      <c r="J2191" s="2" t="s">
        <v>46</v>
      </c>
    </row>
    <row r="2192" spans="1:10" x14ac:dyDescent="0.35">
      <c r="A2192" s="1">
        <v>45624</v>
      </c>
      <c r="B2192" s="2" t="s">
        <v>26</v>
      </c>
      <c r="C2192" s="2" t="s">
        <v>20</v>
      </c>
      <c r="D2192" s="2" t="s">
        <v>17</v>
      </c>
      <c r="E2192" s="2" t="s">
        <v>28</v>
      </c>
      <c r="F2192">
        <v>925</v>
      </c>
      <c r="G2192">
        <v>114</v>
      </c>
      <c r="H2192">
        <v>105450</v>
      </c>
      <c r="I2192">
        <v>20902.635200000001</v>
      </c>
      <c r="J2192" s="2" t="s">
        <v>46</v>
      </c>
    </row>
    <row r="2193" spans="1:10" x14ac:dyDescent="0.35">
      <c r="A2193" s="1">
        <v>45624</v>
      </c>
      <c r="B2193" s="2" t="s">
        <v>31</v>
      </c>
      <c r="C2193" s="2" t="s">
        <v>29</v>
      </c>
      <c r="D2193" s="2" t="s">
        <v>17</v>
      </c>
      <c r="E2193" s="2" t="s">
        <v>24</v>
      </c>
      <c r="F2193">
        <v>820</v>
      </c>
      <c r="G2193">
        <v>419</v>
      </c>
      <c r="H2193">
        <v>343580</v>
      </c>
      <c r="I2193">
        <v>61239.075599999996</v>
      </c>
      <c r="J2193" s="2" t="s">
        <v>46</v>
      </c>
    </row>
    <row r="2194" spans="1:10" x14ac:dyDescent="0.35">
      <c r="A2194" s="1">
        <v>45624</v>
      </c>
      <c r="B2194" s="2" t="s">
        <v>25</v>
      </c>
      <c r="C2194" s="2" t="s">
        <v>23</v>
      </c>
      <c r="D2194" s="2" t="s">
        <v>17</v>
      </c>
      <c r="E2194" s="2" t="s">
        <v>32</v>
      </c>
      <c r="F2194">
        <v>793</v>
      </c>
      <c r="G2194">
        <v>201</v>
      </c>
      <c r="H2194">
        <v>159393</v>
      </c>
      <c r="I2194">
        <v>27527.809399999998</v>
      </c>
      <c r="J2194" s="2" t="s">
        <v>46</v>
      </c>
    </row>
    <row r="2195" spans="1:10" x14ac:dyDescent="0.35">
      <c r="A2195" s="1">
        <v>45624</v>
      </c>
      <c r="B2195" s="2" t="s">
        <v>34</v>
      </c>
      <c r="C2195" s="2" t="s">
        <v>27</v>
      </c>
      <c r="D2195" s="2" t="s">
        <v>17</v>
      </c>
      <c r="E2195" s="2" t="s">
        <v>13</v>
      </c>
      <c r="F2195">
        <v>112</v>
      </c>
      <c r="G2195">
        <v>464</v>
      </c>
      <c r="H2195">
        <v>51968</v>
      </c>
      <c r="I2195">
        <v>11304.4701</v>
      </c>
      <c r="J2195" s="2" t="s">
        <v>46</v>
      </c>
    </row>
    <row r="2196" spans="1:10" x14ac:dyDescent="0.35">
      <c r="A2196" s="1">
        <v>45625</v>
      </c>
      <c r="B2196" s="2" t="s">
        <v>10</v>
      </c>
      <c r="C2196" s="2" t="s">
        <v>20</v>
      </c>
      <c r="D2196" s="2" t="s">
        <v>21</v>
      </c>
      <c r="E2196" s="2" t="s">
        <v>32</v>
      </c>
      <c r="F2196">
        <v>961</v>
      </c>
      <c r="G2196">
        <v>442</v>
      </c>
      <c r="H2196">
        <v>424762</v>
      </c>
      <c r="I2196">
        <v>59245.134899999997</v>
      </c>
      <c r="J2196" s="2" t="s">
        <v>46</v>
      </c>
    </row>
    <row r="2197" spans="1:10" x14ac:dyDescent="0.35">
      <c r="A2197" s="1">
        <v>45625</v>
      </c>
      <c r="B2197" s="2" t="s">
        <v>31</v>
      </c>
      <c r="C2197" s="2" t="s">
        <v>23</v>
      </c>
      <c r="D2197" s="2" t="s">
        <v>21</v>
      </c>
      <c r="E2197" s="2" t="s">
        <v>22</v>
      </c>
      <c r="F2197">
        <v>689</v>
      </c>
      <c r="G2197">
        <v>319</v>
      </c>
      <c r="H2197">
        <v>219791</v>
      </c>
      <c r="I2197">
        <v>32636.144799999998</v>
      </c>
      <c r="J2197" s="2" t="s">
        <v>46</v>
      </c>
    </row>
    <row r="2198" spans="1:10" x14ac:dyDescent="0.35">
      <c r="A2198" s="1">
        <v>45625</v>
      </c>
      <c r="B2198" s="2" t="s">
        <v>10</v>
      </c>
      <c r="C2198" s="2" t="s">
        <v>27</v>
      </c>
      <c r="D2198" s="2" t="s">
        <v>12</v>
      </c>
      <c r="E2198" s="2" t="s">
        <v>13</v>
      </c>
      <c r="F2198">
        <v>397</v>
      </c>
      <c r="G2198">
        <v>457</v>
      </c>
      <c r="H2198">
        <v>181429</v>
      </c>
      <c r="I2198">
        <v>21508.208699999999</v>
      </c>
      <c r="J2198" s="2" t="s">
        <v>46</v>
      </c>
    </row>
    <row r="2199" spans="1:10" x14ac:dyDescent="0.35">
      <c r="A2199" s="1">
        <v>45626</v>
      </c>
      <c r="B2199" s="2" t="s">
        <v>31</v>
      </c>
      <c r="C2199" s="2" t="s">
        <v>20</v>
      </c>
      <c r="D2199" s="2" t="s">
        <v>17</v>
      </c>
      <c r="E2199" s="2" t="s">
        <v>33</v>
      </c>
      <c r="F2199">
        <v>690</v>
      </c>
      <c r="G2199">
        <v>284</v>
      </c>
      <c r="H2199">
        <v>195960</v>
      </c>
      <c r="I2199">
        <v>48387.987999999998</v>
      </c>
      <c r="J2199" s="2" t="s">
        <v>46</v>
      </c>
    </row>
    <row r="2200" spans="1:10" x14ac:dyDescent="0.35">
      <c r="A2200" s="1">
        <v>45626</v>
      </c>
      <c r="B2200" s="2" t="s">
        <v>34</v>
      </c>
      <c r="C2200" s="2" t="s">
        <v>23</v>
      </c>
      <c r="D2200" s="2" t="s">
        <v>21</v>
      </c>
      <c r="E2200" s="2" t="s">
        <v>24</v>
      </c>
      <c r="F2200">
        <v>410</v>
      </c>
      <c r="G2200">
        <v>193</v>
      </c>
      <c r="H2200">
        <v>79130</v>
      </c>
      <c r="I2200">
        <v>18715.924999999999</v>
      </c>
      <c r="J2200" s="2" t="s">
        <v>46</v>
      </c>
    </row>
    <row r="2201" spans="1:10" x14ac:dyDescent="0.35">
      <c r="A2201" s="1">
        <v>45626</v>
      </c>
      <c r="B2201" s="2" t="s">
        <v>36</v>
      </c>
      <c r="C2201" s="2" t="s">
        <v>16</v>
      </c>
      <c r="D2201" s="2" t="s">
        <v>30</v>
      </c>
      <c r="E2201" s="2" t="s">
        <v>35</v>
      </c>
      <c r="F2201">
        <v>727</v>
      </c>
      <c r="G2201">
        <v>201</v>
      </c>
      <c r="H2201">
        <v>146127</v>
      </c>
      <c r="I2201">
        <v>35991.410499999998</v>
      </c>
      <c r="J2201" s="2" t="s">
        <v>46</v>
      </c>
    </row>
    <row r="2202" spans="1:10" x14ac:dyDescent="0.35">
      <c r="A2202" s="1">
        <v>45626</v>
      </c>
      <c r="B2202" s="2" t="s">
        <v>26</v>
      </c>
      <c r="C2202" s="2" t="s">
        <v>23</v>
      </c>
      <c r="D2202" s="2" t="s">
        <v>30</v>
      </c>
      <c r="E2202" s="2" t="s">
        <v>22</v>
      </c>
      <c r="F2202">
        <v>227</v>
      </c>
      <c r="G2202">
        <v>407</v>
      </c>
      <c r="H2202">
        <v>92389</v>
      </c>
      <c r="I2202">
        <v>17925.7631</v>
      </c>
      <c r="J2202" s="2" t="s">
        <v>46</v>
      </c>
    </row>
    <row r="2203" spans="1:10" x14ac:dyDescent="0.35">
      <c r="A2203" s="1">
        <v>45626</v>
      </c>
      <c r="B2203" s="2" t="s">
        <v>25</v>
      </c>
      <c r="C2203" s="2" t="s">
        <v>16</v>
      </c>
      <c r="D2203" s="2" t="s">
        <v>12</v>
      </c>
      <c r="E2203" s="2" t="s">
        <v>13</v>
      </c>
      <c r="F2203">
        <v>607</v>
      </c>
      <c r="G2203">
        <v>387</v>
      </c>
      <c r="H2203">
        <v>234909</v>
      </c>
      <c r="I2203">
        <v>41428.183700000001</v>
      </c>
      <c r="J2203" s="2" t="s">
        <v>46</v>
      </c>
    </row>
    <row r="2204" spans="1:10" x14ac:dyDescent="0.35">
      <c r="A2204" s="1">
        <v>45626</v>
      </c>
      <c r="B2204" s="2" t="s">
        <v>36</v>
      </c>
      <c r="C2204" s="2" t="s">
        <v>29</v>
      </c>
      <c r="D2204" s="2" t="s">
        <v>12</v>
      </c>
      <c r="E2204" s="2" t="s">
        <v>35</v>
      </c>
      <c r="F2204">
        <v>72</v>
      </c>
      <c r="G2204">
        <v>167</v>
      </c>
      <c r="H2204">
        <v>12024</v>
      </c>
      <c r="I2204">
        <v>1350.6593</v>
      </c>
      <c r="J2204" s="2" t="s">
        <v>46</v>
      </c>
    </row>
    <row r="2205" spans="1:10" x14ac:dyDescent="0.35">
      <c r="A2205" s="1">
        <v>45626</v>
      </c>
      <c r="B2205" s="2" t="s">
        <v>10</v>
      </c>
      <c r="C2205" s="2" t="s">
        <v>20</v>
      </c>
      <c r="D2205" s="2" t="s">
        <v>12</v>
      </c>
      <c r="E2205" s="2" t="s">
        <v>24</v>
      </c>
      <c r="F2205">
        <v>325</v>
      </c>
      <c r="G2205">
        <v>479</v>
      </c>
      <c r="H2205">
        <v>155675</v>
      </c>
      <c r="I2205">
        <v>26143.564200000001</v>
      </c>
      <c r="J2205" s="2" t="s">
        <v>46</v>
      </c>
    </row>
    <row r="2206" spans="1:10" x14ac:dyDescent="0.35">
      <c r="A2206" s="1">
        <v>45626</v>
      </c>
      <c r="B2206" s="2" t="s">
        <v>19</v>
      </c>
      <c r="C2206" s="2" t="s">
        <v>16</v>
      </c>
      <c r="D2206" s="2" t="s">
        <v>12</v>
      </c>
      <c r="E2206" s="2" t="s">
        <v>22</v>
      </c>
      <c r="F2206">
        <v>785</v>
      </c>
      <c r="G2206">
        <v>188</v>
      </c>
      <c r="H2206">
        <v>147580</v>
      </c>
      <c r="I2206">
        <v>35717.700400000002</v>
      </c>
      <c r="J2206" s="2" t="s">
        <v>46</v>
      </c>
    </row>
    <row r="2207" spans="1:10" x14ac:dyDescent="0.35">
      <c r="A2207" s="1">
        <v>45626</v>
      </c>
      <c r="B2207" s="2" t="s">
        <v>15</v>
      </c>
      <c r="C2207" s="2" t="s">
        <v>29</v>
      </c>
      <c r="D2207" s="2" t="s">
        <v>21</v>
      </c>
      <c r="E2207" s="2" t="s">
        <v>24</v>
      </c>
      <c r="F2207">
        <v>885</v>
      </c>
      <c r="G2207">
        <v>498</v>
      </c>
      <c r="H2207">
        <v>440730</v>
      </c>
      <c r="I2207">
        <v>58785.161200000002</v>
      </c>
      <c r="J2207" s="2" t="s">
        <v>46</v>
      </c>
    </row>
    <row r="2208" spans="1:10" x14ac:dyDescent="0.35">
      <c r="A2208" s="1">
        <v>45627</v>
      </c>
      <c r="B2208" s="2" t="s">
        <v>34</v>
      </c>
      <c r="C2208" s="2" t="s">
        <v>16</v>
      </c>
      <c r="D2208" s="2" t="s">
        <v>12</v>
      </c>
      <c r="E2208" s="2" t="s">
        <v>24</v>
      </c>
      <c r="F2208">
        <v>633</v>
      </c>
      <c r="G2208">
        <v>383</v>
      </c>
      <c r="H2208">
        <v>242439</v>
      </c>
      <c r="I2208">
        <v>58239.905899999998</v>
      </c>
      <c r="J2208" s="2" t="s">
        <v>47</v>
      </c>
    </row>
    <row r="2209" spans="1:10" x14ac:dyDescent="0.35">
      <c r="A2209" s="1">
        <v>45627</v>
      </c>
      <c r="B2209" s="2" t="s">
        <v>25</v>
      </c>
      <c r="C2209" s="2" t="s">
        <v>23</v>
      </c>
      <c r="D2209" s="2" t="s">
        <v>21</v>
      </c>
      <c r="E2209" s="2" t="s">
        <v>24</v>
      </c>
      <c r="F2209">
        <v>267</v>
      </c>
      <c r="G2209">
        <v>251</v>
      </c>
      <c r="H2209">
        <v>67017</v>
      </c>
      <c r="I2209">
        <v>7595.9705000000004</v>
      </c>
      <c r="J2209" s="2" t="s">
        <v>47</v>
      </c>
    </row>
    <row r="2210" spans="1:10" x14ac:dyDescent="0.35">
      <c r="A2210" s="1">
        <v>45627</v>
      </c>
      <c r="B2210" s="2" t="s">
        <v>15</v>
      </c>
      <c r="C2210" s="2" t="s">
        <v>27</v>
      </c>
      <c r="D2210" s="2" t="s">
        <v>12</v>
      </c>
      <c r="E2210" s="2" t="s">
        <v>35</v>
      </c>
      <c r="F2210">
        <v>615</v>
      </c>
      <c r="G2210">
        <v>124</v>
      </c>
      <c r="H2210">
        <v>76260</v>
      </c>
      <c r="I2210">
        <v>12149.977000000001</v>
      </c>
      <c r="J2210" s="2" t="s">
        <v>47</v>
      </c>
    </row>
    <row r="2211" spans="1:10" x14ac:dyDescent="0.35">
      <c r="A2211" s="1">
        <v>45628</v>
      </c>
      <c r="B2211" s="2" t="s">
        <v>26</v>
      </c>
      <c r="C2211" s="2" t="s">
        <v>20</v>
      </c>
      <c r="D2211" s="2" t="s">
        <v>21</v>
      </c>
      <c r="E2211" s="2" t="s">
        <v>13</v>
      </c>
      <c r="F2211">
        <v>734</v>
      </c>
      <c r="G2211">
        <v>168</v>
      </c>
      <c r="H2211">
        <v>123312</v>
      </c>
      <c r="I2211">
        <v>15426.3429</v>
      </c>
      <c r="J2211" s="2" t="s">
        <v>47</v>
      </c>
    </row>
    <row r="2212" spans="1:10" x14ac:dyDescent="0.35">
      <c r="A2212" s="1">
        <v>45628</v>
      </c>
      <c r="B2212" s="2" t="s">
        <v>31</v>
      </c>
      <c r="C2212" s="2" t="s">
        <v>29</v>
      </c>
      <c r="D2212" s="2" t="s">
        <v>17</v>
      </c>
      <c r="E2212" s="2" t="s">
        <v>33</v>
      </c>
      <c r="F2212">
        <v>394</v>
      </c>
      <c r="G2212">
        <v>403</v>
      </c>
      <c r="H2212">
        <v>158782</v>
      </c>
      <c r="I2212">
        <v>32042.6489</v>
      </c>
      <c r="J2212" s="2" t="s">
        <v>47</v>
      </c>
    </row>
    <row r="2213" spans="1:10" x14ac:dyDescent="0.35">
      <c r="A2213" s="1">
        <v>45628</v>
      </c>
      <c r="B2213" s="2" t="s">
        <v>10</v>
      </c>
      <c r="C2213" s="2" t="s">
        <v>20</v>
      </c>
      <c r="D2213" s="2" t="s">
        <v>21</v>
      </c>
      <c r="E2213" s="2" t="s">
        <v>35</v>
      </c>
      <c r="F2213">
        <v>947</v>
      </c>
      <c r="G2213">
        <v>391</v>
      </c>
      <c r="H2213">
        <v>370277</v>
      </c>
      <c r="I2213">
        <v>81233.550399999993</v>
      </c>
      <c r="J2213" s="2" t="s">
        <v>47</v>
      </c>
    </row>
    <row r="2214" spans="1:10" x14ac:dyDescent="0.35">
      <c r="A2214" s="1">
        <v>45629</v>
      </c>
      <c r="B2214" s="2" t="s">
        <v>15</v>
      </c>
      <c r="C2214" s="2" t="s">
        <v>27</v>
      </c>
      <c r="D2214" s="2" t="s">
        <v>30</v>
      </c>
      <c r="E2214" s="2" t="s">
        <v>35</v>
      </c>
      <c r="F2214">
        <v>974</v>
      </c>
      <c r="G2214">
        <v>339</v>
      </c>
      <c r="H2214">
        <v>330186</v>
      </c>
      <c r="I2214">
        <v>72188.657699999996</v>
      </c>
      <c r="J2214" s="2" t="s">
        <v>47</v>
      </c>
    </row>
    <row r="2215" spans="1:10" x14ac:dyDescent="0.35">
      <c r="A2215" s="1">
        <v>45629</v>
      </c>
      <c r="B2215" s="2" t="s">
        <v>15</v>
      </c>
      <c r="C2215" s="2" t="s">
        <v>23</v>
      </c>
      <c r="D2215" s="2" t="s">
        <v>12</v>
      </c>
      <c r="E2215" s="2" t="s">
        <v>32</v>
      </c>
      <c r="F2215">
        <v>224</v>
      </c>
      <c r="G2215">
        <v>136</v>
      </c>
      <c r="H2215">
        <v>30464</v>
      </c>
      <c r="I2215">
        <v>3254.0556000000001</v>
      </c>
      <c r="J2215" s="2" t="s">
        <v>47</v>
      </c>
    </row>
    <row r="2216" spans="1:10" x14ac:dyDescent="0.35">
      <c r="A2216" s="1">
        <v>45629</v>
      </c>
      <c r="B2216" s="2" t="s">
        <v>15</v>
      </c>
      <c r="C2216" s="2" t="s">
        <v>20</v>
      </c>
      <c r="D2216" s="2" t="s">
        <v>17</v>
      </c>
      <c r="E2216" s="2" t="s">
        <v>35</v>
      </c>
      <c r="F2216">
        <v>229</v>
      </c>
      <c r="G2216">
        <v>272</v>
      </c>
      <c r="H2216">
        <v>62288</v>
      </c>
      <c r="I2216">
        <v>6808.1733999999997</v>
      </c>
      <c r="J2216" s="2" t="s">
        <v>47</v>
      </c>
    </row>
    <row r="2217" spans="1:10" x14ac:dyDescent="0.35">
      <c r="A2217" s="1">
        <v>45629</v>
      </c>
      <c r="B2217" s="2" t="s">
        <v>34</v>
      </c>
      <c r="C2217" s="2" t="s">
        <v>27</v>
      </c>
      <c r="D2217" s="2" t="s">
        <v>30</v>
      </c>
      <c r="E2217" s="2" t="s">
        <v>22</v>
      </c>
      <c r="F2217">
        <v>570</v>
      </c>
      <c r="G2217">
        <v>149</v>
      </c>
      <c r="H2217">
        <v>84930</v>
      </c>
      <c r="I2217">
        <v>14892.638499999999</v>
      </c>
      <c r="J2217" s="2" t="s">
        <v>47</v>
      </c>
    </row>
    <row r="2218" spans="1:10" x14ac:dyDescent="0.35">
      <c r="A2218" s="1">
        <v>45629</v>
      </c>
      <c r="B2218" s="2" t="s">
        <v>26</v>
      </c>
      <c r="C2218" s="2" t="s">
        <v>16</v>
      </c>
      <c r="D2218" s="2" t="s">
        <v>12</v>
      </c>
      <c r="E2218" s="2" t="s">
        <v>33</v>
      </c>
      <c r="F2218">
        <v>187</v>
      </c>
      <c r="G2218">
        <v>249</v>
      </c>
      <c r="H2218">
        <v>46563</v>
      </c>
      <c r="I2218">
        <v>5863.4458999999997</v>
      </c>
      <c r="J2218" s="2" t="s">
        <v>47</v>
      </c>
    </row>
    <row r="2219" spans="1:10" x14ac:dyDescent="0.35">
      <c r="A2219" s="1">
        <v>45630</v>
      </c>
      <c r="B2219" s="2" t="s">
        <v>19</v>
      </c>
      <c r="C2219" s="2" t="s">
        <v>29</v>
      </c>
      <c r="D2219" s="2" t="s">
        <v>30</v>
      </c>
      <c r="E2219" s="2" t="s">
        <v>24</v>
      </c>
      <c r="F2219">
        <v>658</v>
      </c>
      <c r="G2219">
        <v>293</v>
      </c>
      <c r="H2219">
        <v>192794</v>
      </c>
      <c r="I2219">
        <v>38172.880499999999</v>
      </c>
      <c r="J2219" s="2" t="s">
        <v>47</v>
      </c>
    </row>
    <row r="2220" spans="1:10" x14ac:dyDescent="0.35">
      <c r="A2220" s="1">
        <v>45630</v>
      </c>
      <c r="B2220" s="2" t="s">
        <v>31</v>
      </c>
      <c r="C2220" s="2" t="s">
        <v>23</v>
      </c>
      <c r="D2220" s="2" t="s">
        <v>12</v>
      </c>
      <c r="E2220" s="2" t="s">
        <v>22</v>
      </c>
      <c r="F2220">
        <v>130</v>
      </c>
      <c r="G2220">
        <v>433</v>
      </c>
      <c r="H2220">
        <v>56290</v>
      </c>
      <c r="I2220">
        <v>13702.1487</v>
      </c>
      <c r="J2220" s="2" t="s">
        <v>47</v>
      </c>
    </row>
    <row r="2221" spans="1:10" x14ac:dyDescent="0.35">
      <c r="A2221" s="1">
        <v>45630</v>
      </c>
      <c r="B2221" s="2" t="s">
        <v>19</v>
      </c>
      <c r="C2221" s="2" t="s">
        <v>27</v>
      </c>
      <c r="D2221" s="2" t="s">
        <v>17</v>
      </c>
      <c r="E2221" s="2" t="s">
        <v>28</v>
      </c>
      <c r="F2221">
        <v>891</v>
      </c>
      <c r="G2221">
        <v>376</v>
      </c>
      <c r="H2221">
        <v>335016</v>
      </c>
      <c r="I2221">
        <v>51396.475299999998</v>
      </c>
      <c r="J2221" s="2" t="s">
        <v>47</v>
      </c>
    </row>
    <row r="2222" spans="1:10" x14ac:dyDescent="0.35">
      <c r="A2222" s="1">
        <v>45630</v>
      </c>
      <c r="B2222" s="2" t="s">
        <v>34</v>
      </c>
      <c r="C2222" s="2" t="s">
        <v>29</v>
      </c>
      <c r="D2222" s="2" t="s">
        <v>30</v>
      </c>
      <c r="E2222" s="2" t="s">
        <v>22</v>
      </c>
      <c r="F2222">
        <v>477</v>
      </c>
      <c r="G2222">
        <v>367</v>
      </c>
      <c r="H2222">
        <v>175059</v>
      </c>
      <c r="I2222">
        <v>15829.6343</v>
      </c>
      <c r="J2222" s="2" t="s">
        <v>47</v>
      </c>
    </row>
    <row r="2223" spans="1:10" x14ac:dyDescent="0.35">
      <c r="A2223" s="1">
        <v>45630</v>
      </c>
      <c r="B2223" s="2" t="s">
        <v>31</v>
      </c>
      <c r="C2223" s="2" t="s">
        <v>29</v>
      </c>
      <c r="D2223" s="2" t="s">
        <v>30</v>
      </c>
      <c r="E2223" s="2" t="s">
        <v>32</v>
      </c>
      <c r="F2223">
        <v>401</v>
      </c>
      <c r="G2223">
        <v>441</v>
      </c>
      <c r="H2223">
        <v>176841</v>
      </c>
      <c r="I2223">
        <v>22313.4889</v>
      </c>
      <c r="J2223" s="2" t="s">
        <v>47</v>
      </c>
    </row>
    <row r="2224" spans="1:10" x14ac:dyDescent="0.35">
      <c r="A2224" s="1">
        <v>45630</v>
      </c>
      <c r="B2224" s="2" t="s">
        <v>31</v>
      </c>
      <c r="C2224" s="2" t="s">
        <v>23</v>
      </c>
      <c r="D2224" s="2" t="s">
        <v>12</v>
      </c>
      <c r="E2224" s="2" t="s">
        <v>24</v>
      </c>
      <c r="F2224">
        <v>222</v>
      </c>
      <c r="G2224">
        <v>486</v>
      </c>
      <c r="H2224">
        <v>107892</v>
      </c>
      <c r="I2224">
        <v>22402.820199999998</v>
      </c>
      <c r="J2224" s="2" t="s">
        <v>47</v>
      </c>
    </row>
    <row r="2225" spans="1:10" x14ac:dyDescent="0.35">
      <c r="A2225" s="1">
        <v>45631</v>
      </c>
      <c r="B2225" s="2" t="s">
        <v>34</v>
      </c>
      <c r="C2225" s="2" t="s">
        <v>11</v>
      </c>
      <c r="D2225" s="2" t="s">
        <v>12</v>
      </c>
      <c r="E2225" s="2" t="s">
        <v>35</v>
      </c>
      <c r="F2225">
        <v>746</v>
      </c>
      <c r="G2225">
        <v>403</v>
      </c>
      <c r="H2225">
        <v>300638</v>
      </c>
      <c r="I2225">
        <v>67476.601200000005</v>
      </c>
      <c r="J2225" s="2" t="s">
        <v>47</v>
      </c>
    </row>
    <row r="2226" spans="1:10" x14ac:dyDescent="0.35">
      <c r="A2226" s="1">
        <v>45631</v>
      </c>
      <c r="B2226" s="2" t="s">
        <v>10</v>
      </c>
      <c r="C2226" s="2" t="s">
        <v>23</v>
      </c>
      <c r="D2226" s="2" t="s">
        <v>12</v>
      </c>
      <c r="E2226" s="2" t="s">
        <v>35</v>
      </c>
      <c r="F2226">
        <v>227</v>
      </c>
      <c r="G2226">
        <v>255</v>
      </c>
      <c r="H2226">
        <v>57885</v>
      </c>
      <c r="I2226">
        <v>13249.261399999999</v>
      </c>
      <c r="J2226" s="2" t="s">
        <v>47</v>
      </c>
    </row>
    <row r="2227" spans="1:10" x14ac:dyDescent="0.35">
      <c r="A2227" s="1">
        <v>45633</v>
      </c>
      <c r="B2227" s="2" t="s">
        <v>31</v>
      </c>
      <c r="C2227" s="2" t="s">
        <v>20</v>
      </c>
      <c r="D2227" s="2" t="s">
        <v>30</v>
      </c>
      <c r="E2227" s="2" t="s">
        <v>24</v>
      </c>
      <c r="F2227">
        <v>197</v>
      </c>
      <c r="G2227">
        <v>275</v>
      </c>
      <c r="H2227">
        <v>54175</v>
      </c>
      <c r="I2227">
        <v>6523.4279999999999</v>
      </c>
      <c r="J2227" s="2" t="s">
        <v>47</v>
      </c>
    </row>
    <row r="2228" spans="1:10" x14ac:dyDescent="0.35">
      <c r="A2228" s="1">
        <v>45633</v>
      </c>
      <c r="B2228" s="2" t="s">
        <v>34</v>
      </c>
      <c r="C2228" s="2" t="s">
        <v>23</v>
      </c>
      <c r="D2228" s="2" t="s">
        <v>12</v>
      </c>
      <c r="E2228" s="2" t="s">
        <v>13</v>
      </c>
      <c r="F2228">
        <v>53</v>
      </c>
      <c r="G2228">
        <v>131</v>
      </c>
      <c r="H2228">
        <v>6943</v>
      </c>
      <c r="I2228">
        <v>655.62090000000001</v>
      </c>
      <c r="J2228" s="2" t="s">
        <v>47</v>
      </c>
    </row>
    <row r="2229" spans="1:10" x14ac:dyDescent="0.35">
      <c r="A2229" s="1">
        <v>45634</v>
      </c>
      <c r="B2229" s="2" t="s">
        <v>25</v>
      </c>
      <c r="C2229" s="2" t="s">
        <v>11</v>
      </c>
      <c r="D2229" s="2" t="s">
        <v>21</v>
      </c>
      <c r="E2229" s="2" t="s">
        <v>22</v>
      </c>
      <c r="F2229">
        <v>802</v>
      </c>
      <c r="G2229">
        <v>397</v>
      </c>
      <c r="H2229">
        <v>318394</v>
      </c>
      <c r="I2229">
        <v>41185.697500000002</v>
      </c>
      <c r="J2229" s="2" t="s">
        <v>47</v>
      </c>
    </row>
    <row r="2230" spans="1:10" x14ac:dyDescent="0.35">
      <c r="A2230" s="1">
        <v>45635</v>
      </c>
      <c r="B2230" s="2" t="s">
        <v>25</v>
      </c>
      <c r="C2230" s="2" t="s">
        <v>29</v>
      </c>
      <c r="D2230" s="2" t="s">
        <v>12</v>
      </c>
      <c r="E2230" s="2" t="s">
        <v>24</v>
      </c>
      <c r="F2230">
        <v>231</v>
      </c>
      <c r="G2230">
        <v>385</v>
      </c>
      <c r="H2230">
        <v>88935</v>
      </c>
      <c r="I2230">
        <v>8900.2990000000009</v>
      </c>
      <c r="J2230" s="2" t="s">
        <v>47</v>
      </c>
    </row>
    <row r="2231" spans="1:10" x14ac:dyDescent="0.35">
      <c r="A2231" s="1">
        <v>45635</v>
      </c>
      <c r="B2231" s="2" t="s">
        <v>31</v>
      </c>
      <c r="C2231" s="2" t="s">
        <v>20</v>
      </c>
      <c r="D2231" s="2" t="s">
        <v>17</v>
      </c>
      <c r="E2231" s="2" t="s">
        <v>33</v>
      </c>
      <c r="F2231">
        <v>283</v>
      </c>
      <c r="G2231">
        <v>327</v>
      </c>
      <c r="H2231">
        <v>92541</v>
      </c>
      <c r="I2231">
        <v>22172.3891</v>
      </c>
      <c r="J2231" s="2" t="s">
        <v>47</v>
      </c>
    </row>
    <row r="2232" spans="1:10" x14ac:dyDescent="0.35">
      <c r="A2232" s="1">
        <v>45635</v>
      </c>
      <c r="B2232" s="2" t="s">
        <v>36</v>
      </c>
      <c r="C2232" s="2" t="s">
        <v>11</v>
      </c>
      <c r="D2232" s="2" t="s">
        <v>21</v>
      </c>
      <c r="E2232" s="2" t="s">
        <v>28</v>
      </c>
      <c r="F2232">
        <v>459</v>
      </c>
      <c r="G2232">
        <v>352</v>
      </c>
      <c r="H2232">
        <v>161568</v>
      </c>
      <c r="I2232">
        <v>20196.6486</v>
      </c>
      <c r="J2232" s="2" t="s">
        <v>47</v>
      </c>
    </row>
    <row r="2233" spans="1:10" x14ac:dyDescent="0.35">
      <c r="A2233" s="1">
        <v>45635</v>
      </c>
      <c r="B2233" s="2" t="s">
        <v>31</v>
      </c>
      <c r="C2233" s="2" t="s">
        <v>11</v>
      </c>
      <c r="D2233" s="2" t="s">
        <v>17</v>
      </c>
      <c r="E2233" s="2" t="s">
        <v>35</v>
      </c>
      <c r="F2233">
        <v>536</v>
      </c>
      <c r="G2233">
        <v>405</v>
      </c>
      <c r="H2233">
        <v>217080</v>
      </c>
      <c r="I2233">
        <v>26725.897300000001</v>
      </c>
      <c r="J2233" s="2" t="s">
        <v>47</v>
      </c>
    </row>
    <row r="2234" spans="1:10" x14ac:dyDescent="0.35">
      <c r="A2234" s="1">
        <v>45635</v>
      </c>
      <c r="B2234" s="2" t="s">
        <v>31</v>
      </c>
      <c r="C2234" s="2" t="s">
        <v>16</v>
      </c>
      <c r="D2234" s="2" t="s">
        <v>30</v>
      </c>
      <c r="E2234" s="2" t="s">
        <v>18</v>
      </c>
      <c r="F2234">
        <v>225</v>
      </c>
      <c r="G2234">
        <v>469</v>
      </c>
      <c r="H2234">
        <v>105525</v>
      </c>
      <c r="I2234">
        <v>13261.0486</v>
      </c>
      <c r="J2234" s="2" t="s">
        <v>47</v>
      </c>
    </row>
    <row r="2235" spans="1:10" x14ac:dyDescent="0.35">
      <c r="A2235" s="1">
        <v>45636</v>
      </c>
      <c r="B2235" s="2" t="s">
        <v>25</v>
      </c>
      <c r="C2235" s="2" t="s">
        <v>20</v>
      </c>
      <c r="D2235" s="2" t="s">
        <v>12</v>
      </c>
      <c r="E2235" s="2" t="s">
        <v>33</v>
      </c>
      <c r="F2235">
        <v>97</v>
      </c>
      <c r="G2235">
        <v>357</v>
      </c>
      <c r="H2235">
        <v>34629</v>
      </c>
      <c r="I2235">
        <v>4893.5571</v>
      </c>
      <c r="J2235" s="2" t="s">
        <v>47</v>
      </c>
    </row>
    <row r="2236" spans="1:10" x14ac:dyDescent="0.35">
      <c r="A2236" s="1">
        <v>45636</v>
      </c>
      <c r="B2236" s="2" t="s">
        <v>25</v>
      </c>
      <c r="C2236" s="2" t="s">
        <v>11</v>
      </c>
      <c r="D2236" s="2" t="s">
        <v>12</v>
      </c>
      <c r="E2236" s="2" t="s">
        <v>32</v>
      </c>
      <c r="F2236">
        <v>505</v>
      </c>
      <c r="G2236">
        <v>346</v>
      </c>
      <c r="H2236">
        <v>174730</v>
      </c>
      <c r="I2236">
        <v>18833.709200000001</v>
      </c>
      <c r="J2236" s="2" t="s">
        <v>47</v>
      </c>
    </row>
    <row r="2237" spans="1:10" x14ac:dyDescent="0.35">
      <c r="A2237" s="1">
        <v>45636</v>
      </c>
      <c r="B2237" s="2" t="s">
        <v>15</v>
      </c>
      <c r="C2237" s="2" t="s">
        <v>27</v>
      </c>
      <c r="D2237" s="2" t="s">
        <v>17</v>
      </c>
      <c r="E2237" s="2" t="s">
        <v>33</v>
      </c>
      <c r="F2237">
        <v>942</v>
      </c>
      <c r="G2237">
        <v>401</v>
      </c>
      <c r="H2237">
        <v>377742</v>
      </c>
      <c r="I2237">
        <v>39978.074000000001</v>
      </c>
      <c r="J2237" s="2" t="s">
        <v>47</v>
      </c>
    </row>
    <row r="2238" spans="1:10" x14ac:dyDescent="0.35">
      <c r="A2238" s="1">
        <v>45636</v>
      </c>
      <c r="B2238" s="2" t="s">
        <v>31</v>
      </c>
      <c r="C2238" s="2" t="s">
        <v>23</v>
      </c>
      <c r="D2238" s="2" t="s">
        <v>21</v>
      </c>
      <c r="E2238" s="2" t="s">
        <v>24</v>
      </c>
      <c r="F2238">
        <v>867</v>
      </c>
      <c r="G2238">
        <v>350</v>
      </c>
      <c r="H2238">
        <v>303450</v>
      </c>
      <c r="I2238">
        <v>40618.142800000001</v>
      </c>
      <c r="J2238" s="2" t="s">
        <v>47</v>
      </c>
    </row>
    <row r="2239" spans="1:10" x14ac:dyDescent="0.35">
      <c r="A2239" s="1">
        <v>45636</v>
      </c>
      <c r="B2239" s="2" t="s">
        <v>34</v>
      </c>
      <c r="C2239" s="2" t="s">
        <v>27</v>
      </c>
      <c r="D2239" s="2" t="s">
        <v>12</v>
      </c>
      <c r="E2239" s="2" t="s">
        <v>22</v>
      </c>
      <c r="F2239">
        <v>442</v>
      </c>
      <c r="G2239">
        <v>469</v>
      </c>
      <c r="H2239">
        <v>207298</v>
      </c>
      <c r="I2239">
        <v>47669.114500000003</v>
      </c>
      <c r="J2239" s="2" t="s">
        <v>47</v>
      </c>
    </row>
    <row r="2240" spans="1:10" x14ac:dyDescent="0.35">
      <c r="A2240" s="1">
        <v>45637</v>
      </c>
      <c r="B2240" s="2" t="s">
        <v>36</v>
      </c>
      <c r="C2240" s="2" t="s">
        <v>11</v>
      </c>
      <c r="D2240" s="2" t="s">
        <v>21</v>
      </c>
      <c r="E2240" s="2" t="s">
        <v>32</v>
      </c>
      <c r="F2240">
        <v>166</v>
      </c>
      <c r="G2240">
        <v>329</v>
      </c>
      <c r="H2240">
        <v>54614</v>
      </c>
      <c r="I2240">
        <v>13623.929</v>
      </c>
      <c r="J2240" s="2" t="s">
        <v>47</v>
      </c>
    </row>
    <row r="2241" spans="1:10" x14ac:dyDescent="0.35">
      <c r="A2241" s="1">
        <v>45637</v>
      </c>
      <c r="B2241" s="2" t="s">
        <v>26</v>
      </c>
      <c r="C2241" s="2" t="s">
        <v>20</v>
      </c>
      <c r="D2241" s="2" t="s">
        <v>30</v>
      </c>
      <c r="E2241" s="2" t="s">
        <v>24</v>
      </c>
      <c r="F2241">
        <v>241</v>
      </c>
      <c r="G2241">
        <v>397</v>
      </c>
      <c r="H2241">
        <v>95677</v>
      </c>
      <c r="I2241">
        <v>13554.4053</v>
      </c>
      <c r="J2241" s="2" t="s">
        <v>47</v>
      </c>
    </row>
    <row r="2242" spans="1:10" x14ac:dyDescent="0.35">
      <c r="A2242" s="1">
        <v>45638</v>
      </c>
      <c r="B2242" s="2" t="s">
        <v>19</v>
      </c>
      <c r="C2242" s="2" t="s">
        <v>16</v>
      </c>
      <c r="D2242" s="2" t="s">
        <v>17</v>
      </c>
      <c r="E2242" s="2" t="s">
        <v>22</v>
      </c>
      <c r="F2242">
        <v>292</v>
      </c>
      <c r="G2242">
        <v>496</v>
      </c>
      <c r="H2242">
        <v>144832</v>
      </c>
      <c r="I2242">
        <v>33545.810899999997</v>
      </c>
      <c r="J2242" s="2" t="s">
        <v>47</v>
      </c>
    </row>
    <row r="2243" spans="1:10" x14ac:dyDescent="0.35">
      <c r="A2243" s="1">
        <v>45639</v>
      </c>
      <c r="B2243" s="2" t="s">
        <v>25</v>
      </c>
      <c r="C2243" s="2" t="s">
        <v>11</v>
      </c>
      <c r="D2243" s="2" t="s">
        <v>30</v>
      </c>
      <c r="E2243" s="2" t="s">
        <v>18</v>
      </c>
      <c r="F2243">
        <v>86</v>
      </c>
      <c r="G2243">
        <v>274</v>
      </c>
      <c r="H2243">
        <v>23564</v>
      </c>
      <c r="I2243">
        <v>2908.6336999999999</v>
      </c>
      <c r="J2243" s="2" t="s">
        <v>47</v>
      </c>
    </row>
    <row r="2244" spans="1:10" x14ac:dyDescent="0.35">
      <c r="A2244" s="1">
        <v>45639</v>
      </c>
      <c r="B2244" s="2" t="s">
        <v>19</v>
      </c>
      <c r="C2244" s="2" t="s">
        <v>27</v>
      </c>
      <c r="D2244" s="2" t="s">
        <v>30</v>
      </c>
      <c r="E2244" s="2" t="s">
        <v>24</v>
      </c>
      <c r="F2244">
        <v>487</v>
      </c>
      <c r="G2244">
        <v>322</v>
      </c>
      <c r="H2244">
        <v>156814</v>
      </c>
      <c r="I2244">
        <v>28811.9257</v>
      </c>
      <c r="J2244" s="2" t="s">
        <v>47</v>
      </c>
    </row>
    <row r="2245" spans="1:10" x14ac:dyDescent="0.35">
      <c r="A2245" s="1">
        <v>45640</v>
      </c>
      <c r="B2245" s="2" t="s">
        <v>31</v>
      </c>
      <c r="C2245" s="2" t="s">
        <v>23</v>
      </c>
      <c r="D2245" s="2" t="s">
        <v>12</v>
      </c>
      <c r="E2245" s="2" t="s">
        <v>32</v>
      </c>
      <c r="F2245">
        <v>629</v>
      </c>
      <c r="G2245">
        <v>313</v>
      </c>
      <c r="H2245">
        <v>196877</v>
      </c>
      <c r="I2245">
        <v>46903.445099999997</v>
      </c>
      <c r="J2245" s="2" t="s">
        <v>47</v>
      </c>
    </row>
    <row r="2246" spans="1:10" x14ac:dyDescent="0.35">
      <c r="A2246" s="1">
        <v>45640</v>
      </c>
      <c r="B2246" s="2" t="s">
        <v>25</v>
      </c>
      <c r="C2246" s="2" t="s">
        <v>16</v>
      </c>
      <c r="D2246" s="2" t="s">
        <v>12</v>
      </c>
      <c r="E2246" s="2" t="s">
        <v>13</v>
      </c>
      <c r="F2246">
        <v>533</v>
      </c>
      <c r="G2246">
        <v>415</v>
      </c>
      <c r="H2246">
        <v>221195</v>
      </c>
      <c r="I2246">
        <v>31181.804199999999</v>
      </c>
      <c r="J2246" s="2" t="s">
        <v>47</v>
      </c>
    </row>
    <row r="2247" spans="1:10" x14ac:dyDescent="0.35">
      <c r="A2247" s="1">
        <v>45640</v>
      </c>
      <c r="B2247" s="2" t="s">
        <v>31</v>
      </c>
      <c r="C2247" s="2" t="s">
        <v>16</v>
      </c>
      <c r="D2247" s="2" t="s">
        <v>30</v>
      </c>
      <c r="E2247" s="2" t="s">
        <v>35</v>
      </c>
      <c r="F2247">
        <v>917</v>
      </c>
      <c r="G2247">
        <v>215</v>
      </c>
      <c r="H2247">
        <v>197155</v>
      </c>
      <c r="I2247">
        <v>36967.078300000001</v>
      </c>
      <c r="J2247" s="2" t="s">
        <v>47</v>
      </c>
    </row>
    <row r="2248" spans="1:10" x14ac:dyDescent="0.35">
      <c r="A2248" s="1">
        <v>45640</v>
      </c>
      <c r="B2248" s="2" t="s">
        <v>19</v>
      </c>
      <c r="C2248" s="2" t="s">
        <v>27</v>
      </c>
      <c r="D2248" s="2" t="s">
        <v>30</v>
      </c>
      <c r="E2248" s="2" t="s">
        <v>35</v>
      </c>
      <c r="F2248">
        <v>364</v>
      </c>
      <c r="G2248">
        <v>379</v>
      </c>
      <c r="H2248">
        <v>137956</v>
      </c>
      <c r="I2248">
        <v>26229.228800000001</v>
      </c>
      <c r="J2248" s="2" t="s">
        <v>47</v>
      </c>
    </row>
    <row r="2249" spans="1:10" x14ac:dyDescent="0.35">
      <c r="A2249" s="1">
        <v>45640</v>
      </c>
      <c r="B2249" s="2" t="s">
        <v>15</v>
      </c>
      <c r="C2249" s="2" t="s">
        <v>23</v>
      </c>
      <c r="D2249" s="2" t="s">
        <v>17</v>
      </c>
      <c r="E2249" s="2" t="s">
        <v>24</v>
      </c>
      <c r="F2249">
        <v>972</v>
      </c>
      <c r="G2249">
        <v>114</v>
      </c>
      <c r="H2249">
        <v>110808</v>
      </c>
      <c r="I2249">
        <v>15512.775600000001</v>
      </c>
      <c r="J2249" s="2" t="s">
        <v>47</v>
      </c>
    </row>
    <row r="2250" spans="1:10" x14ac:dyDescent="0.35">
      <c r="A2250" s="1">
        <v>45640</v>
      </c>
      <c r="B2250" s="2" t="s">
        <v>19</v>
      </c>
      <c r="C2250" s="2" t="s">
        <v>29</v>
      </c>
      <c r="D2250" s="2" t="s">
        <v>30</v>
      </c>
      <c r="E2250" s="2" t="s">
        <v>32</v>
      </c>
      <c r="F2250">
        <v>747</v>
      </c>
      <c r="G2250">
        <v>391</v>
      </c>
      <c r="H2250">
        <v>292077</v>
      </c>
      <c r="I2250">
        <v>53702.889499999997</v>
      </c>
      <c r="J2250" s="2" t="s">
        <v>47</v>
      </c>
    </row>
    <row r="2251" spans="1:10" x14ac:dyDescent="0.35">
      <c r="A2251" s="1">
        <v>45640</v>
      </c>
      <c r="B2251" s="2" t="s">
        <v>19</v>
      </c>
      <c r="C2251" s="2" t="s">
        <v>20</v>
      </c>
      <c r="D2251" s="2" t="s">
        <v>21</v>
      </c>
      <c r="E2251" s="2" t="s">
        <v>22</v>
      </c>
      <c r="F2251">
        <v>316</v>
      </c>
      <c r="G2251">
        <v>267</v>
      </c>
      <c r="H2251">
        <v>84372</v>
      </c>
      <c r="I2251">
        <v>17353.217499999999</v>
      </c>
      <c r="J2251" s="2" t="s">
        <v>47</v>
      </c>
    </row>
    <row r="2252" spans="1:10" x14ac:dyDescent="0.35">
      <c r="A2252" s="1">
        <v>45640</v>
      </c>
      <c r="B2252" s="2" t="s">
        <v>25</v>
      </c>
      <c r="C2252" s="2" t="s">
        <v>23</v>
      </c>
      <c r="D2252" s="2" t="s">
        <v>21</v>
      </c>
      <c r="E2252" s="2" t="s">
        <v>35</v>
      </c>
      <c r="F2252">
        <v>87</v>
      </c>
      <c r="G2252">
        <v>380</v>
      </c>
      <c r="H2252">
        <v>33060</v>
      </c>
      <c r="I2252">
        <v>8185.2151999999996</v>
      </c>
      <c r="J2252" s="2" t="s">
        <v>47</v>
      </c>
    </row>
    <row r="2253" spans="1:10" x14ac:dyDescent="0.35">
      <c r="A2253" s="1">
        <v>45641</v>
      </c>
      <c r="B2253" s="2" t="s">
        <v>34</v>
      </c>
      <c r="C2253" s="2" t="s">
        <v>29</v>
      </c>
      <c r="D2253" s="2" t="s">
        <v>12</v>
      </c>
      <c r="E2253" s="2" t="s">
        <v>35</v>
      </c>
      <c r="F2253">
        <v>540</v>
      </c>
      <c r="G2253">
        <v>203</v>
      </c>
      <c r="H2253">
        <v>109620</v>
      </c>
      <c r="I2253">
        <v>11939.137000000001</v>
      </c>
      <c r="J2253" s="2" t="s">
        <v>47</v>
      </c>
    </row>
    <row r="2254" spans="1:10" x14ac:dyDescent="0.35">
      <c r="A2254" s="1">
        <v>45641</v>
      </c>
      <c r="B2254" s="2" t="s">
        <v>26</v>
      </c>
      <c r="C2254" s="2" t="s">
        <v>23</v>
      </c>
      <c r="D2254" s="2" t="s">
        <v>30</v>
      </c>
      <c r="E2254" s="2" t="s">
        <v>18</v>
      </c>
      <c r="F2254">
        <v>983</v>
      </c>
      <c r="G2254">
        <v>299</v>
      </c>
      <c r="H2254">
        <v>293917</v>
      </c>
      <c r="I2254">
        <v>46912.660499999998</v>
      </c>
      <c r="J2254" s="2" t="s">
        <v>47</v>
      </c>
    </row>
    <row r="2255" spans="1:10" x14ac:dyDescent="0.35">
      <c r="A2255" s="1">
        <v>45641</v>
      </c>
      <c r="B2255" s="2" t="s">
        <v>15</v>
      </c>
      <c r="C2255" s="2" t="s">
        <v>23</v>
      </c>
      <c r="D2255" s="2" t="s">
        <v>12</v>
      </c>
      <c r="E2255" s="2" t="s">
        <v>28</v>
      </c>
      <c r="F2255">
        <v>733</v>
      </c>
      <c r="G2255">
        <v>493</v>
      </c>
      <c r="H2255">
        <v>361369</v>
      </c>
      <c r="I2255">
        <v>58085.665300000001</v>
      </c>
      <c r="J2255" s="2" t="s">
        <v>47</v>
      </c>
    </row>
    <row r="2256" spans="1:10" x14ac:dyDescent="0.35">
      <c r="A2256" s="1">
        <v>45641</v>
      </c>
      <c r="B2256" s="2" t="s">
        <v>31</v>
      </c>
      <c r="C2256" s="2" t="s">
        <v>27</v>
      </c>
      <c r="D2256" s="2" t="s">
        <v>21</v>
      </c>
      <c r="E2256" s="2" t="s">
        <v>18</v>
      </c>
      <c r="F2256">
        <v>944</v>
      </c>
      <c r="G2256">
        <v>402</v>
      </c>
      <c r="H2256">
        <v>379488</v>
      </c>
      <c r="I2256">
        <v>31122.4113</v>
      </c>
      <c r="J2256" s="2" t="s">
        <v>47</v>
      </c>
    </row>
    <row r="2257" spans="1:10" x14ac:dyDescent="0.35">
      <c r="A2257" s="1">
        <v>45642</v>
      </c>
      <c r="B2257" s="2" t="s">
        <v>10</v>
      </c>
      <c r="C2257" s="2" t="s">
        <v>16</v>
      </c>
      <c r="D2257" s="2" t="s">
        <v>17</v>
      </c>
      <c r="E2257" s="2" t="s">
        <v>32</v>
      </c>
      <c r="F2257">
        <v>746</v>
      </c>
      <c r="G2257">
        <v>463</v>
      </c>
      <c r="H2257">
        <v>345398</v>
      </c>
      <c r="I2257">
        <v>58363.027800000003</v>
      </c>
      <c r="J2257" s="2" t="s">
        <v>47</v>
      </c>
    </row>
    <row r="2258" spans="1:10" x14ac:dyDescent="0.35">
      <c r="A2258" s="1">
        <v>45642</v>
      </c>
      <c r="B2258" s="2" t="s">
        <v>31</v>
      </c>
      <c r="C2258" s="2" t="s">
        <v>20</v>
      </c>
      <c r="D2258" s="2" t="s">
        <v>17</v>
      </c>
      <c r="E2258" s="2" t="s">
        <v>18</v>
      </c>
      <c r="F2258">
        <v>931</v>
      </c>
      <c r="G2258">
        <v>311</v>
      </c>
      <c r="H2258">
        <v>289541</v>
      </c>
      <c r="I2258">
        <v>35233.470699999998</v>
      </c>
      <c r="J2258" s="2" t="s">
        <v>47</v>
      </c>
    </row>
    <row r="2259" spans="1:10" x14ac:dyDescent="0.35">
      <c r="A2259" s="1">
        <v>45642</v>
      </c>
      <c r="B2259" s="2" t="s">
        <v>10</v>
      </c>
      <c r="C2259" s="2" t="s">
        <v>16</v>
      </c>
      <c r="D2259" s="2" t="s">
        <v>30</v>
      </c>
      <c r="E2259" s="2" t="s">
        <v>18</v>
      </c>
      <c r="F2259">
        <v>782</v>
      </c>
      <c r="G2259">
        <v>127</v>
      </c>
      <c r="H2259">
        <v>99314</v>
      </c>
      <c r="I2259">
        <v>21627.873200000002</v>
      </c>
      <c r="J2259" s="2" t="s">
        <v>47</v>
      </c>
    </row>
    <row r="2260" spans="1:10" x14ac:dyDescent="0.35">
      <c r="A2260" s="1">
        <v>45642</v>
      </c>
      <c r="B2260" s="2" t="s">
        <v>25</v>
      </c>
      <c r="C2260" s="2" t="s">
        <v>16</v>
      </c>
      <c r="D2260" s="2" t="s">
        <v>17</v>
      </c>
      <c r="E2260" s="2" t="s">
        <v>18</v>
      </c>
      <c r="F2260">
        <v>228</v>
      </c>
      <c r="G2260">
        <v>204</v>
      </c>
      <c r="H2260">
        <v>46512</v>
      </c>
      <c r="I2260">
        <v>10899.2431</v>
      </c>
      <c r="J2260" s="2" t="s">
        <v>47</v>
      </c>
    </row>
    <row r="2261" spans="1:10" x14ac:dyDescent="0.35">
      <c r="A2261" s="1">
        <v>45643</v>
      </c>
      <c r="B2261" s="2" t="s">
        <v>15</v>
      </c>
      <c r="C2261" s="2" t="s">
        <v>23</v>
      </c>
      <c r="D2261" s="2" t="s">
        <v>12</v>
      </c>
      <c r="E2261" s="2" t="s">
        <v>18</v>
      </c>
      <c r="F2261">
        <v>383</v>
      </c>
      <c r="G2261">
        <v>165</v>
      </c>
      <c r="H2261">
        <v>63195</v>
      </c>
      <c r="I2261">
        <v>15034.206200000001</v>
      </c>
      <c r="J2261" s="2" t="s">
        <v>47</v>
      </c>
    </row>
    <row r="2262" spans="1:10" x14ac:dyDescent="0.35">
      <c r="A2262" s="1">
        <v>45644</v>
      </c>
      <c r="B2262" s="2" t="s">
        <v>31</v>
      </c>
      <c r="C2262" s="2" t="s">
        <v>16</v>
      </c>
      <c r="D2262" s="2" t="s">
        <v>17</v>
      </c>
      <c r="E2262" s="2" t="s">
        <v>32</v>
      </c>
      <c r="F2262">
        <v>374</v>
      </c>
      <c r="G2262">
        <v>185</v>
      </c>
      <c r="H2262">
        <v>69190</v>
      </c>
      <c r="I2262">
        <v>7139.4606000000003</v>
      </c>
      <c r="J2262" s="2" t="s">
        <v>47</v>
      </c>
    </row>
    <row r="2263" spans="1:10" x14ac:dyDescent="0.35">
      <c r="A2263" s="1">
        <v>45644</v>
      </c>
      <c r="B2263" s="2" t="s">
        <v>10</v>
      </c>
      <c r="C2263" s="2" t="s">
        <v>29</v>
      </c>
      <c r="D2263" s="2" t="s">
        <v>30</v>
      </c>
      <c r="E2263" s="2" t="s">
        <v>24</v>
      </c>
      <c r="F2263">
        <v>873</v>
      </c>
      <c r="G2263">
        <v>270</v>
      </c>
      <c r="H2263">
        <v>235710</v>
      </c>
      <c r="I2263">
        <v>28365.3478</v>
      </c>
      <c r="J2263" s="2" t="s">
        <v>47</v>
      </c>
    </row>
    <row r="2264" spans="1:10" x14ac:dyDescent="0.35">
      <c r="A2264" s="1">
        <v>45644</v>
      </c>
      <c r="B2264" s="2" t="s">
        <v>34</v>
      </c>
      <c r="C2264" s="2" t="s">
        <v>27</v>
      </c>
      <c r="D2264" s="2" t="s">
        <v>17</v>
      </c>
      <c r="E2264" s="2" t="s">
        <v>28</v>
      </c>
      <c r="F2264">
        <v>256</v>
      </c>
      <c r="G2264">
        <v>236</v>
      </c>
      <c r="H2264">
        <v>60416</v>
      </c>
      <c r="I2264">
        <v>11652.9972</v>
      </c>
      <c r="J2264" s="2" t="s">
        <v>47</v>
      </c>
    </row>
    <row r="2265" spans="1:10" x14ac:dyDescent="0.35">
      <c r="A2265" s="1">
        <v>45645</v>
      </c>
      <c r="B2265" s="2" t="s">
        <v>34</v>
      </c>
      <c r="C2265" s="2" t="s">
        <v>27</v>
      </c>
      <c r="D2265" s="2" t="s">
        <v>21</v>
      </c>
      <c r="E2265" s="2" t="s">
        <v>13</v>
      </c>
      <c r="F2265">
        <v>498</v>
      </c>
      <c r="G2265">
        <v>121</v>
      </c>
      <c r="H2265">
        <v>60258</v>
      </c>
      <c r="I2265">
        <v>9757.2409000000007</v>
      </c>
      <c r="J2265" s="2" t="s">
        <v>47</v>
      </c>
    </row>
    <row r="2266" spans="1:10" x14ac:dyDescent="0.35">
      <c r="A2266" s="1">
        <v>45646</v>
      </c>
      <c r="B2266" s="2" t="s">
        <v>26</v>
      </c>
      <c r="C2266" s="2" t="s">
        <v>29</v>
      </c>
      <c r="D2266" s="2" t="s">
        <v>30</v>
      </c>
      <c r="E2266" s="2" t="s">
        <v>18</v>
      </c>
      <c r="F2266">
        <v>707</v>
      </c>
      <c r="G2266">
        <v>420</v>
      </c>
      <c r="H2266">
        <v>296940</v>
      </c>
      <c r="I2266">
        <v>66875.890299999999</v>
      </c>
      <c r="J2266" s="2" t="s">
        <v>47</v>
      </c>
    </row>
    <row r="2267" spans="1:10" x14ac:dyDescent="0.35">
      <c r="A2267" s="1">
        <v>45646</v>
      </c>
      <c r="B2267" s="2" t="s">
        <v>34</v>
      </c>
      <c r="C2267" s="2" t="s">
        <v>27</v>
      </c>
      <c r="D2267" s="2" t="s">
        <v>12</v>
      </c>
      <c r="E2267" s="2" t="s">
        <v>24</v>
      </c>
      <c r="F2267">
        <v>641</v>
      </c>
      <c r="G2267">
        <v>386</v>
      </c>
      <c r="H2267">
        <v>247426</v>
      </c>
      <c r="I2267">
        <v>40882.996899999998</v>
      </c>
      <c r="J2267" s="2" t="s">
        <v>47</v>
      </c>
    </row>
    <row r="2268" spans="1:10" x14ac:dyDescent="0.35">
      <c r="A2268" s="1">
        <v>45646</v>
      </c>
      <c r="B2268" s="2" t="s">
        <v>10</v>
      </c>
      <c r="C2268" s="2" t="s">
        <v>29</v>
      </c>
      <c r="D2268" s="2" t="s">
        <v>21</v>
      </c>
      <c r="E2268" s="2" t="s">
        <v>32</v>
      </c>
      <c r="F2268">
        <v>584</v>
      </c>
      <c r="G2268">
        <v>121</v>
      </c>
      <c r="H2268">
        <v>70664</v>
      </c>
      <c r="I2268">
        <v>13440.7821</v>
      </c>
      <c r="J2268" s="2" t="s">
        <v>47</v>
      </c>
    </row>
    <row r="2269" spans="1:10" x14ac:dyDescent="0.35">
      <c r="A2269" s="1">
        <v>45646</v>
      </c>
      <c r="B2269" s="2" t="s">
        <v>19</v>
      </c>
      <c r="C2269" s="2" t="s">
        <v>11</v>
      </c>
      <c r="D2269" s="2" t="s">
        <v>30</v>
      </c>
      <c r="E2269" s="2" t="s">
        <v>24</v>
      </c>
      <c r="F2269">
        <v>406</v>
      </c>
      <c r="G2269">
        <v>382</v>
      </c>
      <c r="H2269">
        <v>155092</v>
      </c>
      <c r="I2269">
        <v>32268.520700000001</v>
      </c>
      <c r="J2269" s="2" t="s">
        <v>47</v>
      </c>
    </row>
    <row r="2270" spans="1:10" x14ac:dyDescent="0.35">
      <c r="A2270" s="1">
        <v>45647</v>
      </c>
      <c r="B2270" s="2" t="s">
        <v>31</v>
      </c>
      <c r="C2270" s="2" t="s">
        <v>20</v>
      </c>
      <c r="D2270" s="2" t="s">
        <v>21</v>
      </c>
      <c r="E2270" s="2" t="s">
        <v>18</v>
      </c>
      <c r="F2270">
        <v>994</v>
      </c>
      <c r="G2270">
        <v>219</v>
      </c>
      <c r="H2270">
        <v>217686</v>
      </c>
      <c r="I2270">
        <v>36463.833899999998</v>
      </c>
      <c r="J2270" s="2" t="s">
        <v>47</v>
      </c>
    </row>
    <row r="2271" spans="1:10" x14ac:dyDescent="0.35">
      <c r="A2271" s="1">
        <v>45647</v>
      </c>
      <c r="B2271" s="2" t="s">
        <v>19</v>
      </c>
      <c r="C2271" s="2" t="s">
        <v>23</v>
      </c>
      <c r="D2271" s="2" t="s">
        <v>12</v>
      </c>
      <c r="E2271" s="2" t="s">
        <v>33</v>
      </c>
      <c r="F2271">
        <v>541</v>
      </c>
      <c r="G2271">
        <v>370</v>
      </c>
      <c r="H2271">
        <v>200170</v>
      </c>
      <c r="I2271">
        <v>35204.066400000003</v>
      </c>
      <c r="J2271" s="2" t="s">
        <v>47</v>
      </c>
    </row>
    <row r="2272" spans="1:10" x14ac:dyDescent="0.35">
      <c r="A2272" s="1">
        <v>45647</v>
      </c>
      <c r="B2272" s="2" t="s">
        <v>15</v>
      </c>
      <c r="C2272" s="2" t="s">
        <v>16</v>
      </c>
      <c r="D2272" s="2" t="s">
        <v>30</v>
      </c>
      <c r="E2272" s="2" t="s">
        <v>32</v>
      </c>
      <c r="F2272">
        <v>565</v>
      </c>
      <c r="G2272">
        <v>336</v>
      </c>
      <c r="H2272">
        <v>189840</v>
      </c>
      <c r="I2272">
        <v>25345.273300000001</v>
      </c>
      <c r="J2272" s="2" t="s">
        <v>47</v>
      </c>
    </row>
    <row r="2273" spans="1:10" x14ac:dyDescent="0.35">
      <c r="A2273" s="1">
        <v>45647</v>
      </c>
      <c r="B2273" s="2" t="s">
        <v>19</v>
      </c>
      <c r="C2273" s="2" t="s">
        <v>23</v>
      </c>
      <c r="D2273" s="2" t="s">
        <v>12</v>
      </c>
      <c r="E2273" s="2" t="s">
        <v>35</v>
      </c>
      <c r="F2273">
        <v>280</v>
      </c>
      <c r="G2273">
        <v>404</v>
      </c>
      <c r="H2273">
        <v>113120</v>
      </c>
      <c r="I2273">
        <v>14925.086499999999</v>
      </c>
      <c r="J2273" s="2" t="s">
        <v>47</v>
      </c>
    </row>
    <row r="2274" spans="1:10" x14ac:dyDescent="0.35">
      <c r="A2274" s="1">
        <v>45648</v>
      </c>
      <c r="B2274" s="2" t="s">
        <v>15</v>
      </c>
      <c r="C2274" s="2" t="s">
        <v>20</v>
      </c>
      <c r="D2274" s="2" t="s">
        <v>30</v>
      </c>
      <c r="E2274" s="2" t="s">
        <v>18</v>
      </c>
      <c r="F2274">
        <v>766</v>
      </c>
      <c r="G2274">
        <v>481</v>
      </c>
      <c r="H2274">
        <v>368446</v>
      </c>
      <c r="I2274">
        <v>70532.810100000002</v>
      </c>
      <c r="J2274" s="2" t="s">
        <v>47</v>
      </c>
    </row>
    <row r="2275" spans="1:10" x14ac:dyDescent="0.35">
      <c r="A2275" s="1">
        <v>45649</v>
      </c>
      <c r="B2275" s="2" t="s">
        <v>15</v>
      </c>
      <c r="C2275" s="2" t="s">
        <v>11</v>
      </c>
      <c r="D2275" s="2" t="s">
        <v>17</v>
      </c>
      <c r="E2275" s="2" t="s">
        <v>32</v>
      </c>
      <c r="F2275">
        <v>511</v>
      </c>
      <c r="G2275">
        <v>246</v>
      </c>
      <c r="H2275">
        <v>125706</v>
      </c>
      <c r="I2275">
        <v>19924.584699999999</v>
      </c>
      <c r="J2275" s="2" t="s">
        <v>47</v>
      </c>
    </row>
    <row r="2276" spans="1:10" x14ac:dyDescent="0.35">
      <c r="A2276" s="1">
        <v>45650</v>
      </c>
      <c r="B2276" s="2" t="s">
        <v>19</v>
      </c>
      <c r="C2276" s="2" t="s">
        <v>29</v>
      </c>
      <c r="D2276" s="2" t="s">
        <v>17</v>
      </c>
      <c r="E2276" s="2" t="s">
        <v>32</v>
      </c>
      <c r="F2276">
        <v>515</v>
      </c>
      <c r="G2276">
        <v>490</v>
      </c>
      <c r="H2276">
        <v>252350</v>
      </c>
      <c r="I2276">
        <v>20815.057000000001</v>
      </c>
      <c r="J2276" s="2" t="s">
        <v>47</v>
      </c>
    </row>
    <row r="2277" spans="1:10" x14ac:dyDescent="0.35">
      <c r="A2277" s="1">
        <v>45650</v>
      </c>
      <c r="B2277" s="2" t="s">
        <v>36</v>
      </c>
      <c r="C2277" s="2" t="s">
        <v>27</v>
      </c>
      <c r="D2277" s="2" t="s">
        <v>17</v>
      </c>
      <c r="E2277" s="2" t="s">
        <v>33</v>
      </c>
      <c r="F2277">
        <v>972</v>
      </c>
      <c r="G2277">
        <v>167</v>
      </c>
      <c r="H2277">
        <v>162324</v>
      </c>
      <c r="I2277">
        <v>39178.725200000001</v>
      </c>
      <c r="J2277" s="2" t="s">
        <v>47</v>
      </c>
    </row>
    <row r="2278" spans="1:10" x14ac:dyDescent="0.35">
      <c r="A2278" s="1">
        <v>45651</v>
      </c>
      <c r="B2278" s="2" t="s">
        <v>19</v>
      </c>
      <c r="C2278" s="2" t="s">
        <v>23</v>
      </c>
      <c r="D2278" s="2" t="s">
        <v>21</v>
      </c>
      <c r="E2278" s="2" t="s">
        <v>35</v>
      </c>
      <c r="F2278">
        <v>199</v>
      </c>
      <c r="G2278">
        <v>262</v>
      </c>
      <c r="H2278">
        <v>52138</v>
      </c>
      <c r="I2278">
        <v>5307.8240999999998</v>
      </c>
      <c r="J2278" s="2" t="s">
        <v>47</v>
      </c>
    </row>
    <row r="2279" spans="1:10" x14ac:dyDescent="0.35">
      <c r="A2279" s="1">
        <v>45651</v>
      </c>
      <c r="B2279" s="2" t="s">
        <v>31</v>
      </c>
      <c r="C2279" s="2" t="s">
        <v>16</v>
      </c>
      <c r="D2279" s="2" t="s">
        <v>30</v>
      </c>
      <c r="E2279" s="2" t="s">
        <v>22</v>
      </c>
      <c r="F2279">
        <v>616</v>
      </c>
      <c r="G2279">
        <v>197</v>
      </c>
      <c r="H2279">
        <v>121352</v>
      </c>
      <c r="I2279">
        <v>10573.334500000001</v>
      </c>
      <c r="J2279" s="2" t="s">
        <v>47</v>
      </c>
    </row>
    <row r="2280" spans="1:10" x14ac:dyDescent="0.35">
      <c r="A2280" s="1">
        <v>45651</v>
      </c>
      <c r="B2280" s="2" t="s">
        <v>26</v>
      </c>
      <c r="C2280" s="2" t="s">
        <v>29</v>
      </c>
      <c r="D2280" s="2" t="s">
        <v>21</v>
      </c>
      <c r="E2280" s="2" t="s">
        <v>22</v>
      </c>
      <c r="F2280">
        <v>860</v>
      </c>
      <c r="G2280">
        <v>371</v>
      </c>
      <c r="H2280">
        <v>319060</v>
      </c>
      <c r="I2280">
        <v>74930.853499999997</v>
      </c>
      <c r="J2280" s="2" t="s">
        <v>47</v>
      </c>
    </row>
    <row r="2281" spans="1:10" x14ac:dyDescent="0.35">
      <c r="A2281" s="1">
        <v>45651</v>
      </c>
      <c r="B2281" s="2" t="s">
        <v>15</v>
      </c>
      <c r="C2281" s="2" t="s">
        <v>29</v>
      </c>
      <c r="D2281" s="2" t="s">
        <v>30</v>
      </c>
      <c r="E2281" s="2" t="s">
        <v>28</v>
      </c>
      <c r="F2281">
        <v>575</v>
      </c>
      <c r="G2281">
        <v>438</v>
      </c>
      <c r="H2281">
        <v>251850</v>
      </c>
      <c r="I2281">
        <v>50001.452499999999</v>
      </c>
      <c r="J2281" s="2" t="s">
        <v>47</v>
      </c>
    </row>
    <row r="2282" spans="1:10" x14ac:dyDescent="0.35">
      <c r="A2282" s="1">
        <v>45652</v>
      </c>
      <c r="B2282" s="2" t="s">
        <v>19</v>
      </c>
      <c r="C2282" s="2" t="s">
        <v>11</v>
      </c>
      <c r="D2282" s="2" t="s">
        <v>17</v>
      </c>
      <c r="E2282" s="2" t="s">
        <v>24</v>
      </c>
      <c r="F2282">
        <v>508</v>
      </c>
      <c r="G2282">
        <v>498</v>
      </c>
      <c r="H2282">
        <v>252984</v>
      </c>
      <c r="I2282">
        <v>62306.425199999998</v>
      </c>
      <c r="J2282" s="2" t="s">
        <v>47</v>
      </c>
    </row>
    <row r="2283" spans="1:10" x14ac:dyDescent="0.35">
      <c r="A2283" s="1">
        <v>45652</v>
      </c>
      <c r="B2283" s="2" t="s">
        <v>19</v>
      </c>
      <c r="C2283" s="2" t="s">
        <v>29</v>
      </c>
      <c r="D2283" s="2" t="s">
        <v>12</v>
      </c>
      <c r="E2283" s="2" t="s">
        <v>13</v>
      </c>
      <c r="F2283">
        <v>279</v>
      </c>
      <c r="G2283">
        <v>295</v>
      </c>
      <c r="H2283">
        <v>82305</v>
      </c>
      <c r="I2283">
        <v>12186.466399999999</v>
      </c>
      <c r="J2283" s="2" t="s">
        <v>47</v>
      </c>
    </row>
    <row r="2284" spans="1:10" x14ac:dyDescent="0.35">
      <c r="A2284" s="1">
        <v>45652</v>
      </c>
      <c r="B2284" s="2" t="s">
        <v>31</v>
      </c>
      <c r="C2284" s="2" t="s">
        <v>16</v>
      </c>
      <c r="D2284" s="2" t="s">
        <v>30</v>
      </c>
      <c r="E2284" s="2" t="s">
        <v>35</v>
      </c>
      <c r="F2284">
        <v>568</v>
      </c>
      <c r="G2284">
        <v>130</v>
      </c>
      <c r="H2284">
        <v>73840</v>
      </c>
      <c r="I2284">
        <v>6653.3645999999999</v>
      </c>
      <c r="J2284" s="2" t="s">
        <v>47</v>
      </c>
    </row>
    <row r="2285" spans="1:10" x14ac:dyDescent="0.35">
      <c r="A2285" s="1">
        <v>45652</v>
      </c>
      <c r="B2285" s="2" t="s">
        <v>34</v>
      </c>
      <c r="C2285" s="2" t="s">
        <v>29</v>
      </c>
      <c r="D2285" s="2" t="s">
        <v>21</v>
      </c>
      <c r="E2285" s="2" t="s">
        <v>18</v>
      </c>
      <c r="F2285">
        <v>631</v>
      </c>
      <c r="G2285">
        <v>177</v>
      </c>
      <c r="H2285">
        <v>111687</v>
      </c>
      <c r="I2285">
        <v>14858.8122</v>
      </c>
      <c r="J2285" s="2" t="s">
        <v>47</v>
      </c>
    </row>
    <row r="2286" spans="1:10" x14ac:dyDescent="0.35">
      <c r="A2286" s="1">
        <v>45652</v>
      </c>
      <c r="B2286" s="2" t="s">
        <v>10</v>
      </c>
      <c r="C2286" s="2" t="s">
        <v>23</v>
      </c>
      <c r="D2286" s="2" t="s">
        <v>17</v>
      </c>
      <c r="E2286" s="2" t="s">
        <v>32</v>
      </c>
      <c r="F2286">
        <v>69</v>
      </c>
      <c r="G2286">
        <v>225</v>
      </c>
      <c r="H2286">
        <v>15525</v>
      </c>
      <c r="I2286">
        <v>2042.7526</v>
      </c>
      <c r="J2286" s="2" t="s">
        <v>47</v>
      </c>
    </row>
    <row r="2287" spans="1:10" x14ac:dyDescent="0.35">
      <c r="A2287" s="1">
        <v>45652</v>
      </c>
      <c r="B2287" s="2" t="s">
        <v>31</v>
      </c>
      <c r="C2287" s="2" t="s">
        <v>27</v>
      </c>
      <c r="D2287" s="2" t="s">
        <v>30</v>
      </c>
      <c r="E2287" s="2" t="s">
        <v>32</v>
      </c>
      <c r="F2287">
        <v>414</v>
      </c>
      <c r="G2287">
        <v>228</v>
      </c>
      <c r="H2287">
        <v>94392</v>
      </c>
      <c r="I2287">
        <v>12400.281199999999</v>
      </c>
      <c r="J2287" s="2" t="s">
        <v>47</v>
      </c>
    </row>
    <row r="2288" spans="1:10" x14ac:dyDescent="0.35">
      <c r="A2288" s="1">
        <v>45652</v>
      </c>
      <c r="B2288" s="2" t="s">
        <v>19</v>
      </c>
      <c r="C2288" s="2" t="s">
        <v>23</v>
      </c>
      <c r="D2288" s="2" t="s">
        <v>30</v>
      </c>
      <c r="E2288" s="2" t="s">
        <v>24</v>
      </c>
      <c r="F2288">
        <v>218</v>
      </c>
      <c r="G2288">
        <v>235</v>
      </c>
      <c r="H2288">
        <v>51230</v>
      </c>
      <c r="I2288">
        <v>4753.2619999999997</v>
      </c>
      <c r="J2288" s="2" t="s">
        <v>47</v>
      </c>
    </row>
    <row r="2289" spans="1:10" x14ac:dyDescent="0.35">
      <c r="A2289" s="1">
        <v>45652</v>
      </c>
      <c r="B2289" s="2" t="s">
        <v>19</v>
      </c>
      <c r="C2289" s="2" t="s">
        <v>23</v>
      </c>
      <c r="D2289" s="2" t="s">
        <v>21</v>
      </c>
      <c r="E2289" s="2" t="s">
        <v>28</v>
      </c>
      <c r="F2289">
        <v>328</v>
      </c>
      <c r="G2289">
        <v>456</v>
      </c>
      <c r="H2289">
        <v>149568</v>
      </c>
      <c r="I2289">
        <v>27732.692200000001</v>
      </c>
      <c r="J2289" s="2" t="s">
        <v>47</v>
      </c>
    </row>
    <row r="2290" spans="1:10" x14ac:dyDescent="0.35">
      <c r="A2290" s="1">
        <v>45652</v>
      </c>
      <c r="B2290" s="2" t="s">
        <v>10</v>
      </c>
      <c r="C2290" s="2" t="s">
        <v>23</v>
      </c>
      <c r="D2290" s="2" t="s">
        <v>12</v>
      </c>
      <c r="E2290" s="2" t="s">
        <v>33</v>
      </c>
      <c r="F2290">
        <v>756</v>
      </c>
      <c r="G2290">
        <v>336</v>
      </c>
      <c r="H2290">
        <v>254016</v>
      </c>
      <c r="I2290">
        <v>39639.867700000003</v>
      </c>
      <c r="J2290" s="2" t="s">
        <v>47</v>
      </c>
    </row>
    <row r="2291" spans="1:10" x14ac:dyDescent="0.35">
      <c r="A2291" s="1">
        <v>45653</v>
      </c>
      <c r="B2291" s="2" t="s">
        <v>15</v>
      </c>
      <c r="C2291" s="2" t="s">
        <v>11</v>
      </c>
      <c r="D2291" s="2" t="s">
        <v>30</v>
      </c>
      <c r="E2291" s="2" t="s">
        <v>18</v>
      </c>
      <c r="F2291">
        <v>819</v>
      </c>
      <c r="G2291">
        <v>170</v>
      </c>
      <c r="H2291">
        <v>139230</v>
      </c>
      <c r="I2291">
        <v>18804.727500000001</v>
      </c>
      <c r="J2291" s="2" t="s">
        <v>47</v>
      </c>
    </row>
    <row r="2292" spans="1:10" x14ac:dyDescent="0.35">
      <c r="A2292" s="1">
        <v>45653</v>
      </c>
      <c r="B2292" s="2" t="s">
        <v>25</v>
      </c>
      <c r="C2292" s="2" t="s">
        <v>27</v>
      </c>
      <c r="D2292" s="2" t="s">
        <v>17</v>
      </c>
      <c r="E2292" s="2" t="s">
        <v>28</v>
      </c>
      <c r="F2292">
        <v>387</v>
      </c>
      <c r="G2292">
        <v>347</v>
      </c>
      <c r="H2292">
        <v>134289</v>
      </c>
      <c r="I2292">
        <v>29215.625700000001</v>
      </c>
      <c r="J2292" s="2" t="s">
        <v>47</v>
      </c>
    </row>
    <row r="2293" spans="1:10" x14ac:dyDescent="0.35">
      <c r="A2293" s="1">
        <v>45653</v>
      </c>
      <c r="B2293" s="2" t="s">
        <v>19</v>
      </c>
      <c r="C2293" s="2" t="s">
        <v>29</v>
      </c>
      <c r="D2293" s="2" t="s">
        <v>30</v>
      </c>
      <c r="E2293" s="2" t="s">
        <v>22</v>
      </c>
      <c r="F2293">
        <v>753</v>
      </c>
      <c r="G2293">
        <v>242</v>
      </c>
      <c r="H2293">
        <v>182226</v>
      </c>
      <c r="I2293">
        <v>39911.546799999996</v>
      </c>
      <c r="J2293" s="2" t="s">
        <v>47</v>
      </c>
    </row>
    <row r="2294" spans="1:10" x14ac:dyDescent="0.35">
      <c r="A2294" s="1">
        <v>45653</v>
      </c>
      <c r="B2294" s="2" t="s">
        <v>26</v>
      </c>
      <c r="C2294" s="2" t="s">
        <v>20</v>
      </c>
      <c r="D2294" s="2" t="s">
        <v>30</v>
      </c>
      <c r="E2294" s="2" t="s">
        <v>13</v>
      </c>
      <c r="F2294">
        <v>775</v>
      </c>
      <c r="G2294">
        <v>181</v>
      </c>
      <c r="H2294">
        <v>140275</v>
      </c>
      <c r="I2294">
        <v>17593.482400000001</v>
      </c>
      <c r="J2294" s="2" t="s">
        <v>47</v>
      </c>
    </row>
    <row r="2295" spans="1:10" x14ac:dyDescent="0.35">
      <c r="A2295" s="1">
        <v>45653</v>
      </c>
      <c r="B2295" s="2" t="s">
        <v>19</v>
      </c>
      <c r="C2295" s="2" t="s">
        <v>29</v>
      </c>
      <c r="D2295" s="2" t="s">
        <v>17</v>
      </c>
      <c r="E2295" s="2" t="s">
        <v>28</v>
      </c>
      <c r="F2295">
        <v>344</v>
      </c>
      <c r="G2295">
        <v>176</v>
      </c>
      <c r="H2295">
        <v>60544</v>
      </c>
      <c r="I2295">
        <v>8883.3628000000008</v>
      </c>
      <c r="J2295" s="2" t="s">
        <v>47</v>
      </c>
    </row>
    <row r="2296" spans="1:10" x14ac:dyDescent="0.35">
      <c r="A2296" s="1">
        <v>45653</v>
      </c>
      <c r="B2296" s="2" t="s">
        <v>15</v>
      </c>
      <c r="C2296" s="2" t="s">
        <v>11</v>
      </c>
      <c r="D2296" s="2" t="s">
        <v>12</v>
      </c>
      <c r="E2296" s="2" t="s">
        <v>28</v>
      </c>
      <c r="F2296">
        <v>256</v>
      </c>
      <c r="G2296">
        <v>491</v>
      </c>
      <c r="H2296">
        <v>125696</v>
      </c>
      <c r="I2296">
        <v>25371.988700000002</v>
      </c>
      <c r="J2296" s="2" t="s">
        <v>47</v>
      </c>
    </row>
    <row r="2297" spans="1:10" x14ac:dyDescent="0.35">
      <c r="A2297" s="1">
        <v>45654</v>
      </c>
      <c r="B2297" s="2" t="s">
        <v>25</v>
      </c>
      <c r="C2297" s="2" t="s">
        <v>27</v>
      </c>
      <c r="D2297" s="2" t="s">
        <v>17</v>
      </c>
      <c r="E2297" s="2" t="s">
        <v>35</v>
      </c>
      <c r="F2297">
        <v>337</v>
      </c>
      <c r="G2297">
        <v>145</v>
      </c>
      <c r="H2297">
        <v>48865</v>
      </c>
      <c r="I2297">
        <v>4698.1828999999998</v>
      </c>
      <c r="J2297" s="2" t="s">
        <v>47</v>
      </c>
    </row>
    <row r="2298" spans="1:10" x14ac:dyDescent="0.35">
      <c r="A2298" s="1">
        <v>45654</v>
      </c>
      <c r="B2298" s="2" t="s">
        <v>34</v>
      </c>
      <c r="C2298" s="2" t="s">
        <v>29</v>
      </c>
      <c r="D2298" s="2" t="s">
        <v>17</v>
      </c>
      <c r="E2298" s="2" t="s">
        <v>24</v>
      </c>
      <c r="F2298">
        <v>267</v>
      </c>
      <c r="G2298">
        <v>413</v>
      </c>
      <c r="H2298">
        <v>110271</v>
      </c>
      <c r="I2298">
        <v>19234.465899999999</v>
      </c>
      <c r="J2298" s="2" t="s">
        <v>47</v>
      </c>
    </row>
    <row r="2299" spans="1:10" x14ac:dyDescent="0.35">
      <c r="A2299" s="1">
        <v>45655</v>
      </c>
      <c r="B2299" s="2" t="s">
        <v>10</v>
      </c>
      <c r="C2299" s="2" t="s">
        <v>16</v>
      </c>
      <c r="D2299" s="2" t="s">
        <v>30</v>
      </c>
      <c r="E2299" s="2" t="s">
        <v>32</v>
      </c>
      <c r="F2299">
        <v>375</v>
      </c>
      <c r="G2299">
        <v>243</v>
      </c>
      <c r="H2299">
        <v>91125</v>
      </c>
      <c r="I2299">
        <v>17601.9804</v>
      </c>
      <c r="J2299" s="2" t="s">
        <v>47</v>
      </c>
    </row>
    <row r="2300" spans="1:10" x14ac:dyDescent="0.35">
      <c r="A2300" s="1">
        <v>45655</v>
      </c>
      <c r="B2300" s="2" t="s">
        <v>19</v>
      </c>
      <c r="C2300" s="2" t="s">
        <v>27</v>
      </c>
      <c r="D2300" s="2" t="s">
        <v>30</v>
      </c>
      <c r="E2300" s="2" t="s">
        <v>18</v>
      </c>
      <c r="F2300">
        <v>117</v>
      </c>
      <c r="G2300">
        <v>163</v>
      </c>
      <c r="H2300">
        <v>19071</v>
      </c>
      <c r="I2300">
        <v>2823.9515000000001</v>
      </c>
      <c r="J2300" s="2" t="s">
        <v>47</v>
      </c>
    </row>
    <row r="2301" spans="1:10" x14ac:dyDescent="0.35">
      <c r="A2301" s="1">
        <v>45655</v>
      </c>
      <c r="B2301" s="2" t="s">
        <v>15</v>
      </c>
      <c r="C2301" s="2" t="s">
        <v>29</v>
      </c>
      <c r="D2301" s="2" t="s">
        <v>12</v>
      </c>
      <c r="E2301" s="2" t="s">
        <v>33</v>
      </c>
      <c r="F2301">
        <v>726</v>
      </c>
      <c r="G2301">
        <v>147</v>
      </c>
      <c r="H2301">
        <v>106722</v>
      </c>
      <c r="I2301">
        <v>9538.3525000000009</v>
      </c>
      <c r="J2301" s="2" t="s">
        <v>47</v>
      </c>
    </row>
    <row r="2302" spans="1:10" x14ac:dyDescent="0.35">
      <c r="A2302" s="1">
        <v>45655</v>
      </c>
      <c r="B2302" s="2" t="s">
        <v>36</v>
      </c>
      <c r="C2302" s="2" t="s">
        <v>27</v>
      </c>
      <c r="D2302" s="2" t="s">
        <v>12</v>
      </c>
      <c r="E2302" s="2" t="s">
        <v>13</v>
      </c>
      <c r="F2302">
        <v>153</v>
      </c>
      <c r="G2302">
        <v>374</v>
      </c>
      <c r="H2302">
        <v>57222</v>
      </c>
      <c r="I2302">
        <v>9323.4719999999998</v>
      </c>
      <c r="J2302" s="2" t="s">
        <v>47</v>
      </c>
    </row>
    <row r="2303" spans="1:10" x14ac:dyDescent="0.35">
      <c r="A2303" s="1">
        <v>45656</v>
      </c>
      <c r="B2303" s="2" t="s">
        <v>15</v>
      </c>
      <c r="C2303" s="2" t="s">
        <v>23</v>
      </c>
      <c r="D2303" s="2" t="s">
        <v>21</v>
      </c>
      <c r="E2303" s="2" t="s">
        <v>32</v>
      </c>
      <c r="F2303">
        <v>309</v>
      </c>
      <c r="G2303">
        <v>285</v>
      </c>
      <c r="H2303">
        <v>88065</v>
      </c>
      <c r="I2303">
        <v>13799.6574</v>
      </c>
      <c r="J2303" s="2" t="s">
        <v>47</v>
      </c>
    </row>
    <row r="2304" spans="1:10" x14ac:dyDescent="0.35">
      <c r="A2304" s="1">
        <v>45656</v>
      </c>
      <c r="B2304" s="2" t="s">
        <v>19</v>
      </c>
      <c r="C2304" s="2" t="s">
        <v>23</v>
      </c>
      <c r="D2304" s="2" t="s">
        <v>17</v>
      </c>
      <c r="E2304" s="2" t="s">
        <v>13</v>
      </c>
      <c r="F2304">
        <v>516</v>
      </c>
      <c r="G2304">
        <v>160</v>
      </c>
      <c r="H2304">
        <v>82560</v>
      </c>
      <c r="I2304">
        <v>17031.242399999999</v>
      </c>
      <c r="J2304" s="2" t="s">
        <v>47</v>
      </c>
    </row>
    <row r="2305" spans="1:10" x14ac:dyDescent="0.35">
      <c r="A2305" s="1">
        <v>45656</v>
      </c>
      <c r="B2305" s="2" t="s">
        <v>10</v>
      </c>
      <c r="C2305" s="2" t="s">
        <v>29</v>
      </c>
      <c r="D2305" s="2" t="s">
        <v>30</v>
      </c>
      <c r="E2305" s="2" t="s">
        <v>35</v>
      </c>
      <c r="F2305">
        <v>290</v>
      </c>
      <c r="G2305">
        <v>273</v>
      </c>
      <c r="H2305">
        <v>79170</v>
      </c>
      <c r="I2305">
        <v>15569.0404</v>
      </c>
      <c r="J2305" s="2" t="s">
        <v>47</v>
      </c>
    </row>
    <row r="2306" spans="1:10" x14ac:dyDescent="0.35">
      <c r="A2306" s="1">
        <v>45657</v>
      </c>
      <c r="B2306" s="2" t="s">
        <v>36</v>
      </c>
      <c r="C2306" s="2" t="s">
        <v>29</v>
      </c>
      <c r="D2306" s="2" t="s">
        <v>12</v>
      </c>
      <c r="E2306" s="2" t="s">
        <v>13</v>
      </c>
      <c r="F2306">
        <v>308</v>
      </c>
      <c r="G2306">
        <v>149</v>
      </c>
      <c r="H2306">
        <v>45892</v>
      </c>
      <c r="I2306">
        <v>8417.2175000000007</v>
      </c>
      <c r="J2306" s="2" t="s">
        <v>47</v>
      </c>
    </row>
    <row r="2307" spans="1:10" x14ac:dyDescent="0.35">
      <c r="A2307" s="1">
        <v>45657</v>
      </c>
      <c r="B2307" s="2" t="s">
        <v>15</v>
      </c>
      <c r="C2307" s="2" t="s">
        <v>23</v>
      </c>
      <c r="D2307" s="2" t="s">
        <v>17</v>
      </c>
      <c r="E2307" s="2" t="s">
        <v>35</v>
      </c>
      <c r="F2307">
        <v>293</v>
      </c>
      <c r="G2307">
        <v>249</v>
      </c>
      <c r="H2307">
        <v>72957</v>
      </c>
      <c r="I2307">
        <v>14376.1147</v>
      </c>
      <c r="J2307" s="2" t="s">
        <v>47</v>
      </c>
    </row>
    <row r="2308" spans="1:10" x14ac:dyDescent="0.35">
      <c r="A2308" s="1">
        <v>45658</v>
      </c>
      <c r="B2308" s="2" t="s">
        <v>25</v>
      </c>
      <c r="C2308" s="2" t="s">
        <v>29</v>
      </c>
      <c r="D2308" s="2" t="s">
        <v>12</v>
      </c>
      <c r="E2308" s="2" t="s">
        <v>35</v>
      </c>
      <c r="F2308">
        <v>173</v>
      </c>
      <c r="G2308">
        <v>100</v>
      </c>
      <c r="H2308">
        <v>17300</v>
      </c>
      <c r="I2308">
        <v>3383.5118000000002</v>
      </c>
      <c r="J2308" s="2" t="s">
        <v>14</v>
      </c>
    </row>
    <row r="2309" spans="1:10" x14ac:dyDescent="0.35">
      <c r="A2309" s="1">
        <v>45658</v>
      </c>
      <c r="B2309" s="2" t="s">
        <v>10</v>
      </c>
      <c r="C2309" s="2" t="s">
        <v>23</v>
      </c>
      <c r="D2309" s="2" t="s">
        <v>21</v>
      </c>
      <c r="E2309" s="2" t="s">
        <v>35</v>
      </c>
      <c r="F2309">
        <v>837</v>
      </c>
      <c r="G2309">
        <v>433</v>
      </c>
      <c r="H2309">
        <v>362421</v>
      </c>
      <c r="I2309">
        <v>68403.1783</v>
      </c>
      <c r="J2309" s="2" t="s">
        <v>14</v>
      </c>
    </row>
    <row r="2310" spans="1:10" x14ac:dyDescent="0.35">
      <c r="A2310" s="1">
        <v>45658</v>
      </c>
      <c r="B2310" s="2" t="s">
        <v>10</v>
      </c>
      <c r="C2310" s="2" t="s">
        <v>29</v>
      </c>
      <c r="D2310" s="2" t="s">
        <v>21</v>
      </c>
      <c r="E2310" s="2" t="s">
        <v>18</v>
      </c>
      <c r="F2310">
        <v>502</v>
      </c>
      <c r="G2310">
        <v>101</v>
      </c>
      <c r="H2310">
        <v>50702</v>
      </c>
      <c r="I2310">
        <v>11092.7322</v>
      </c>
      <c r="J2310" s="2" t="s">
        <v>14</v>
      </c>
    </row>
    <row r="2311" spans="1:10" x14ac:dyDescent="0.35">
      <c r="A2311" s="1">
        <v>45658</v>
      </c>
      <c r="B2311" s="2" t="s">
        <v>25</v>
      </c>
      <c r="C2311" s="2" t="s">
        <v>20</v>
      </c>
      <c r="D2311" s="2" t="s">
        <v>12</v>
      </c>
      <c r="E2311" s="2" t="s">
        <v>33</v>
      </c>
      <c r="F2311">
        <v>123</v>
      </c>
      <c r="G2311">
        <v>107</v>
      </c>
      <c r="H2311">
        <v>13161</v>
      </c>
      <c r="I2311">
        <v>2247.4394000000002</v>
      </c>
      <c r="J2311" s="2" t="s">
        <v>14</v>
      </c>
    </row>
    <row r="2312" spans="1:10" x14ac:dyDescent="0.35">
      <c r="A2312" s="1">
        <v>45659</v>
      </c>
      <c r="B2312" s="2" t="s">
        <v>36</v>
      </c>
      <c r="C2312" s="2" t="s">
        <v>11</v>
      </c>
      <c r="D2312" s="2" t="s">
        <v>17</v>
      </c>
      <c r="E2312" s="2" t="s">
        <v>32</v>
      </c>
      <c r="F2312">
        <v>163</v>
      </c>
      <c r="G2312">
        <v>344</v>
      </c>
      <c r="H2312">
        <v>56072</v>
      </c>
      <c r="I2312">
        <v>9387.5759999999991</v>
      </c>
      <c r="J2312" s="2" t="s">
        <v>14</v>
      </c>
    </row>
    <row r="2313" spans="1:10" x14ac:dyDescent="0.35">
      <c r="A2313" s="1">
        <v>45659</v>
      </c>
      <c r="B2313" s="2" t="s">
        <v>15</v>
      </c>
      <c r="C2313" s="2" t="s">
        <v>20</v>
      </c>
      <c r="D2313" s="2" t="s">
        <v>30</v>
      </c>
      <c r="E2313" s="2" t="s">
        <v>24</v>
      </c>
      <c r="F2313">
        <v>476</v>
      </c>
      <c r="G2313">
        <v>362</v>
      </c>
      <c r="H2313">
        <v>172312</v>
      </c>
      <c r="I2313">
        <v>14489.956700000001</v>
      </c>
      <c r="J2313" s="2" t="s">
        <v>14</v>
      </c>
    </row>
    <row r="2314" spans="1:10" x14ac:dyDescent="0.35">
      <c r="A2314" s="1">
        <v>45659</v>
      </c>
      <c r="B2314" s="2" t="s">
        <v>36</v>
      </c>
      <c r="C2314" s="2" t="s">
        <v>29</v>
      </c>
      <c r="D2314" s="2" t="s">
        <v>21</v>
      </c>
      <c r="E2314" s="2" t="s">
        <v>35</v>
      </c>
      <c r="F2314">
        <v>477</v>
      </c>
      <c r="G2314">
        <v>228</v>
      </c>
      <c r="H2314">
        <v>108756</v>
      </c>
      <c r="I2314">
        <v>9338.2198000000008</v>
      </c>
      <c r="J2314" s="2" t="s">
        <v>14</v>
      </c>
    </row>
    <row r="2315" spans="1:10" x14ac:dyDescent="0.35">
      <c r="A2315" s="1">
        <v>45660</v>
      </c>
      <c r="B2315" s="2" t="s">
        <v>10</v>
      </c>
      <c r="C2315" s="2" t="s">
        <v>29</v>
      </c>
      <c r="D2315" s="2" t="s">
        <v>12</v>
      </c>
      <c r="E2315" s="2" t="s">
        <v>28</v>
      </c>
      <c r="F2315">
        <v>341</v>
      </c>
      <c r="G2315">
        <v>192</v>
      </c>
      <c r="H2315">
        <v>65472</v>
      </c>
      <c r="I2315">
        <v>5492.7545</v>
      </c>
      <c r="J2315" s="2" t="s">
        <v>14</v>
      </c>
    </row>
    <row r="2316" spans="1:10" x14ac:dyDescent="0.35">
      <c r="A2316" s="1">
        <v>45661</v>
      </c>
      <c r="B2316" s="2" t="s">
        <v>10</v>
      </c>
      <c r="C2316" s="2" t="s">
        <v>27</v>
      </c>
      <c r="D2316" s="2" t="s">
        <v>17</v>
      </c>
      <c r="E2316" s="2" t="s">
        <v>22</v>
      </c>
      <c r="F2316">
        <v>560</v>
      </c>
      <c r="G2316">
        <v>155</v>
      </c>
      <c r="H2316">
        <v>86800</v>
      </c>
      <c r="I2316">
        <v>9955.2402999999995</v>
      </c>
      <c r="J2316" s="2" t="s">
        <v>14</v>
      </c>
    </row>
    <row r="2317" spans="1:10" x14ac:dyDescent="0.35">
      <c r="A2317" s="1">
        <v>45661</v>
      </c>
      <c r="B2317" s="2" t="s">
        <v>31</v>
      </c>
      <c r="C2317" s="2" t="s">
        <v>11</v>
      </c>
      <c r="D2317" s="2" t="s">
        <v>12</v>
      </c>
      <c r="E2317" s="2" t="s">
        <v>33</v>
      </c>
      <c r="F2317">
        <v>718</v>
      </c>
      <c r="G2317">
        <v>450</v>
      </c>
      <c r="H2317">
        <v>323100</v>
      </c>
      <c r="I2317">
        <v>75944.714000000007</v>
      </c>
      <c r="J2317" s="2" t="s">
        <v>14</v>
      </c>
    </row>
    <row r="2318" spans="1:10" x14ac:dyDescent="0.35">
      <c r="A2318" s="1">
        <v>45662</v>
      </c>
      <c r="B2318" s="2" t="s">
        <v>36</v>
      </c>
      <c r="C2318" s="2" t="s">
        <v>11</v>
      </c>
      <c r="D2318" s="2" t="s">
        <v>21</v>
      </c>
      <c r="E2318" s="2" t="s">
        <v>32</v>
      </c>
      <c r="F2318">
        <v>310</v>
      </c>
      <c r="G2318">
        <v>448</v>
      </c>
      <c r="H2318">
        <v>138880</v>
      </c>
      <c r="I2318">
        <v>24500.9048</v>
      </c>
      <c r="J2318" s="2" t="s">
        <v>14</v>
      </c>
    </row>
    <row r="2319" spans="1:10" x14ac:dyDescent="0.35">
      <c r="A2319" s="1">
        <v>45662</v>
      </c>
      <c r="B2319" s="2" t="s">
        <v>15</v>
      </c>
      <c r="C2319" s="2" t="s">
        <v>29</v>
      </c>
      <c r="D2319" s="2" t="s">
        <v>30</v>
      </c>
      <c r="E2319" s="2" t="s">
        <v>33</v>
      </c>
      <c r="F2319">
        <v>238</v>
      </c>
      <c r="G2319">
        <v>353</v>
      </c>
      <c r="H2319">
        <v>84014</v>
      </c>
      <c r="I2319">
        <v>11039.669400000001</v>
      </c>
      <c r="J2319" s="2" t="s">
        <v>14</v>
      </c>
    </row>
    <row r="2320" spans="1:10" x14ac:dyDescent="0.35">
      <c r="A2320" s="1">
        <v>45662</v>
      </c>
      <c r="B2320" s="2" t="s">
        <v>10</v>
      </c>
      <c r="C2320" s="2" t="s">
        <v>27</v>
      </c>
      <c r="D2320" s="2" t="s">
        <v>30</v>
      </c>
      <c r="E2320" s="2" t="s">
        <v>32</v>
      </c>
      <c r="F2320">
        <v>471</v>
      </c>
      <c r="G2320">
        <v>341</v>
      </c>
      <c r="H2320">
        <v>160611</v>
      </c>
      <c r="I2320">
        <v>14794.0272</v>
      </c>
      <c r="J2320" s="2" t="s">
        <v>14</v>
      </c>
    </row>
    <row r="2321" spans="1:10" x14ac:dyDescent="0.35">
      <c r="A2321" s="1">
        <v>45662</v>
      </c>
      <c r="B2321" s="2" t="s">
        <v>36</v>
      </c>
      <c r="C2321" s="2" t="s">
        <v>16</v>
      </c>
      <c r="D2321" s="2" t="s">
        <v>17</v>
      </c>
      <c r="E2321" s="2" t="s">
        <v>18</v>
      </c>
      <c r="F2321">
        <v>529</v>
      </c>
      <c r="G2321">
        <v>275</v>
      </c>
      <c r="H2321">
        <v>145475</v>
      </c>
      <c r="I2321">
        <v>17445.776000000002</v>
      </c>
      <c r="J2321" s="2" t="s">
        <v>14</v>
      </c>
    </row>
    <row r="2322" spans="1:10" x14ac:dyDescent="0.35">
      <c r="A2322" s="1">
        <v>45663</v>
      </c>
      <c r="B2322" s="2" t="s">
        <v>31</v>
      </c>
      <c r="C2322" s="2" t="s">
        <v>29</v>
      </c>
      <c r="D2322" s="2" t="s">
        <v>21</v>
      </c>
      <c r="E2322" s="2" t="s">
        <v>13</v>
      </c>
      <c r="F2322">
        <v>863</v>
      </c>
      <c r="G2322">
        <v>371</v>
      </c>
      <c r="H2322">
        <v>320173</v>
      </c>
      <c r="I2322">
        <v>72520.280700000003</v>
      </c>
      <c r="J2322" s="2" t="s">
        <v>14</v>
      </c>
    </row>
    <row r="2323" spans="1:10" x14ac:dyDescent="0.35">
      <c r="A2323" s="1">
        <v>45663</v>
      </c>
      <c r="B2323" s="2" t="s">
        <v>26</v>
      </c>
      <c r="C2323" s="2" t="s">
        <v>11</v>
      </c>
      <c r="D2323" s="2" t="s">
        <v>17</v>
      </c>
      <c r="E2323" s="2" t="s">
        <v>28</v>
      </c>
      <c r="F2323">
        <v>210</v>
      </c>
      <c r="G2323">
        <v>109</v>
      </c>
      <c r="H2323">
        <v>22890</v>
      </c>
      <c r="I2323">
        <v>2052.3890999999999</v>
      </c>
      <c r="J2323" s="2" t="s">
        <v>14</v>
      </c>
    </row>
    <row r="2324" spans="1:10" x14ac:dyDescent="0.35">
      <c r="A2324" s="1">
        <v>45664</v>
      </c>
      <c r="B2324" s="2" t="s">
        <v>31</v>
      </c>
      <c r="C2324" s="2" t="s">
        <v>20</v>
      </c>
      <c r="D2324" s="2" t="s">
        <v>21</v>
      </c>
      <c r="E2324" s="2" t="s">
        <v>22</v>
      </c>
      <c r="F2324">
        <v>159</v>
      </c>
      <c r="G2324">
        <v>217</v>
      </c>
      <c r="H2324">
        <v>34503</v>
      </c>
      <c r="I2324">
        <v>4800.4274999999998</v>
      </c>
      <c r="J2324" s="2" t="s">
        <v>14</v>
      </c>
    </row>
    <row r="2325" spans="1:10" x14ac:dyDescent="0.35">
      <c r="A2325" s="1">
        <v>45664</v>
      </c>
      <c r="B2325" s="2" t="s">
        <v>34</v>
      </c>
      <c r="C2325" s="2" t="s">
        <v>20</v>
      </c>
      <c r="D2325" s="2" t="s">
        <v>17</v>
      </c>
      <c r="E2325" s="2" t="s">
        <v>32</v>
      </c>
      <c r="F2325">
        <v>262</v>
      </c>
      <c r="G2325">
        <v>227</v>
      </c>
      <c r="H2325">
        <v>59474</v>
      </c>
      <c r="I2325">
        <v>12911.2603</v>
      </c>
      <c r="J2325" s="2" t="s">
        <v>14</v>
      </c>
    </row>
    <row r="2326" spans="1:10" x14ac:dyDescent="0.35">
      <c r="A2326" s="1">
        <v>45664</v>
      </c>
      <c r="B2326" s="2" t="s">
        <v>15</v>
      </c>
      <c r="C2326" s="2" t="s">
        <v>20</v>
      </c>
      <c r="D2326" s="2" t="s">
        <v>30</v>
      </c>
      <c r="E2326" s="2" t="s">
        <v>13</v>
      </c>
      <c r="F2326">
        <v>541</v>
      </c>
      <c r="G2326">
        <v>150</v>
      </c>
      <c r="H2326">
        <v>81150</v>
      </c>
      <c r="I2326">
        <v>17764.032500000001</v>
      </c>
      <c r="J2326" s="2" t="s">
        <v>14</v>
      </c>
    </row>
    <row r="2327" spans="1:10" x14ac:dyDescent="0.35">
      <c r="A2327" s="1">
        <v>45664</v>
      </c>
      <c r="B2327" s="2" t="s">
        <v>36</v>
      </c>
      <c r="C2327" s="2" t="s">
        <v>16</v>
      </c>
      <c r="D2327" s="2" t="s">
        <v>12</v>
      </c>
      <c r="E2327" s="2" t="s">
        <v>13</v>
      </c>
      <c r="F2327">
        <v>806</v>
      </c>
      <c r="G2327">
        <v>427</v>
      </c>
      <c r="H2327">
        <v>344162</v>
      </c>
      <c r="I2327">
        <v>27743.9637</v>
      </c>
      <c r="J2327" s="2" t="s">
        <v>14</v>
      </c>
    </row>
    <row r="2328" spans="1:10" x14ac:dyDescent="0.35">
      <c r="A2328" s="1">
        <v>45665</v>
      </c>
      <c r="B2328" s="2" t="s">
        <v>36</v>
      </c>
      <c r="C2328" s="2" t="s">
        <v>27</v>
      </c>
      <c r="D2328" s="2" t="s">
        <v>12</v>
      </c>
      <c r="E2328" s="2" t="s">
        <v>28</v>
      </c>
      <c r="F2328">
        <v>632</v>
      </c>
      <c r="G2328">
        <v>210</v>
      </c>
      <c r="H2328">
        <v>132720</v>
      </c>
      <c r="I2328">
        <v>16245.819299999999</v>
      </c>
      <c r="J2328" s="2" t="s">
        <v>14</v>
      </c>
    </row>
    <row r="2329" spans="1:10" x14ac:dyDescent="0.35">
      <c r="A2329" s="1">
        <v>45665</v>
      </c>
      <c r="B2329" s="2" t="s">
        <v>26</v>
      </c>
      <c r="C2329" s="2" t="s">
        <v>11</v>
      </c>
      <c r="D2329" s="2" t="s">
        <v>12</v>
      </c>
      <c r="E2329" s="2" t="s">
        <v>13</v>
      </c>
      <c r="F2329">
        <v>863</v>
      </c>
      <c r="G2329">
        <v>130</v>
      </c>
      <c r="H2329">
        <v>112190</v>
      </c>
      <c r="I2329">
        <v>17304.199000000001</v>
      </c>
      <c r="J2329" s="2" t="s">
        <v>14</v>
      </c>
    </row>
    <row r="2330" spans="1:10" x14ac:dyDescent="0.35">
      <c r="A2330" s="1">
        <v>45665</v>
      </c>
      <c r="B2330" s="2" t="s">
        <v>15</v>
      </c>
      <c r="C2330" s="2" t="s">
        <v>16</v>
      </c>
      <c r="D2330" s="2" t="s">
        <v>30</v>
      </c>
      <c r="E2330" s="2" t="s">
        <v>24</v>
      </c>
      <c r="F2330">
        <v>561</v>
      </c>
      <c r="G2330">
        <v>271</v>
      </c>
      <c r="H2330">
        <v>152031</v>
      </c>
      <c r="I2330">
        <v>12249.6546</v>
      </c>
      <c r="J2330" s="2" t="s">
        <v>14</v>
      </c>
    </row>
    <row r="2331" spans="1:10" x14ac:dyDescent="0.35">
      <c r="A2331" s="1">
        <v>45666</v>
      </c>
      <c r="B2331" s="2" t="s">
        <v>10</v>
      </c>
      <c r="C2331" s="2" t="s">
        <v>29</v>
      </c>
      <c r="D2331" s="2" t="s">
        <v>30</v>
      </c>
      <c r="E2331" s="2" t="s">
        <v>18</v>
      </c>
      <c r="F2331">
        <v>96</v>
      </c>
      <c r="G2331">
        <v>190</v>
      </c>
      <c r="H2331">
        <v>18240</v>
      </c>
      <c r="I2331">
        <v>3096.5275000000001</v>
      </c>
      <c r="J2331" s="2" t="s">
        <v>14</v>
      </c>
    </row>
    <row r="2332" spans="1:10" x14ac:dyDescent="0.35">
      <c r="A2332" s="1">
        <v>45666</v>
      </c>
      <c r="B2332" s="2" t="s">
        <v>34</v>
      </c>
      <c r="C2332" s="2" t="s">
        <v>11</v>
      </c>
      <c r="D2332" s="2" t="s">
        <v>21</v>
      </c>
      <c r="E2332" s="2" t="s">
        <v>24</v>
      </c>
      <c r="F2332">
        <v>975</v>
      </c>
      <c r="G2332">
        <v>302</v>
      </c>
      <c r="H2332">
        <v>294450</v>
      </c>
      <c r="I2332">
        <v>23774.271499999999</v>
      </c>
      <c r="J2332" s="2" t="s">
        <v>14</v>
      </c>
    </row>
    <row r="2333" spans="1:10" x14ac:dyDescent="0.35">
      <c r="A2333" s="1">
        <v>45666</v>
      </c>
      <c r="B2333" s="2" t="s">
        <v>26</v>
      </c>
      <c r="C2333" s="2" t="s">
        <v>29</v>
      </c>
      <c r="D2333" s="2" t="s">
        <v>21</v>
      </c>
      <c r="E2333" s="2" t="s">
        <v>33</v>
      </c>
      <c r="F2333">
        <v>970</v>
      </c>
      <c r="G2333">
        <v>321</v>
      </c>
      <c r="H2333">
        <v>311370</v>
      </c>
      <c r="I2333">
        <v>60255.5432</v>
      </c>
      <c r="J2333" s="2" t="s">
        <v>14</v>
      </c>
    </row>
    <row r="2334" spans="1:10" x14ac:dyDescent="0.35">
      <c r="A2334" s="1">
        <v>45666</v>
      </c>
      <c r="B2334" s="2" t="s">
        <v>25</v>
      </c>
      <c r="C2334" s="2" t="s">
        <v>23</v>
      </c>
      <c r="D2334" s="2" t="s">
        <v>12</v>
      </c>
      <c r="E2334" s="2" t="s">
        <v>35</v>
      </c>
      <c r="F2334">
        <v>229</v>
      </c>
      <c r="G2334">
        <v>369</v>
      </c>
      <c r="H2334">
        <v>84501</v>
      </c>
      <c r="I2334">
        <v>7486.3213999999998</v>
      </c>
      <c r="J2334" s="2" t="s">
        <v>14</v>
      </c>
    </row>
    <row r="2335" spans="1:10" x14ac:dyDescent="0.35">
      <c r="A2335" s="1">
        <v>45667</v>
      </c>
      <c r="B2335" s="2" t="s">
        <v>36</v>
      </c>
      <c r="C2335" s="2" t="s">
        <v>20</v>
      </c>
      <c r="D2335" s="2" t="s">
        <v>12</v>
      </c>
      <c r="E2335" s="2" t="s">
        <v>24</v>
      </c>
      <c r="F2335">
        <v>313</v>
      </c>
      <c r="G2335">
        <v>210</v>
      </c>
      <c r="H2335">
        <v>65730</v>
      </c>
      <c r="I2335">
        <v>11364.6752</v>
      </c>
      <c r="J2335" s="2" t="s">
        <v>14</v>
      </c>
    </row>
    <row r="2336" spans="1:10" x14ac:dyDescent="0.35">
      <c r="A2336" s="1">
        <v>45667</v>
      </c>
      <c r="B2336" s="2" t="s">
        <v>31</v>
      </c>
      <c r="C2336" s="2" t="s">
        <v>20</v>
      </c>
      <c r="D2336" s="2" t="s">
        <v>21</v>
      </c>
      <c r="E2336" s="2" t="s">
        <v>13</v>
      </c>
      <c r="F2336">
        <v>889</v>
      </c>
      <c r="G2336">
        <v>473</v>
      </c>
      <c r="H2336">
        <v>420497</v>
      </c>
      <c r="I2336">
        <v>75038.423800000004</v>
      </c>
      <c r="J2336" s="2" t="s">
        <v>14</v>
      </c>
    </row>
    <row r="2337" spans="1:10" x14ac:dyDescent="0.35">
      <c r="A2337" s="1">
        <v>45668</v>
      </c>
      <c r="B2337" s="2" t="s">
        <v>25</v>
      </c>
      <c r="C2337" s="2" t="s">
        <v>20</v>
      </c>
      <c r="D2337" s="2" t="s">
        <v>17</v>
      </c>
      <c r="E2337" s="2" t="s">
        <v>32</v>
      </c>
      <c r="F2337">
        <v>797</v>
      </c>
      <c r="G2337">
        <v>199</v>
      </c>
      <c r="H2337">
        <v>158603</v>
      </c>
      <c r="I2337">
        <v>36750.461199999998</v>
      </c>
      <c r="J2337" s="2" t="s">
        <v>14</v>
      </c>
    </row>
    <row r="2338" spans="1:10" x14ac:dyDescent="0.35">
      <c r="A2338" s="1">
        <v>45668</v>
      </c>
      <c r="B2338" s="2" t="s">
        <v>10</v>
      </c>
      <c r="C2338" s="2" t="s">
        <v>23</v>
      </c>
      <c r="D2338" s="2" t="s">
        <v>30</v>
      </c>
      <c r="E2338" s="2" t="s">
        <v>32</v>
      </c>
      <c r="F2338">
        <v>815</v>
      </c>
      <c r="G2338">
        <v>175</v>
      </c>
      <c r="H2338">
        <v>142625</v>
      </c>
      <c r="I2338">
        <v>17619.6358</v>
      </c>
      <c r="J2338" s="2" t="s">
        <v>14</v>
      </c>
    </row>
    <row r="2339" spans="1:10" x14ac:dyDescent="0.35">
      <c r="A2339" s="1">
        <v>45669</v>
      </c>
      <c r="B2339" s="2" t="s">
        <v>15</v>
      </c>
      <c r="C2339" s="2" t="s">
        <v>27</v>
      </c>
      <c r="D2339" s="2" t="s">
        <v>12</v>
      </c>
      <c r="E2339" s="2" t="s">
        <v>33</v>
      </c>
      <c r="F2339">
        <v>343</v>
      </c>
      <c r="G2339">
        <v>369</v>
      </c>
      <c r="H2339">
        <v>126567</v>
      </c>
      <c r="I2339">
        <v>27096.8799</v>
      </c>
      <c r="J2339" s="2" t="s">
        <v>14</v>
      </c>
    </row>
    <row r="2340" spans="1:10" x14ac:dyDescent="0.35">
      <c r="A2340" s="1">
        <v>45669</v>
      </c>
      <c r="B2340" s="2" t="s">
        <v>34</v>
      </c>
      <c r="C2340" s="2" t="s">
        <v>29</v>
      </c>
      <c r="D2340" s="2" t="s">
        <v>21</v>
      </c>
      <c r="E2340" s="2" t="s">
        <v>32</v>
      </c>
      <c r="F2340">
        <v>307</v>
      </c>
      <c r="G2340">
        <v>159</v>
      </c>
      <c r="H2340">
        <v>48813</v>
      </c>
      <c r="I2340">
        <v>11075.6543</v>
      </c>
      <c r="J2340" s="2" t="s">
        <v>14</v>
      </c>
    </row>
    <row r="2341" spans="1:10" x14ac:dyDescent="0.35">
      <c r="A2341" s="1">
        <v>45670</v>
      </c>
      <c r="B2341" s="2" t="s">
        <v>19</v>
      </c>
      <c r="C2341" s="2" t="s">
        <v>16</v>
      </c>
      <c r="D2341" s="2" t="s">
        <v>21</v>
      </c>
      <c r="E2341" s="2" t="s">
        <v>24</v>
      </c>
      <c r="F2341">
        <v>951</v>
      </c>
      <c r="G2341">
        <v>218</v>
      </c>
      <c r="H2341">
        <v>207318</v>
      </c>
      <c r="I2341">
        <v>47333.498399999997</v>
      </c>
      <c r="J2341" s="2" t="s">
        <v>14</v>
      </c>
    </row>
    <row r="2342" spans="1:10" x14ac:dyDescent="0.35">
      <c r="A2342" s="1">
        <v>45670</v>
      </c>
      <c r="B2342" s="2" t="s">
        <v>25</v>
      </c>
      <c r="C2342" s="2" t="s">
        <v>20</v>
      </c>
      <c r="D2342" s="2" t="s">
        <v>21</v>
      </c>
      <c r="E2342" s="2" t="s">
        <v>22</v>
      </c>
      <c r="F2342">
        <v>304</v>
      </c>
      <c r="G2342">
        <v>278</v>
      </c>
      <c r="H2342">
        <v>84512</v>
      </c>
      <c r="I2342">
        <v>10240.3801</v>
      </c>
      <c r="J2342" s="2" t="s">
        <v>14</v>
      </c>
    </row>
    <row r="2343" spans="1:10" x14ac:dyDescent="0.35">
      <c r="A2343" s="1">
        <v>45670</v>
      </c>
      <c r="B2343" s="2" t="s">
        <v>10</v>
      </c>
      <c r="C2343" s="2" t="s">
        <v>29</v>
      </c>
      <c r="D2343" s="2" t="s">
        <v>30</v>
      </c>
      <c r="E2343" s="2" t="s">
        <v>22</v>
      </c>
      <c r="F2343">
        <v>685</v>
      </c>
      <c r="G2343">
        <v>381</v>
      </c>
      <c r="H2343">
        <v>260985</v>
      </c>
      <c r="I2343">
        <v>39901.854800000001</v>
      </c>
      <c r="J2343" s="2" t="s">
        <v>14</v>
      </c>
    </row>
    <row r="2344" spans="1:10" x14ac:dyDescent="0.35">
      <c r="A2344" s="1">
        <v>45670</v>
      </c>
      <c r="B2344" s="2" t="s">
        <v>25</v>
      </c>
      <c r="C2344" s="2" t="s">
        <v>29</v>
      </c>
      <c r="D2344" s="2" t="s">
        <v>21</v>
      </c>
      <c r="E2344" s="2" t="s">
        <v>35</v>
      </c>
      <c r="F2344">
        <v>155</v>
      </c>
      <c r="G2344">
        <v>159</v>
      </c>
      <c r="H2344">
        <v>24645</v>
      </c>
      <c r="I2344">
        <v>5169.0841</v>
      </c>
      <c r="J2344" s="2" t="s">
        <v>14</v>
      </c>
    </row>
    <row r="2345" spans="1:10" x14ac:dyDescent="0.35">
      <c r="A2345" s="1">
        <v>45670</v>
      </c>
      <c r="B2345" s="2" t="s">
        <v>10</v>
      </c>
      <c r="C2345" s="2" t="s">
        <v>27</v>
      </c>
      <c r="D2345" s="2" t="s">
        <v>12</v>
      </c>
      <c r="E2345" s="2" t="s">
        <v>28</v>
      </c>
      <c r="F2345">
        <v>965</v>
      </c>
      <c r="G2345">
        <v>130</v>
      </c>
      <c r="H2345">
        <v>125450</v>
      </c>
      <c r="I2345">
        <v>15044.713900000001</v>
      </c>
      <c r="J2345" s="2" t="s">
        <v>14</v>
      </c>
    </row>
    <row r="2346" spans="1:10" x14ac:dyDescent="0.35">
      <c r="A2346" s="1">
        <v>45671</v>
      </c>
      <c r="B2346" s="2" t="s">
        <v>26</v>
      </c>
      <c r="C2346" s="2" t="s">
        <v>11</v>
      </c>
      <c r="D2346" s="2" t="s">
        <v>17</v>
      </c>
      <c r="E2346" s="2" t="s">
        <v>28</v>
      </c>
      <c r="F2346">
        <v>131</v>
      </c>
      <c r="G2346">
        <v>474</v>
      </c>
      <c r="H2346">
        <v>62094</v>
      </c>
      <c r="I2346">
        <v>7468.3913000000002</v>
      </c>
      <c r="J2346" s="2" t="s">
        <v>14</v>
      </c>
    </row>
    <row r="2347" spans="1:10" x14ac:dyDescent="0.35">
      <c r="A2347" s="1">
        <v>45671</v>
      </c>
      <c r="B2347" s="2" t="s">
        <v>26</v>
      </c>
      <c r="C2347" s="2" t="s">
        <v>11</v>
      </c>
      <c r="D2347" s="2" t="s">
        <v>30</v>
      </c>
      <c r="E2347" s="2" t="s">
        <v>33</v>
      </c>
      <c r="F2347">
        <v>233</v>
      </c>
      <c r="G2347">
        <v>276</v>
      </c>
      <c r="H2347">
        <v>64308</v>
      </c>
      <c r="I2347">
        <v>7597.6247000000003</v>
      </c>
      <c r="J2347" s="2" t="s">
        <v>14</v>
      </c>
    </row>
    <row r="2348" spans="1:10" x14ac:dyDescent="0.35">
      <c r="A2348" s="1">
        <v>45672</v>
      </c>
      <c r="B2348" s="2" t="s">
        <v>31</v>
      </c>
      <c r="C2348" s="2" t="s">
        <v>23</v>
      </c>
      <c r="D2348" s="2" t="s">
        <v>21</v>
      </c>
      <c r="E2348" s="2" t="s">
        <v>18</v>
      </c>
      <c r="F2348">
        <v>180</v>
      </c>
      <c r="G2348">
        <v>467</v>
      </c>
      <c r="H2348">
        <v>84060</v>
      </c>
      <c r="I2348">
        <v>11166.078600000001</v>
      </c>
      <c r="J2348" s="2" t="s">
        <v>14</v>
      </c>
    </row>
    <row r="2349" spans="1:10" x14ac:dyDescent="0.35">
      <c r="A2349" s="1">
        <v>45672</v>
      </c>
      <c r="B2349" s="2" t="s">
        <v>15</v>
      </c>
      <c r="C2349" s="2" t="s">
        <v>11</v>
      </c>
      <c r="D2349" s="2" t="s">
        <v>12</v>
      </c>
      <c r="E2349" s="2" t="s">
        <v>35</v>
      </c>
      <c r="F2349">
        <v>68</v>
      </c>
      <c r="G2349">
        <v>455</v>
      </c>
      <c r="H2349">
        <v>30940</v>
      </c>
      <c r="I2349">
        <v>7320.2497000000003</v>
      </c>
      <c r="J2349" s="2" t="s">
        <v>14</v>
      </c>
    </row>
    <row r="2350" spans="1:10" x14ac:dyDescent="0.35">
      <c r="A2350" s="1">
        <v>45672</v>
      </c>
      <c r="B2350" s="2" t="s">
        <v>10</v>
      </c>
      <c r="C2350" s="2" t="s">
        <v>27</v>
      </c>
      <c r="D2350" s="2" t="s">
        <v>30</v>
      </c>
      <c r="E2350" s="2" t="s">
        <v>13</v>
      </c>
      <c r="F2350">
        <v>570</v>
      </c>
      <c r="G2350">
        <v>445</v>
      </c>
      <c r="H2350">
        <v>253650</v>
      </c>
      <c r="I2350">
        <v>34795.154300000002</v>
      </c>
      <c r="J2350" s="2" t="s">
        <v>14</v>
      </c>
    </row>
    <row r="2351" spans="1:10" x14ac:dyDescent="0.35">
      <c r="A2351" s="1">
        <v>45674</v>
      </c>
      <c r="B2351" s="2" t="s">
        <v>31</v>
      </c>
      <c r="C2351" s="2" t="s">
        <v>27</v>
      </c>
      <c r="D2351" s="2" t="s">
        <v>17</v>
      </c>
      <c r="E2351" s="2" t="s">
        <v>33</v>
      </c>
      <c r="F2351">
        <v>380</v>
      </c>
      <c r="G2351">
        <v>252</v>
      </c>
      <c r="H2351">
        <v>95760</v>
      </c>
      <c r="I2351">
        <v>10249.6019</v>
      </c>
      <c r="J2351" s="2" t="s">
        <v>14</v>
      </c>
    </row>
    <row r="2352" spans="1:10" x14ac:dyDescent="0.35">
      <c r="A2352" s="1">
        <v>45674</v>
      </c>
      <c r="B2352" s="2" t="s">
        <v>31</v>
      </c>
      <c r="C2352" s="2" t="s">
        <v>29</v>
      </c>
      <c r="D2352" s="2" t="s">
        <v>17</v>
      </c>
      <c r="E2352" s="2" t="s">
        <v>33</v>
      </c>
      <c r="F2352">
        <v>432</v>
      </c>
      <c r="G2352">
        <v>317</v>
      </c>
      <c r="H2352">
        <v>136944</v>
      </c>
      <c r="I2352">
        <v>22623.946899999999</v>
      </c>
      <c r="J2352" s="2" t="s">
        <v>14</v>
      </c>
    </row>
    <row r="2353" spans="1:10" x14ac:dyDescent="0.35">
      <c r="A2353" s="1">
        <v>45674</v>
      </c>
      <c r="B2353" s="2" t="s">
        <v>31</v>
      </c>
      <c r="C2353" s="2" t="s">
        <v>27</v>
      </c>
      <c r="D2353" s="2" t="s">
        <v>21</v>
      </c>
      <c r="E2353" s="2" t="s">
        <v>28</v>
      </c>
      <c r="F2353">
        <v>88</v>
      </c>
      <c r="G2353">
        <v>351</v>
      </c>
      <c r="H2353">
        <v>30888</v>
      </c>
      <c r="I2353">
        <v>4508.0477000000001</v>
      </c>
      <c r="J2353" s="2" t="s">
        <v>14</v>
      </c>
    </row>
    <row r="2354" spans="1:10" x14ac:dyDescent="0.35">
      <c r="A2354" s="1">
        <v>45674</v>
      </c>
      <c r="B2354" s="2" t="s">
        <v>10</v>
      </c>
      <c r="C2354" s="2" t="s">
        <v>29</v>
      </c>
      <c r="D2354" s="2" t="s">
        <v>21</v>
      </c>
      <c r="E2354" s="2" t="s">
        <v>18</v>
      </c>
      <c r="F2354">
        <v>521</v>
      </c>
      <c r="G2354">
        <v>375</v>
      </c>
      <c r="H2354">
        <v>195375</v>
      </c>
      <c r="I2354">
        <v>27950.794900000001</v>
      </c>
      <c r="J2354" s="2" t="s">
        <v>14</v>
      </c>
    </row>
    <row r="2355" spans="1:10" x14ac:dyDescent="0.35">
      <c r="A2355" s="1">
        <v>45675</v>
      </c>
      <c r="B2355" s="2" t="s">
        <v>26</v>
      </c>
      <c r="C2355" s="2" t="s">
        <v>27</v>
      </c>
      <c r="D2355" s="2" t="s">
        <v>30</v>
      </c>
      <c r="E2355" s="2" t="s">
        <v>35</v>
      </c>
      <c r="F2355">
        <v>689</v>
      </c>
      <c r="G2355">
        <v>244</v>
      </c>
      <c r="H2355">
        <v>168116</v>
      </c>
      <c r="I2355">
        <v>28958.181</v>
      </c>
      <c r="J2355" s="2" t="s">
        <v>14</v>
      </c>
    </row>
    <row r="2356" spans="1:10" x14ac:dyDescent="0.35">
      <c r="A2356" s="1">
        <v>45675</v>
      </c>
      <c r="B2356" s="2" t="s">
        <v>25</v>
      </c>
      <c r="C2356" s="2" t="s">
        <v>16</v>
      </c>
      <c r="D2356" s="2" t="s">
        <v>30</v>
      </c>
      <c r="E2356" s="2" t="s">
        <v>32</v>
      </c>
      <c r="F2356">
        <v>597</v>
      </c>
      <c r="G2356">
        <v>498</v>
      </c>
      <c r="H2356">
        <v>297306</v>
      </c>
      <c r="I2356">
        <v>46075.27</v>
      </c>
      <c r="J2356" s="2" t="s">
        <v>14</v>
      </c>
    </row>
    <row r="2357" spans="1:10" x14ac:dyDescent="0.35">
      <c r="A2357" s="1">
        <v>45675</v>
      </c>
      <c r="B2357" s="2" t="s">
        <v>26</v>
      </c>
      <c r="C2357" s="2" t="s">
        <v>23</v>
      </c>
      <c r="D2357" s="2" t="s">
        <v>30</v>
      </c>
      <c r="E2357" s="2" t="s">
        <v>28</v>
      </c>
      <c r="F2357">
        <v>878</v>
      </c>
      <c r="G2357">
        <v>203</v>
      </c>
      <c r="H2357">
        <v>178234</v>
      </c>
      <c r="I2357">
        <v>29086.011999999999</v>
      </c>
      <c r="J2357" s="2" t="s">
        <v>14</v>
      </c>
    </row>
    <row r="2358" spans="1:10" x14ac:dyDescent="0.35">
      <c r="A2358" s="1">
        <v>45676</v>
      </c>
      <c r="B2358" s="2" t="s">
        <v>34</v>
      </c>
      <c r="C2358" s="2" t="s">
        <v>23</v>
      </c>
      <c r="D2358" s="2" t="s">
        <v>17</v>
      </c>
      <c r="E2358" s="2" t="s">
        <v>22</v>
      </c>
      <c r="F2358">
        <v>832</v>
      </c>
      <c r="G2358">
        <v>220</v>
      </c>
      <c r="H2358">
        <v>183040</v>
      </c>
      <c r="I2358">
        <v>42792.652999999998</v>
      </c>
      <c r="J2358" s="2" t="s">
        <v>14</v>
      </c>
    </row>
    <row r="2359" spans="1:10" x14ac:dyDescent="0.35">
      <c r="A2359" s="1">
        <v>45676</v>
      </c>
      <c r="B2359" s="2" t="s">
        <v>15</v>
      </c>
      <c r="C2359" s="2" t="s">
        <v>23</v>
      </c>
      <c r="D2359" s="2" t="s">
        <v>17</v>
      </c>
      <c r="E2359" s="2" t="s">
        <v>35</v>
      </c>
      <c r="F2359">
        <v>182</v>
      </c>
      <c r="G2359">
        <v>302</v>
      </c>
      <c r="H2359">
        <v>54964</v>
      </c>
      <c r="I2359">
        <v>7220.7051000000001</v>
      </c>
      <c r="J2359" s="2" t="s">
        <v>14</v>
      </c>
    </row>
    <row r="2360" spans="1:10" x14ac:dyDescent="0.35">
      <c r="A2360" s="1">
        <v>45676</v>
      </c>
      <c r="B2360" s="2" t="s">
        <v>10</v>
      </c>
      <c r="C2360" s="2" t="s">
        <v>23</v>
      </c>
      <c r="D2360" s="2" t="s">
        <v>21</v>
      </c>
      <c r="E2360" s="2" t="s">
        <v>35</v>
      </c>
      <c r="F2360">
        <v>185</v>
      </c>
      <c r="G2360">
        <v>148</v>
      </c>
      <c r="H2360">
        <v>27380</v>
      </c>
      <c r="I2360">
        <v>4938.9870000000001</v>
      </c>
      <c r="J2360" s="2" t="s">
        <v>14</v>
      </c>
    </row>
    <row r="2361" spans="1:10" x14ac:dyDescent="0.35">
      <c r="A2361" s="1">
        <v>45677</v>
      </c>
      <c r="B2361" s="2" t="s">
        <v>31</v>
      </c>
      <c r="C2361" s="2" t="s">
        <v>11</v>
      </c>
      <c r="D2361" s="2" t="s">
        <v>21</v>
      </c>
      <c r="E2361" s="2" t="s">
        <v>22</v>
      </c>
      <c r="F2361">
        <v>449</v>
      </c>
      <c r="G2361">
        <v>269</v>
      </c>
      <c r="H2361">
        <v>120781</v>
      </c>
      <c r="I2361">
        <v>29154.984100000001</v>
      </c>
      <c r="J2361" s="2" t="s">
        <v>14</v>
      </c>
    </row>
    <row r="2362" spans="1:10" x14ac:dyDescent="0.35">
      <c r="A2362" s="1">
        <v>45677</v>
      </c>
      <c r="B2362" s="2" t="s">
        <v>34</v>
      </c>
      <c r="C2362" s="2" t="s">
        <v>11</v>
      </c>
      <c r="D2362" s="2" t="s">
        <v>30</v>
      </c>
      <c r="E2362" s="2" t="s">
        <v>35</v>
      </c>
      <c r="F2362">
        <v>295</v>
      </c>
      <c r="G2362">
        <v>357</v>
      </c>
      <c r="H2362">
        <v>105315</v>
      </c>
      <c r="I2362">
        <v>11111.079100000001</v>
      </c>
      <c r="J2362" s="2" t="s">
        <v>14</v>
      </c>
    </row>
    <row r="2363" spans="1:10" x14ac:dyDescent="0.35">
      <c r="A2363" s="1">
        <v>45677</v>
      </c>
      <c r="B2363" s="2" t="s">
        <v>25</v>
      </c>
      <c r="C2363" s="2" t="s">
        <v>27</v>
      </c>
      <c r="D2363" s="2" t="s">
        <v>12</v>
      </c>
      <c r="E2363" s="2" t="s">
        <v>32</v>
      </c>
      <c r="F2363">
        <v>630</v>
      </c>
      <c r="G2363">
        <v>398</v>
      </c>
      <c r="H2363">
        <v>250740</v>
      </c>
      <c r="I2363">
        <v>32845.911899999999</v>
      </c>
      <c r="J2363" s="2" t="s">
        <v>14</v>
      </c>
    </row>
    <row r="2364" spans="1:10" x14ac:dyDescent="0.35">
      <c r="A2364" s="1">
        <v>45677</v>
      </c>
      <c r="B2364" s="2" t="s">
        <v>26</v>
      </c>
      <c r="C2364" s="2" t="s">
        <v>20</v>
      </c>
      <c r="D2364" s="2" t="s">
        <v>17</v>
      </c>
      <c r="E2364" s="2" t="s">
        <v>35</v>
      </c>
      <c r="F2364">
        <v>536</v>
      </c>
      <c r="G2364">
        <v>132</v>
      </c>
      <c r="H2364">
        <v>70752</v>
      </c>
      <c r="I2364">
        <v>8738.7296999999999</v>
      </c>
      <c r="J2364" s="2" t="s">
        <v>14</v>
      </c>
    </row>
    <row r="2365" spans="1:10" x14ac:dyDescent="0.35">
      <c r="A2365" s="1">
        <v>45677</v>
      </c>
      <c r="B2365" s="2" t="s">
        <v>10</v>
      </c>
      <c r="C2365" s="2" t="s">
        <v>20</v>
      </c>
      <c r="D2365" s="2" t="s">
        <v>21</v>
      </c>
      <c r="E2365" s="2" t="s">
        <v>28</v>
      </c>
      <c r="F2365">
        <v>789</v>
      </c>
      <c r="G2365">
        <v>234</v>
      </c>
      <c r="H2365">
        <v>184626</v>
      </c>
      <c r="I2365">
        <v>43042.800799999997</v>
      </c>
      <c r="J2365" s="2" t="s">
        <v>14</v>
      </c>
    </row>
    <row r="2366" spans="1:10" x14ac:dyDescent="0.35">
      <c r="A2366" s="1">
        <v>45678</v>
      </c>
      <c r="B2366" s="2" t="s">
        <v>31</v>
      </c>
      <c r="C2366" s="2" t="s">
        <v>20</v>
      </c>
      <c r="D2366" s="2" t="s">
        <v>12</v>
      </c>
      <c r="E2366" s="2" t="s">
        <v>24</v>
      </c>
      <c r="F2366">
        <v>334</v>
      </c>
      <c r="G2366">
        <v>483</v>
      </c>
      <c r="H2366">
        <v>161322</v>
      </c>
      <c r="I2366">
        <v>38148.616099999999</v>
      </c>
      <c r="J2366" s="2" t="s">
        <v>14</v>
      </c>
    </row>
    <row r="2367" spans="1:10" x14ac:dyDescent="0.35">
      <c r="A2367" s="1">
        <v>45678</v>
      </c>
      <c r="B2367" s="2" t="s">
        <v>26</v>
      </c>
      <c r="C2367" s="2" t="s">
        <v>16</v>
      </c>
      <c r="D2367" s="2" t="s">
        <v>21</v>
      </c>
      <c r="E2367" s="2" t="s">
        <v>18</v>
      </c>
      <c r="F2367">
        <v>444</v>
      </c>
      <c r="G2367">
        <v>460</v>
      </c>
      <c r="H2367">
        <v>204240</v>
      </c>
      <c r="I2367">
        <v>40920.849399999999</v>
      </c>
      <c r="J2367" s="2" t="s">
        <v>14</v>
      </c>
    </row>
    <row r="2368" spans="1:10" x14ac:dyDescent="0.35">
      <c r="A2368" s="1">
        <v>45678</v>
      </c>
      <c r="B2368" s="2" t="s">
        <v>34</v>
      </c>
      <c r="C2368" s="2" t="s">
        <v>27</v>
      </c>
      <c r="D2368" s="2" t="s">
        <v>17</v>
      </c>
      <c r="E2368" s="2" t="s">
        <v>32</v>
      </c>
      <c r="F2368">
        <v>438</v>
      </c>
      <c r="G2368">
        <v>130</v>
      </c>
      <c r="H2368">
        <v>56940</v>
      </c>
      <c r="I2368">
        <v>11824.960800000001</v>
      </c>
      <c r="J2368" s="2" t="s">
        <v>14</v>
      </c>
    </row>
    <row r="2369" spans="1:10" x14ac:dyDescent="0.35">
      <c r="A2369" s="1">
        <v>45679</v>
      </c>
      <c r="B2369" s="2" t="s">
        <v>10</v>
      </c>
      <c r="C2369" s="2" t="s">
        <v>11</v>
      </c>
      <c r="D2369" s="2" t="s">
        <v>30</v>
      </c>
      <c r="E2369" s="2" t="s">
        <v>32</v>
      </c>
      <c r="F2369">
        <v>849</v>
      </c>
      <c r="G2369">
        <v>336</v>
      </c>
      <c r="H2369">
        <v>285264</v>
      </c>
      <c r="I2369">
        <v>39751.617100000003</v>
      </c>
      <c r="J2369" s="2" t="s">
        <v>14</v>
      </c>
    </row>
    <row r="2370" spans="1:10" x14ac:dyDescent="0.35">
      <c r="A2370" s="1">
        <v>45679</v>
      </c>
      <c r="B2370" s="2" t="s">
        <v>15</v>
      </c>
      <c r="C2370" s="2" t="s">
        <v>16</v>
      </c>
      <c r="D2370" s="2" t="s">
        <v>17</v>
      </c>
      <c r="E2370" s="2" t="s">
        <v>33</v>
      </c>
      <c r="F2370">
        <v>214</v>
      </c>
      <c r="G2370">
        <v>170</v>
      </c>
      <c r="H2370">
        <v>36380</v>
      </c>
      <c r="I2370">
        <v>6181.3976000000002</v>
      </c>
      <c r="J2370" s="2" t="s">
        <v>14</v>
      </c>
    </row>
    <row r="2371" spans="1:10" x14ac:dyDescent="0.35">
      <c r="A2371" s="1">
        <v>45679</v>
      </c>
      <c r="B2371" s="2" t="s">
        <v>15</v>
      </c>
      <c r="C2371" s="2" t="s">
        <v>23</v>
      </c>
      <c r="D2371" s="2" t="s">
        <v>21</v>
      </c>
      <c r="E2371" s="2" t="s">
        <v>22</v>
      </c>
      <c r="F2371">
        <v>750</v>
      </c>
      <c r="G2371">
        <v>257</v>
      </c>
      <c r="H2371">
        <v>192750</v>
      </c>
      <c r="I2371">
        <v>41980.759899999997</v>
      </c>
      <c r="J2371" s="2" t="s">
        <v>14</v>
      </c>
    </row>
    <row r="2372" spans="1:10" x14ac:dyDescent="0.35">
      <c r="A2372" s="1">
        <v>45679</v>
      </c>
      <c r="B2372" s="2" t="s">
        <v>10</v>
      </c>
      <c r="C2372" s="2" t="s">
        <v>27</v>
      </c>
      <c r="D2372" s="2" t="s">
        <v>30</v>
      </c>
      <c r="E2372" s="2" t="s">
        <v>13</v>
      </c>
      <c r="F2372">
        <v>941</v>
      </c>
      <c r="G2372">
        <v>359</v>
      </c>
      <c r="H2372">
        <v>337819</v>
      </c>
      <c r="I2372">
        <v>40195.262300000002</v>
      </c>
      <c r="J2372" s="2" t="s">
        <v>14</v>
      </c>
    </row>
    <row r="2373" spans="1:10" x14ac:dyDescent="0.35">
      <c r="A2373" s="1">
        <v>45680</v>
      </c>
      <c r="B2373" s="2" t="s">
        <v>25</v>
      </c>
      <c r="C2373" s="2" t="s">
        <v>11</v>
      </c>
      <c r="D2373" s="2" t="s">
        <v>30</v>
      </c>
      <c r="E2373" s="2" t="s">
        <v>13</v>
      </c>
      <c r="F2373">
        <v>391</v>
      </c>
      <c r="G2373">
        <v>245</v>
      </c>
      <c r="H2373">
        <v>95795</v>
      </c>
      <c r="I2373">
        <v>8904.7512999999999</v>
      </c>
      <c r="J2373" s="2" t="s">
        <v>14</v>
      </c>
    </row>
    <row r="2374" spans="1:10" x14ac:dyDescent="0.35">
      <c r="A2374" s="1">
        <v>45680</v>
      </c>
      <c r="B2374" s="2" t="s">
        <v>34</v>
      </c>
      <c r="C2374" s="2" t="s">
        <v>29</v>
      </c>
      <c r="D2374" s="2" t="s">
        <v>30</v>
      </c>
      <c r="E2374" s="2" t="s">
        <v>24</v>
      </c>
      <c r="F2374">
        <v>468</v>
      </c>
      <c r="G2374">
        <v>333</v>
      </c>
      <c r="H2374">
        <v>155844</v>
      </c>
      <c r="I2374">
        <v>36378.482799999998</v>
      </c>
      <c r="J2374" s="2" t="s">
        <v>14</v>
      </c>
    </row>
    <row r="2375" spans="1:10" x14ac:dyDescent="0.35">
      <c r="A2375" s="1">
        <v>45680</v>
      </c>
      <c r="B2375" s="2" t="s">
        <v>10</v>
      </c>
      <c r="C2375" s="2" t="s">
        <v>23</v>
      </c>
      <c r="D2375" s="2" t="s">
        <v>12</v>
      </c>
      <c r="E2375" s="2" t="s">
        <v>18</v>
      </c>
      <c r="F2375">
        <v>230</v>
      </c>
      <c r="G2375">
        <v>161</v>
      </c>
      <c r="H2375">
        <v>37030</v>
      </c>
      <c r="I2375">
        <v>3188.5733</v>
      </c>
      <c r="J2375" s="2" t="s">
        <v>14</v>
      </c>
    </row>
    <row r="2376" spans="1:10" x14ac:dyDescent="0.35">
      <c r="A2376" s="1">
        <v>45680</v>
      </c>
      <c r="B2376" s="2" t="s">
        <v>31</v>
      </c>
      <c r="C2376" s="2" t="s">
        <v>16</v>
      </c>
      <c r="D2376" s="2" t="s">
        <v>30</v>
      </c>
      <c r="E2376" s="2" t="s">
        <v>28</v>
      </c>
      <c r="F2376">
        <v>172</v>
      </c>
      <c r="G2376">
        <v>182</v>
      </c>
      <c r="H2376">
        <v>31304</v>
      </c>
      <c r="I2376">
        <v>3093.6248999999998</v>
      </c>
      <c r="J2376" s="2" t="s">
        <v>14</v>
      </c>
    </row>
    <row r="2377" spans="1:10" x14ac:dyDescent="0.35">
      <c r="A2377" s="1">
        <v>45681</v>
      </c>
      <c r="B2377" s="2" t="s">
        <v>10</v>
      </c>
      <c r="C2377" s="2" t="s">
        <v>16</v>
      </c>
      <c r="D2377" s="2" t="s">
        <v>21</v>
      </c>
      <c r="E2377" s="2" t="s">
        <v>28</v>
      </c>
      <c r="F2377">
        <v>525</v>
      </c>
      <c r="G2377">
        <v>403</v>
      </c>
      <c r="H2377">
        <v>211575</v>
      </c>
      <c r="I2377">
        <v>34887.594599999997</v>
      </c>
      <c r="J2377" s="2" t="s">
        <v>14</v>
      </c>
    </row>
    <row r="2378" spans="1:10" x14ac:dyDescent="0.35">
      <c r="A2378" s="1">
        <v>45681</v>
      </c>
      <c r="B2378" s="2" t="s">
        <v>19</v>
      </c>
      <c r="C2378" s="2" t="s">
        <v>23</v>
      </c>
      <c r="D2378" s="2" t="s">
        <v>30</v>
      </c>
      <c r="E2378" s="2" t="s">
        <v>32</v>
      </c>
      <c r="F2378">
        <v>753</v>
      </c>
      <c r="G2378">
        <v>247</v>
      </c>
      <c r="H2378">
        <v>185991</v>
      </c>
      <c r="I2378">
        <v>20630.0694</v>
      </c>
      <c r="J2378" s="2" t="s">
        <v>14</v>
      </c>
    </row>
    <row r="2379" spans="1:10" x14ac:dyDescent="0.35">
      <c r="A2379" s="1">
        <v>45681</v>
      </c>
      <c r="B2379" s="2" t="s">
        <v>36</v>
      </c>
      <c r="C2379" s="2" t="s">
        <v>16</v>
      </c>
      <c r="D2379" s="2" t="s">
        <v>17</v>
      </c>
      <c r="E2379" s="2" t="s">
        <v>32</v>
      </c>
      <c r="F2379">
        <v>388</v>
      </c>
      <c r="G2379">
        <v>285</v>
      </c>
      <c r="H2379">
        <v>110580</v>
      </c>
      <c r="I2379">
        <v>17258.778600000001</v>
      </c>
      <c r="J2379" s="2" t="s">
        <v>14</v>
      </c>
    </row>
    <row r="2380" spans="1:10" x14ac:dyDescent="0.35">
      <c r="A2380" s="1">
        <v>45682</v>
      </c>
      <c r="B2380" s="2" t="s">
        <v>34</v>
      </c>
      <c r="C2380" s="2" t="s">
        <v>11</v>
      </c>
      <c r="D2380" s="2" t="s">
        <v>21</v>
      </c>
      <c r="E2380" s="2" t="s">
        <v>22</v>
      </c>
      <c r="F2380">
        <v>658</v>
      </c>
      <c r="G2380">
        <v>107</v>
      </c>
      <c r="H2380">
        <v>70406</v>
      </c>
      <c r="I2380">
        <v>16904.042099999999</v>
      </c>
      <c r="J2380" s="2" t="s">
        <v>14</v>
      </c>
    </row>
    <row r="2381" spans="1:10" x14ac:dyDescent="0.35">
      <c r="A2381" s="1">
        <v>45683</v>
      </c>
      <c r="B2381" s="2" t="s">
        <v>26</v>
      </c>
      <c r="C2381" s="2" t="s">
        <v>11</v>
      </c>
      <c r="D2381" s="2" t="s">
        <v>17</v>
      </c>
      <c r="E2381" s="2" t="s">
        <v>33</v>
      </c>
      <c r="F2381">
        <v>50</v>
      </c>
      <c r="G2381">
        <v>429</v>
      </c>
      <c r="H2381">
        <v>21450</v>
      </c>
      <c r="I2381">
        <v>4344.4892</v>
      </c>
      <c r="J2381" s="2" t="s">
        <v>14</v>
      </c>
    </row>
    <row r="2382" spans="1:10" x14ac:dyDescent="0.35">
      <c r="A2382" s="1">
        <v>45683</v>
      </c>
      <c r="B2382" s="2" t="s">
        <v>15</v>
      </c>
      <c r="C2382" s="2" t="s">
        <v>11</v>
      </c>
      <c r="D2382" s="2" t="s">
        <v>21</v>
      </c>
      <c r="E2382" s="2" t="s">
        <v>28</v>
      </c>
      <c r="F2382">
        <v>541</v>
      </c>
      <c r="G2382">
        <v>336</v>
      </c>
      <c r="H2382">
        <v>181776</v>
      </c>
      <c r="I2382">
        <v>37402.324999999997</v>
      </c>
      <c r="J2382" s="2" t="s">
        <v>14</v>
      </c>
    </row>
    <row r="2383" spans="1:10" x14ac:dyDescent="0.35">
      <c r="A2383" s="1">
        <v>45684</v>
      </c>
      <c r="B2383" s="2" t="s">
        <v>31</v>
      </c>
      <c r="C2383" s="2" t="s">
        <v>16</v>
      </c>
      <c r="D2383" s="2" t="s">
        <v>17</v>
      </c>
      <c r="E2383" s="2" t="s">
        <v>33</v>
      </c>
      <c r="F2383">
        <v>674</v>
      </c>
      <c r="G2383">
        <v>408</v>
      </c>
      <c r="H2383">
        <v>274992</v>
      </c>
      <c r="I2383">
        <v>40103.322999999997</v>
      </c>
      <c r="J2383" s="2" t="s">
        <v>14</v>
      </c>
    </row>
    <row r="2384" spans="1:10" x14ac:dyDescent="0.35">
      <c r="A2384" s="1">
        <v>45684</v>
      </c>
      <c r="B2384" s="2" t="s">
        <v>34</v>
      </c>
      <c r="C2384" s="2" t="s">
        <v>29</v>
      </c>
      <c r="D2384" s="2" t="s">
        <v>17</v>
      </c>
      <c r="E2384" s="2" t="s">
        <v>24</v>
      </c>
      <c r="F2384">
        <v>371</v>
      </c>
      <c r="G2384">
        <v>177</v>
      </c>
      <c r="H2384">
        <v>65667</v>
      </c>
      <c r="I2384">
        <v>6373.2097999999996</v>
      </c>
      <c r="J2384" s="2" t="s">
        <v>14</v>
      </c>
    </row>
    <row r="2385" spans="1:10" x14ac:dyDescent="0.35">
      <c r="A2385" s="1">
        <v>45684</v>
      </c>
      <c r="B2385" s="2" t="s">
        <v>15</v>
      </c>
      <c r="C2385" s="2" t="s">
        <v>20</v>
      </c>
      <c r="D2385" s="2" t="s">
        <v>21</v>
      </c>
      <c r="E2385" s="2" t="s">
        <v>35</v>
      </c>
      <c r="F2385">
        <v>334</v>
      </c>
      <c r="G2385">
        <v>103</v>
      </c>
      <c r="H2385">
        <v>34402</v>
      </c>
      <c r="I2385">
        <v>3123.4693000000002</v>
      </c>
      <c r="J2385" s="2" t="s">
        <v>14</v>
      </c>
    </row>
    <row r="2386" spans="1:10" x14ac:dyDescent="0.35">
      <c r="A2386" s="1">
        <v>45684</v>
      </c>
      <c r="B2386" s="2" t="s">
        <v>10</v>
      </c>
      <c r="C2386" s="2" t="s">
        <v>20</v>
      </c>
      <c r="D2386" s="2" t="s">
        <v>17</v>
      </c>
      <c r="E2386" s="2" t="s">
        <v>18</v>
      </c>
      <c r="F2386">
        <v>678</v>
      </c>
      <c r="G2386">
        <v>304</v>
      </c>
      <c r="H2386">
        <v>206112</v>
      </c>
      <c r="I2386">
        <v>43257.2284</v>
      </c>
      <c r="J2386" s="2" t="s">
        <v>14</v>
      </c>
    </row>
    <row r="2387" spans="1:10" x14ac:dyDescent="0.35">
      <c r="A2387" s="1">
        <v>45685</v>
      </c>
      <c r="B2387" s="2" t="s">
        <v>31</v>
      </c>
      <c r="C2387" s="2" t="s">
        <v>20</v>
      </c>
      <c r="D2387" s="2" t="s">
        <v>12</v>
      </c>
      <c r="E2387" s="2" t="s">
        <v>13</v>
      </c>
      <c r="F2387">
        <v>525</v>
      </c>
      <c r="G2387">
        <v>111</v>
      </c>
      <c r="H2387">
        <v>58275</v>
      </c>
      <c r="I2387">
        <v>8300.6893</v>
      </c>
      <c r="J2387" s="2" t="s">
        <v>14</v>
      </c>
    </row>
    <row r="2388" spans="1:10" x14ac:dyDescent="0.35">
      <c r="A2388" s="1">
        <v>45685</v>
      </c>
      <c r="B2388" s="2" t="s">
        <v>15</v>
      </c>
      <c r="C2388" s="2" t="s">
        <v>16</v>
      </c>
      <c r="D2388" s="2" t="s">
        <v>12</v>
      </c>
      <c r="E2388" s="2" t="s">
        <v>13</v>
      </c>
      <c r="F2388">
        <v>135</v>
      </c>
      <c r="G2388">
        <v>186</v>
      </c>
      <c r="H2388">
        <v>25110</v>
      </c>
      <c r="I2388">
        <v>4296.0883000000003</v>
      </c>
      <c r="J2388" s="2" t="s">
        <v>14</v>
      </c>
    </row>
    <row r="2389" spans="1:10" x14ac:dyDescent="0.35">
      <c r="A2389" s="1">
        <v>45685</v>
      </c>
      <c r="B2389" s="2" t="s">
        <v>19</v>
      </c>
      <c r="C2389" s="2" t="s">
        <v>23</v>
      </c>
      <c r="D2389" s="2" t="s">
        <v>30</v>
      </c>
      <c r="E2389" s="2" t="s">
        <v>35</v>
      </c>
      <c r="F2389">
        <v>324</v>
      </c>
      <c r="G2389">
        <v>492</v>
      </c>
      <c r="H2389">
        <v>159408</v>
      </c>
      <c r="I2389">
        <v>28900.7052</v>
      </c>
      <c r="J2389" s="2" t="s">
        <v>14</v>
      </c>
    </row>
    <row r="2390" spans="1:10" x14ac:dyDescent="0.35">
      <c r="A2390" s="1">
        <v>45685</v>
      </c>
      <c r="B2390" s="2" t="s">
        <v>31</v>
      </c>
      <c r="C2390" s="2" t="s">
        <v>11</v>
      </c>
      <c r="D2390" s="2" t="s">
        <v>30</v>
      </c>
      <c r="E2390" s="2" t="s">
        <v>35</v>
      </c>
      <c r="F2390">
        <v>322</v>
      </c>
      <c r="G2390">
        <v>455</v>
      </c>
      <c r="H2390">
        <v>146510</v>
      </c>
      <c r="I2390">
        <v>25817.863600000001</v>
      </c>
      <c r="J2390" s="2" t="s">
        <v>14</v>
      </c>
    </row>
    <row r="2391" spans="1:10" x14ac:dyDescent="0.35">
      <c r="A2391" s="1">
        <v>45685</v>
      </c>
      <c r="B2391" s="2" t="s">
        <v>19</v>
      </c>
      <c r="C2391" s="2" t="s">
        <v>11</v>
      </c>
      <c r="D2391" s="2" t="s">
        <v>12</v>
      </c>
      <c r="E2391" s="2" t="s">
        <v>35</v>
      </c>
      <c r="F2391">
        <v>964</v>
      </c>
      <c r="G2391">
        <v>316</v>
      </c>
      <c r="H2391">
        <v>304624</v>
      </c>
      <c r="I2391">
        <v>75355.255600000004</v>
      </c>
      <c r="J2391" s="2" t="s">
        <v>14</v>
      </c>
    </row>
    <row r="2392" spans="1:10" x14ac:dyDescent="0.35">
      <c r="A2392" s="1">
        <v>45685</v>
      </c>
      <c r="B2392" s="2" t="s">
        <v>15</v>
      </c>
      <c r="C2392" s="2" t="s">
        <v>11</v>
      </c>
      <c r="D2392" s="2" t="s">
        <v>17</v>
      </c>
      <c r="E2392" s="2" t="s">
        <v>13</v>
      </c>
      <c r="F2392">
        <v>421</v>
      </c>
      <c r="G2392">
        <v>155</v>
      </c>
      <c r="H2392">
        <v>65255</v>
      </c>
      <c r="I2392">
        <v>13882.172500000001</v>
      </c>
      <c r="J2392" s="2" t="s">
        <v>14</v>
      </c>
    </row>
    <row r="2393" spans="1:10" x14ac:dyDescent="0.35">
      <c r="A2393" s="1">
        <v>45685</v>
      </c>
      <c r="B2393" s="2" t="s">
        <v>25</v>
      </c>
      <c r="C2393" s="2" t="s">
        <v>20</v>
      </c>
      <c r="D2393" s="2" t="s">
        <v>12</v>
      </c>
      <c r="E2393" s="2" t="s">
        <v>13</v>
      </c>
      <c r="F2393">
        <v>557</v>
      </c>
      <c r="G2393">
        <v>243</v>
      </c>
      <c r="H2393">
        <v>135351</v>
      </c>
      <c r="I2393">
        <v>11152.2037</v>
      </c>
      <c r="J2393" s="2" t="s">
        <v>14</v>
      </c>
    </row>
    <row r="2394" spans="1:10" x14ac:dyDescent="0.35">
      <c r="A2394" s="1">
        <v>45686</v>
      </c>
      <c r="B2394" s="2" t="s">
        <v>34</v>
      </c>
      <c r="C2394" s="2" t="s">
        <v>16</v>
      </c>
      <c r="D2394" s="2" t="s">
        <v>30</v>
      </c>
      <c r="E2394" s="2" t="s">
        <v>24</v>
      </c>
      <c r="F2394">
        <v>676</v>
      </c>
      <c r="G2394">
        <v>362</v>
      </c>
      <c r="H2394">
        <v>244712</v>
      </c>
      <c r="I2394">
        <v>38893.681299999997</v>
      </c>
      <c r="J2394" s="2" t="s">
        <v>14</v>
      </c>
    </row>
    <row r="2395" spans="1:10" x14ac:dyDescent="0.35">
      <c r="A2395" s="1">
        <v>45687</v>
      </c>
      <c r="B2395" s="2" t="s">
        <v>15</v>
      </c>
      <c r="C2395" s="2" t="s">
        <v>23</v>
      </c>
      <c r="D2395" s="2" t="s">
        <v>30</v>
      </c>
      <c r="E2395" s="2" t="s">
        <v>28</v>
      </c>
      <c r="F2395">
        <v>669</v>
      </c>
      <c r="G2395">
        <v>488</v>
      </c>
      <c r="H2395">
        <v>326472</v>
      </c>
      <c r="I2395">
        <v>79648.587299999999</v>
      </c>
      <c r="J2395" s="2" t="s">
        <v>14</v>
      </c>
    </row>
    <row r="2396" spans="1:10" x14ac:dyDescent="0.35">
      <c r="A2396" s="1">
        <v>45687</v>
      </c>
      <c r="B2396" s="2" t="s">
        <v>25</v>
      </c>
      <c r="C2396" s="2" t="s">
        <v>27</v>
      </c>
      <c r="D2396" s="2" t="s">
        <v>12</v>
      </c>
      <c r="E2396" s="2" t="s">
        <v>33</v>
      </c>
      <c r="F2396">
        <v>524</v>
      </c>
      <c r="G2396">
        <v>345</v>
      </c>
      <c r="H2396">
        <v>180780</v>
      </c>
      <c r="I2396">
        <v>19103.4257</v>
      </c>
      <c r="J2396" s="2" t="s">
        <v>14</v>
      </c>
    </row>
    <row r="2397" spans="1:10" x14ac:dyDescent="0.35">
      <c r="A2397" s="1">
        <v>45687</v>
      </c>
      <c r="B2397" s="2" t="s">
        <v>25</v>
      </c>
      <c r="C2397" s="2" t="s">
        <v>29</v>
      </c>
      <c r="D2397" s="2" t="s">
        <v>30</v>
      </c>
      <c r="E2397" s="2" t="s">
        <v>32</v>
      </c>
      <c r="F2397">
        <v>915</v>
      </c>
      <c r="G2397">
        <v>184</v>
      </c>
      <c r="H2397">
        <v>168360</v>
      </c>
      <c r="I2397">
        <v>36510.931299999997</v>
      </c>
      <c r="J2397" s="2" t="s">
        <v>14</v>
      </c>
    </row>
    <row r="2398" spans="1:10" x14ac:dyDescent="0.35">
      <c r="A2398" s="1">
        <v>45687</v>
      </c>
      <c r="B2398" s="2" t="s">
        <v>36</v>
      </c>
      <c r="C2398" s="2" t="s">
        <v>27</v>
      </c>
      <c r="D2398" s="2" t="s">
        <v>30</v>
      </c>
      <c r="E2398" s="2" t="s">
        <v>35</v>
      </c>
      <c r="F2398">
        <v>644</v>
      </c>
      <c r="G2398">
        <v>446</v>
      </c>
      <c r="H2398">
        <v>287224</v>
      </c>
      <c r="I2398">
        <v>39429.476799999997</v>
      </c>
      <c r="J2398" s="2" t="s">
        <v>14</v>
      </c>
    </row>
    <row r="2399" spans="1:10" x14ac:dyDescent="0.35">
      <c r="A2399" s="1">
        <v>45687</v>
      </c>
      <c r="B2399" s="2" t="s">
        <v>25</v>
      </c>
      <c r="C2399" s="2" t="s">
        <v>23</v>
      </c>
      <c r="D2399" s="2" t="s">
        <v>21</v>
      </c>
      <c r="E2399" s="2" t="s">
        <v>35</v>
      </c>
      <c r="F2399">
        <v>952</v>
      </c>
      <c r="G2399">
        <v>403</v>
      </c>
      <c r="H2399">
        <v>383656</v>
      </c>
      <c r="I2399">
        <v>38317.080600000001</v>
      </c>
      <c r="J2399" s="2" t="s">
        <v>14</v>
      </c>
    </row>
    <row r="2400" spans="1:10" x14ac:dyDescent="0.35">
      <c r="A2400" s="1">
        <v>45687</v>
      </c>
      <c r="B2400" s="2" t="s">
        <v>34</v>
      </c>
      <c r="C2400" s="2" t="s">
        <v>29</v>
      </c>
      <c r="D2400" s="2" t="s">
        <v>30</v>
      </c>
      <c r="E2400" s="2" t="s">
        <v>32</v>
      </c>
      <c r="F2400">
        <v>387</v>
      </c>
      <c r="G2400">
        <v>489</v>
      </c>
      <c r="H2400">
        <v>189243</v>
      </c>
      <c r="I2400">
        <v>23941.004300000001</v>
      </c>
      <c r="J2400" s="2" t="s">
        <v>14</v>
      </c>
    </row>
    <row r="2401" spans="1:10" x14ac:dyDescent="0.35">
      <c r="A2401" s="1">
        <v>45688</v>
      </c>
      <c r="B2401" s="2" t="s">
        <v>36</v>
      </c>
      <c r="C2401" s="2" t="s">
        <v>23</v>
      </c>
      <c r="D2401" s="2" t="s">
        <v>12</v>
      </c>
      <c r="E2401" s="2" t="s">
        <v>24</v>
      </c>
      <c r="F2401">
        <v>417</v>
      </c>
      <c r="G2401">
        <v>189</v>
      </c>
      <c r="H2401">
        <v>78813</v>
      </c>
      <c r="I2401">
        <v>8572.2302</v>
      </c>
      <c r="J2401" s="2" t="s">
        <v>14</v>
      </c>
    </row>
    <row r="2402" spans="1:10" x14ac:dyDescent="0.35">
      <c r="A2402" s="1">
        <v>45688</v>
      </c>
      <c r="B2402" s="2" t="s">
        <v>26</v>
      </c>
      <c r="C2402" s="2" t="s">
        <v>23</v>
      </c>
      <c r="D2402" s="2" t="s">
        <v>12</v>
      </c>
      <c r="E2402" s="2" t="s">
        <v>33</v>
      </c>
      <c r="F2402">
        <v>552</v>
      </c>
      <c r="G2402">
        <v>198</v>
      </c>
      <c r="H2402">
        <v>109296</v>
      </c>
      <c r="I2402">
        <v>19370.607899999999</v>
      </c>
      <c r="J2402" s="2" t="s">
        <v>14</v>
      </c>
    </row>
    <row r="2403" spans="1:10" x14ac:dyDescent="0.35">
      <c r="A2403" s="1">
        <v>45688</v>
      </c>
      <c r="B2403" s="2" t="s">
        <v>25</v>
      </c>
      <c r="C2403" s="2" t="s">
        <v>23</v>
      </c>
      <c r="D2403" s="2" t="s">
        <v>17</v>
      </c>
      <c r="E2403" s="2" t="s">
        <v>28</v>
      </c>
      <c r="F2403">
        <v>148</v>
      </c>
      <c r="G2403">
        <v>305</v>
      </c>
      <c r="H2403">
        <v>45140</v>
      </c>
      <c r="I2403">
        <v>8283.6707999999999</v>
      </c>
      <c r="J2403" s="2" t="s">
        <v>14</v>
      </c>
    </row>
    <row r="2404" spans="1:10" x14ac:dyDescent="0.35">
      <c r="A2404" s="1">
        <v>45689</v>
      </c>
      <c r="B2404" s="2" t="s">
        <v>25</v>
      </c>
      <c r="C2404" s="2" t="s">
        <v>11</v>
      </c>
      <c r="D2404" s="2" t="s">
        <v>21</v>
      </c>
      <c r="E2404" s="2" t="s">
        <v>22</v>
      </c>
      <c r="F2404">
        <v>154</v>
      </c>
      <c r="G2404">
        <v>430</v>
      </c>
      <c r="H2404">
        <v>66220</v>
      </c>
      <c r="I2404">
        <v>15248.794099999999</v>
      </c>
      <c r="J2404" s="2" t="s">
        <v>37</v>
      </c>
    </row>
    <row r="2405" spans="1:10" x14ac:dyDescent="0.35">
      <c r="A2405" s="1">
        <v>45689</v>
      </c>
      <c r="B2405" s="2" t="s">
        <v>36</v>
      </c>
      <c r="C2405" s="2" t="s">
        <v>27</v>
      </c>
      <c r="D2405" s="2" t="s">
        <v>12</v>
      </c>
      <c r="E2405" s="2" t="s">
        <v>32</v>
      </c>
      <c r="F2405">
        <v>950</v>
      </c>
      <c r="G2405">
        <v>176</v>
      </c>
      <c r="H2405">
        <v>167200</v>
      </c>
      <c r="I2405">
        <v>40554.053399999997</v>
      </c>
      <c r="J2405" s="2" t="s">
        <v>37</v>
      </c>
    </row>
    <row r="2406" spans="1:10" x14ac:dyDescent="0.35">
      <c r="A2406" s="1">
        <v>45689</v>
      </c>
      <c r="B2406" s="2" t="s">
        <v>26</v>
      </c>
      <c r="C2406" s="2" t="s">
        <v>23</v>
      </c>
      <c r="D2406" s="2" t="s">
        <v>12</v>
      </c>
      <c r="E2406" s="2" t="s">
        <v>33</v>
      </c>
      <c r="F2406">
        <v>448</v>
      </c>
      <c r="G2406">
        <v>464</v>
      </c>
      <c r="H2406">
        <v>207872</v>
      </c>
      <c r="I2406">
        <v>26874.156500000001</v>
      </c>
      <c r="J2406" s="2" t="s">
        <v>37</v>
      </c>
    </row>
    <row r="2407" spans="1:10" x14ac:dyDescent="0.35">
      <c r="A2407" s="1">
        <v>45689</v>
      </c>
      <c r="B2407" s="2" t="s">
        <v>15</v>
      </c>
      <c r="C2407" s="2" t="s">
        <v>29</v>
      </c>
      <c r="D2407" s="2" t="s">
        <v>17</v>
      </c>
      <c r="E2407" s="2" t="s">
        <v>32</v>
      </c>
      <c r="F2407">
        <v>683</v>
      </c>
      <c r="G2407">
        <v>317</v>
      </c>
      <c r="H2407">
        <v>216511</v>
      </c>
      <c r="I2407">
        <v>31988.1414</v>
      </c>
      <c r="J2407" s="2" t="s">
        <v>37</v>
      </c>
    </row>
    <row r="2408" spans="1:10" x14ac:dyDescent="0.35">
      <c r="A2408" s="1">
        <v>45689</v>
      </c>
      <c r="B2408" s="2" t="s">
        <v>15</v>
      </c>
      <c r="C2408" s="2" t="s">
        <v>27</v>
      </c>
      <c r="D2408" s="2" t="s">
        <v>30</v>
      </c>
      <c r="E2408" s="2" t="s">
        <v>13</v>
      </c>
      <c r="F2408">
        <v>851</v>
      </c>
      <c r="G2408">
        <v>456</v>
      </c>
      <c r="H2408">
        <v>388056</v>
      </c>
      <c r="I2408">
        <v>84267.482300000003</v>
      </c>
      <c r="J2408" s="2" t="s">
        <v>37</v>
      </c>
    </row>
    <row r="2409" spans="1:10" x14ac:dyDescent="0.35">
      <c r="A2409" s="1">
        <v>45689</v>
      </c>
      <c r="B2409" s="2" t="s">
        <v>36</v>
      </c>
      <c r="C2409" s="2" t="s">
        <v>23</v>
      </c>
      <c r="D2409" s="2" t="s">
        <v>17</v>
      </c>
      <c r="E2409" s="2" t="s">
        <v>35</v>
      </c>
      <c r="F2409">
        <v>332</v>
      </c>
      <c r="G2409">
        <v>426</v>
      </c>
      <c r="H2409">
        <v>141432</v>
      </c>
      <c r="I2409">
        <v>26691.31</v>
      </c>
      <c r="J2409" s="2" t="s">
        <v>37</v>
      </c>
    </row>
    <row r="2410" spans="1:10" x14ac:dyDescent="0.35">
      <c r="A2410" s="1">
        <v>45689</v>
      </c>
      <c r="B2410" s="2" t="s">
        <v>10</v>
      </c>
      <c r="C2410" s="2" t="s">
        <v>27</v>
      </c>
      <c r="D2410" s="2" t="s">
        <v>30</v>
      </c>
      <c r="E2410" s="2" t="s">
        <v>22</v>
      </c>
      <c r="F2410">
        <v>640</v>
      </c>
      <c r="G2410">
        <v>342</v>
      </c>
      <c r="H2410">
        <v>218880</v>
      </c>
      <c r="I2410">
        <v>35873.969700000001</v>
      </c>
      <c r="J2410" s="2" t="s">
        <v>37</v>
      </c>
    </row>
    <row r="2411" spans="1:10" x14ac:dyDescent="0.35">
      <c r="A2411" s="1">
        <v>45690</v>
      </c>
      <c r="B2411" s="2" t="s">
        <v>10</v>
      </c>
      <c r="C2411" s="2" t="s">
        <v>16</v>
      </c>
      <c r="D2411" s="2" t="s">
        <v>21</v>
      </c>
      <c r="E2411" s="2" t="s">
        <v>13</v>
      </c>
      <c r="F2411">
        <v>789</v>
      </c>
      <c r="G2411">
        <v>208</v>
      </c>
      <c r="H2411">
        <v>164112</v>
      </c>
      <c r="I2411">
        <v>23741.1672</v>
      </c>
      <c r="J2411" s="2" t="s">
        <v>37</v>
      </c>
    </row>
    <row r="2412" spans="1:10" x14ac:dyDescent="0.35">
      <c r="A2412" s="1">
        <v>45690</v>
      </c>
      <c r="B2412" s="2" t="s">
        <v>10</v>
      </c>
      <c r="C2412" s="2" t="s">
        <v>23</v>
      </c>
      <c r="D2412" s="2" t="s">
        <v>12</v>
      </c>
      <c r="E2412" s="2" t="s">
        <v>32</v>
      </c>
      <c r="F2412">
        <v>237</v>
      </c>
      <c r="G2412">
        <v>442</v>
      </c>
      <c r="H2412">
        <v>104754</v>
      </c>
      <c r="I2412">
        <v>9757.1538999999993</v>
      </c>
      <c r="J2412" s="2" t="s">
        <v>37</v>
      </c>
    </row>
    <row r="2413" spans="1:10" x14ac:dyDescent="0.35">
      <c r="A2413" s="1">
        <v>45690</v>
      </c>
      <c r="B2413" s="2" t="s">
        <v>31</v>
      </c>
      <c r="C2413" s="2" t="s">
        <v>11</v>
      </c>
      <c r="D2413" s="2" t="s">
        <v>12</v>
      </c>
      <c r="E2413" s="2" t="s">
        <v>13</v>
      </c>
      <c r="F2413">
        <v>527</v>
      </c>
      <c r="G2413">
        <v>445</v>
      </c>
      <c r="H2413">
        <v>234515</v>
      </c>
      <c r="I2413">
        <v>37996.177499999998</v>
      </c>
      <c r="J2413" s="2" t="s">
        <v>37</v>
      </c>
    </row>
    <row r="2414" spans="1:10" x14ac:dyDescent="0.35">
      <c r="A2414" s="1">
        <v>45690</v>
      </c>
      <c r="B2414" s="2" t="s">
        <v>15</v>
      </c>
      <c r="C2414" s="2" t="s">
        <v>27</v>
      </c>
      <c r="D2414" s="2" t="s">
        <v>17</v>
      </c>
      <c r="E2414" s="2" t="s">
        <v>33</v>
      </c>
      <c r="F2414">
        <v>674</v>
      </c>
      <c r="G2414">
        <v>246</v>
      </c>
      <c r="H2414">
        <v>165804</v>
      </c>
      <c r="I2414">
        <v>26224.386699999999</v>
      </c>
      <c r="J2414" s="2" t="s">
        <v>37</v>
      </c>
    </row>
    <row r="2415" spans="1:10" x14ac:dyDescent="0.35">
      <c r="A2415" s="1">
        <v>45690</v>
      </c>
      <c r="B2415" s="2" t="s">
        <v>36</v>
      </c>
      <c r="C2415" s="2" t="s">
        <v>20</v>
      </c>
      <c r="D2415" s="2" t="s">
        <v>12</v>
      </c>
      <c r="E2415" s="2" t="s">
        <v>28</v>
      </c>
      <c r="F2415">
        <v>210</v>
      </c>
      <c r="G2415">
        <v>403</v>
      </c>
      <c r="H2415">
        <v>84630</v>
      </c>
      <c r="I2415">
        <v>19304.456399999999</v>
      </c>
      <c r="J2415" s="2" t="s">
        <v>37</v>
      </c>
    </row>
    <row r="2416" spans="1:10" x14ac:dyDescent="0.35">
      <c r="A2416" s="1">
        <v>45692</v>
      </c>
      <c r="B2416" s="2" t="s">
        <v>15</v>
      </c>
      <c r="C2416" s="2" t="s">
        <v>16</v>
      </c>
      <c r="D2416" s="2" t="s">
        <v>17</v>
      </c>
      <c r="E2416" s="2" t="s">
        <v>13</v>
      </c>
      <c r="F2416">
        <v>792</v>
      </c>
      <c r="G2416">
        <v>280</v>
      </c>
      <c r="H2416">
        <v>221760</v>
      </c>
      <c r="I2416">
        <v>17756.7516</v>
      </c>
      <c r="J2416" s="2" t="s">
        <v>37</v>
      </c>
    </row>
    <row r="2417" spans="1:10" x14ac:dyDescent="0.35">
      <c r="A2417" s="1">
        <v>45693</v>
      </c>
      <c r="B2417" s="2" t="s">
        <v>25</v>
      </c>
      <c r="C2417" s="2" t="s">
        <v>20</v>
      </c>
      <c r="D2417" s="2" t="s">
        <v>30</v>
      </c>
      <c r="E2417" s="2" t="s">
        <v>28</v>
      </c>
      <c r="F2417">
        <v>104</v>
      </c>
      <c r="G2417">
        <v>355</v>
      </c>
      <c r="H2417">
        <v>36920</v>
      </c>
      <c r="I2417">
        <v>5932.6664000000001</v>
      </c>
      <c r="J2417" s="2" t="s">
        <v>37</v>
      </c>
    </row>
    <row r="2418" spans="1:10" x14ac:dyDescent="0.35">
      <c r="A2418" s="1">
        <v>45693</v>
      </c>
      <c r="B2418" s="2" t="s">
        <v>19</v>
      </c>
      <c r="C2418" s="2" t="s">
        <v>16</v>
      </c>
      <c r="D2418" s="2" t="s">
        <v>12</v>
      </c>
      <c r="E2418" s="2" t="s">
        <v>32</v>
      </c>
      <c r="F2418">
        <v>489</v>
      </c>
      <c r="G2418">
        <v>444</v>
      </c>
      <c r="H2418">
        <v>217116</v>
      </c>
      <c r="I2418">
        <v>49760.577499999999</v>
      </c>
      <c r="J2418" s="2" t="s">
        <v>37</v>
      </c>
    </row>
    <row r="2419" spans="1:10" x14ac:dyDescent="0.35">
      <c r="A2419" s="1">
        <v>45693</v>
      </c>
      <c r="B2419" s="2" t="s">
        <v>19</v>
      </c>
      <c r="C2419" s="2" t="s">
        <v>29</v>
      </c>
      <c r="D2419" s="2" t="s">
        <v>21</v>
      </c>
      <c r="E2419" s="2" t="s">
        <v>24</v>
      </c>
      <c r="F2419">
        <v>979</v>
      </c>
      <c r="G2419">
        <v>215</v>
      </c>
      <c r="H2419">
        <v>210485</v>
      </c>
      <c r="I2419">
        <v>41221.214099999997</v>
      </c>
      <c r="J2419" s="2" t="s">
        <v>37</v>
      </c>
    </row>
    <row r="2420" spans="1:10" x14ac:dyDescent="0.35">
      <c r="A2420" s="1">
        <v>45693</v>
      </c>
      <c r="B2420" s="2" t="s">
        <v>26</v>
      </c>
      <c r="C2420" s="2" t="s">
        <v>23</v>
      </c>
      <c r="D2420" s="2" t="s">
        <v>17</v>
      </c>
      <c r="E2420" s="2" t="s">
        <v>32</v>
      </c>
      <c r="F2420">
        <v>910</v>
      </c>
      <c r="G2420">
        <v>143</v>
      </c>
      <c r="H2420">
        <v>130130</v>
      </c>
      <c r="I2420">
        <v>29105.7569</v>
      </c>
      <c r="J2420" s="2" t="s">
        <v>37</v>
      </c>
    </row>
    <row r="2421" spans="1:10" x14ac:dyDescent="0.35">
      <c r="A2421" s="1">
        <v>45693</v>
      </c>
      <c r="B2421" s="2" t="s">
        <v>19</v>
      </c>
      <c r="C2421" s="2" t="s">
        <v>27</v>
      </c>
      <c r="D2421" s="2" t="s">
        <v>17</v>
      </c>
      <c r="E2421" s="2" t="s">
        <v>28</v>
      </c>
      <c r="F2421">
        <v>353</v>
      </c>
      <c r="G2421">
        <v>229</v>
      </c>
      <c r="H2421">
        <v>80837</v>
      </c>
      <c r="I2421">
        <v>19985.138800000001</v>
      </c>
      <c r="J2421" s="2" t="s">
        <v>37</v>
      </c>
    </row>
    <row r="2422" spans="1:10" x14ac:dyDescent="0.35">
      <c r="A2422" s="1">
        <v>45694</v>
      </c>
      <c r="B2422" s="2" t="s">
        <v>36</v>
      </c>
      <c r="C2422" s="2" t="s">
        <v>11</v>
      </c>
      <c r="D2422" s="2" t="s">
        <v>17</v>
      </c>
      <c r="E2422" s="2" t="s">
        <v>18</v>
      </c>
      <c r="F2422">
        <v>966</v>
      </c>
      <c r="G2422">
        <v>371</v>
      </c>
      <c r="H2422">
        <v>358386</v>
      </c>
      <c r="I2422">
        <v>51608.778599999998</v>
      </c>
      <c r="J2422" s="2" t="s">
        <v>37</v>
      </c>
    </row>
    <row r="2423" spans="1:10" x14ac:dyDescent="0.35">
      <c r="A2423" s="1">
        <v>45695</v>
      </c>
      <c r="B2423" s="2" t="s">
        <v>31</v>
      </c>
      <c r="C2423" s="2" t="s">
        <v>29</v>
      </c>
      <c r="D2423" s="2" t="s">
        <v>21</v>
      </c>
      <c r="E2423" s="2" t="s">
        <v>13</v>
      </c>
      <c r="F2423">
        <v>855</v>
      </c>
      <c r="G2423">
        <v>396</v>
      </c>
      <c r="H2423">
        <v>338580</v>
      </c>
      <c r="I2423">
        <v>62724.3842</v>
      </c>
      <c r="J2423" s="2" t="s">
        <v>37</v>
      </c>
    </row>
    <row r="2424" spans="1:10" x14ac:dyDescent="0.35">
      <c r="A2424" s="1">
        <v>45695</v>
      </c>
      <c r="B2424" s="2" t="s">
        <v>34</v>
      </c>
      <c r="C2424" s="2" t="s">
        <v>29</v>
      </c>
      <c r="D2424" s="2" t="s">
        <v>30</v>
      </c>
      <c r="E2424" s="2" t="s">
        <v>28</v>
      </c>
      <c r="F2424">
        <v>499</v>
      </c>
      <c r="G2424">
        <v>356</v>
      </c>
      <c r="H2424">
        <v>177644</v>
      </c>
      <c r="I2424">
        <v>39152.1659</v>
      </c>
      <c r="J2424" s="2" t="s">
        <v>37</v>
      </c>
    </row>
    <row r="2425" spans="1:10" x14ac:dyDescent="0.35">
      <c r="A2425" s="1">
        <v>45696</v>
      </c>
      <c r="B2425" s="2" t="s">
        <v>10</v>
      </c>
      <c r="C2425" s="2" t="s">
        <v>20</v>
      </c>
      <c r="D2425" s="2" t="s">
        <v>17</v>
      </c>
      <c r="E2425" s="2" t="s">
        <v>13</v>
      </c>
      <c r="F2425">
        <v>72</v>
      </c>
      <c r="G2425">
        <v>243</v>
      </c>
      <c r="H2425">
        <v>17496</v>
      </c>
      <c r="I2425">
        <v>3040.2782000000002</v>
      </c>
      <c r="J2425" s="2" t="s">
        <v>37</v>
      </c>
    </row>
    <row r="2426" spans="1:10" x14ac:dyDescent="0.35">
      <c r="A2426" s="1">
        <v>45696</v>
      </c>
      <c r="B2426" s="2" t="s">
        <v>31</v>
      </c>
      <c r="C2426" s="2" t="s">
        <v>27</v>
      </c>
      <c r="D2426" s="2" t="s">
        <v>17</v>
      </c>
      <c r="E2426" s="2" t="s">
        <v>35</v>
      </c>
      <c r="F2426">
        <v>323</v>
      </c>
      <c r="G2426">
        <v>419</v>
      </c>
      <c r="H2426">
        <v>135337</v>
      </c>
      <c r="I2426">
        <v>30486.519400000001</v>
      </c>
      <c r="J2426" s="2" t="s">
        <v>37</v>
      </c>
    </row>
    <row r="2427" spans="1:10" x14ac:dyDescent="0.35">
      <c r="A2427" s="1">
        <v>45696</v>
      </c>
      <c r="B2427" s="2" t="s">
        <v>31</v>
      </c>
      <c r="C2427" s="2" t="s">
        <v>16</v>
      </c>
      <c r="D2427" s="2" t="s">
        <v>17</v>
      </c>
      <c r="E2427" s="2" t="s">
        <v>22</v>
      </c>
      <c r="F2427">
        <v>654</v>
      </c>
      <c r="G2427">
        <v>378</v>
      </c>
      <c r="H2427">
        <v>247212</v>
      </c>
      <c r="I2427">
        <v>60027.174299999999</v>
      </c>
      <c r="J2427" s="2" t="s">
        <v>37</v>
      </c>
    </row>
    <row r="2428" spans="1:10" x14ac:dyDescent="0.35">
      <c r="A2428" s="1">
        <v>45696</v>
      </c>
      <c r="B2428" s="2" t="s">
        <v>19</v>
      </c>
      <c r="C2428" s="2" t="s">
        <v>29</v>
      </c>
      <c r="D2428" s="2" t="s">
        <v>21</v>
      </c>
      <c r="E2428" s="2" t="s">
        <v>18</v>
      </c>
      <c r="F2428">
        <v>942</v>
      </c>
      <c r="G2428">
        <v>483</v>
      </c>
      <c r="H2428">
        <v>454986</v>
      </c>
      <c r="I2428">
        <v>108084.07369999999</v>
      </c>
      <c r="J2428" s="2" t="s">
        <v>37</v>
      </c>
    </row>
    <row r="2429" spans="1:10" x14ac:dyDescent="0.35">
      <c r="A2429" s="1">
        <v>45696</v>
      </c>
      <c r="B2429" s="2" t="s">
        <v>15</v>
      </c>
      <c r="C2429" s="2" t="s">
        <v>29</v>
      </c>
      <c r="D2429" s="2" t="s">
        <v>17</v>
      </c>
      <c r="E2429" s="2" t="s">
        <v>35</v>
      </c>
      <c r="F2429">
        <v>959</v>
      </c>
      <c r="G2429">
        <v>333</v>
      </c>
      <c r="H2429">
        <v>319347</v>
      </c>
      <c r="I2429">
        <v>79327.959499999997</v>
      </c>
      <c r="J2429" s="2" t="s">
        <v>37</v>
      </c>
    </row>
    <row r="2430" spans="1:10" x14ac:dyDescent="0.35">
      <c r="A2430" s="1">
        <v>45696</v>
      </c>
      <c r="B2430" s="2" t="s">
        <v>15</v>
      </c>
      <c r="C2430" s="2" t="s">
        <v>16</v>
      </c>
      <c r="D2430" s="2" t="s">
        <v>12</v>
      </c>
      <c r="E2430" s="2" t="s">
        <v>35</v>
      </c>
      <c r="F2430">
        <v>343</v>
      </c>
      <c r="G2430">
        <v>445</v>
      </c>
      <c r="H2430">
        <v>152635</v>
      </c>
      <c r="I2430">
        <v>31895.316599999998</v>
      </c>
      <c r="J2430" s="2" t="s">
        <v>37</v>
      </c>
    </row>
    <row r="2431" spans="1:10" x14ac:dyDescent="0.35">
      <c r="A2431" s="1">
        <v>45696</v>
      </c>
      <c r="B2431" s="2" t="s">
        <v>25</v>
      </c>
      <c r="C2431" s="2" t="s">
        <v>29</v>
      </c>
      <c r="D2431" s="2" t="s">
        <v>12</v>
      </c>
      <c r="E2431" s="2" t="s">
        <v>18</v>
      </c>
      <c r="F2431">
        <v>727</v>
      </c>
      <c r="G2431">
        <v>228</v>
      </c>
      <c r="H2431">
        <v>165756</v>
      </c>
      <c r="I2431">
        <v>40666.613700000002</v>
      </c>
      <c r="J2431" s="2" t="s">
        <v>37</v>
      </c>
    </row>
    <row r="2432" spans="1:10" x14ac:dyDescent="0.35">
      <c r="A2432" s="1">
        <v>45697</v>
      </c>
      <c r="B2432" s="2" t="s">
        <v>36</v>
      </c>
      <c r="C2432" s="2" t="s">
        <v>23</v>
      </c>
      <c r="D2432" s="2" t="s">
        <v>12</v>
      </c>
      <c r="E2432" s="2" t="s">
        <v>18</v>
      </c>
      <c r="F2432">
        <v>347</v>
      </c>
      <c r="G2432">
        <v>300</v>
      </c>
      <c r="H2432">
        <v>104100</v>
      </c>
      <c r="I2432">
        <v>15890.455900000001</v>
      </c>
      <c r="J2432" s="2" t="s">
        <v>37</v>
      </c>
    </row>
    <row r="2433" spans="1:10" x14ac:dyDescent="0.35">
      <c r="A2433" s="1">
        <v>45697</v>
      </c>
      <c r="B2433" s="2" t="s">
        <v>31</v>
      </c>
      <c r="C2433" s="2" t="s">
        <v>27</v>
      </c>
      <c r="D2433" s="2" t="s">
        <v>21</v>
      </c>
      <c r="E2433" s="2" t="s">
        <v>24</v>
      </c>
      <c r="F2433">
        <v>993</v>
      </c>
      <c r="G2433">
        <v>378</v>
      </c>
      <c r="H2433">
        <v>375354</v>
      </c>
      <c r="I2433">
        <v>36410.127999999997</v>
      </c>
      <c r="J2433" s="2" t="s">
        <v>37</v>
      </c>
    </row>
    <row r="2434" spans="1:10" x14ac:dyDescent="0.35">
      <c r="A2434" s="1">
        <v>45697</v>
      </c>
      <c r="B2434" s="2" t="s">
        <v>26</v>
      </c>
      <c r="C2434" s="2" t="s">
        <v>27</v>
      </c>
      <c r="D2434" s="2" t="s">
        <v>21</v>
      </c>
      <c r="E2434" s="2" t="s">
        <v>35</v>
      </c>
      <c r="F2434">
        <v>394</v>
      </c>
      <c r="G2434">
        <v>223</v>
      </c>
      <c r="H2434">
        <v>87862</v>
      </c>
      <c r="I2434">
        <v>13107.1605</v>
      </c>
      <c r="J2434" s="2" t="s">
        <v>37</v>
      </c>
    </row>
    <row r="2435" spans="1:10" x14ac:dyDescent="0.35">
      <c r="A2435" s="1">
        <v>45698</v>
      </c>
      <c r="B2435" s="2" t="s">
        <v>10</v>
      </c>
      <c r="C2435" s="2" t="s">
        <v>29</v>
      </c>
      <c r="D2435" s="2" t="s">
        <v>30</v>
      </c>
      <c r="E2435" s="2" t="s">
        <v>24</v>
      </c>
      <c r="F2435">
        <v>369</v>
      </c>
      <c r="G2435">
        <v>328</v>
      </c>
      <c r="H2435">
        <v>121032</v>
      </c>
      <c r="I2435">
        <v>23003.966499999999</v>
      </c>
      <c r="J2435" s="2" t="s">
        <v>37</v>
      </c>
    </row>
    <row r="2436" spans="1:10" x14ac:dyDescent="0.35">
      <c r="A2436" s="1">
        <v>45698</v>
      </c>
      <c r="B2436" s="2" t="s">
        <v>10</v>
      </c>
      <c r="C2436" s="2" t="s">
        <v>29</v>
      </c>
      <c r="D2436" s="2" t="s">
        <v>21</v>
      </c>
      <c r="E2436" s="2" t="s">
        <v>35</v>
      </c>
      <c r="F2436">
        <v>159</v>
      </c>
      <c r="G2436">
        <v>433</v>
      </c>
      <c r="H2436">
        <v>68847</v>
      </c>
      <c r="I2436">
        <v>6505.4116000000004</v>
      </c>
      <c r="J2436" s="2" t="s">
        <v>37</v>
      </c>
    </row>
    <row r="2437" spans="1:10" x14ac:dyDescent="0.35">
      <c r="A2437" s="1">
        <v>45698</v>
      </c>
      <c r="B2437" s="2" t="s">
        <v>31</v>
      </c>
      <c r="C2437" s="2" t="s">
        <v>29</v>
      </c>
      <c r="D2437" s="2" t="s">
        <v>30</v>
      </c>
      <c r="E2437" s="2" t="s">
        <v>13</v>
      </c>
      <c r="F2437">
        <v>168</v>
      </c>
      <c r="G2437">
        <v>366</v>
      </c>
      <c r="H2437">
        <v>61488</v>
      </c>
      <c r="I2437">
        <v>13346.6988</v>
      </c>
      <c r="J2437" s="2" t="s">
        <v>37</v>
      </c>
    </row>
    <row r="2438" spans="1:10" x14ac:dyDescent="0.35">
      <c r="A2438" s="1">
        <v>45698</v>
      </c>
      <c r="B2438" s="2" t="s">
        <v>15</v>
      </c>
      <c r="C2438" s="2" t="s">
        <v>23</v>
      </c>
      <c r="D2438" s="2" t="s">
        <v>30</v>
      </c>
      <c r="E2438" s="2" t="s">
        <v>32</v>
      </c>
      <c r="F2438">
        <v>913</v>
      </c>
      <c r="G2438">
        <v>181</v>
      </c>
      <c r="H2438">
        <v>165253</v>
      </c>
      <c r="I2438">
        <v>29311.256399999998</v>
      </c>
      <c r="J2438" s="2" t="s">
        <v>37</v>
      </c>
    </row>
    <row r="2439" spans="1:10" x14ac:dyDescent="0.35">
      <c r="A2439" s="1">
        <v>45699</v>
      </c>
      <c r="B2439" s="2" t="s">
        <v>36</v>
      </c>
      <c r="C2439" s="2" t="s">
        <v>11</v>
      </c>
      <c r="D2439" s="2" t="s">
        <v>21</v>
      </c>
      <c r="E2439" s="2" t="s">
        <v>22</v>
      </c>
      <c r="F2439">
        <v>236</v>
      </c>
      <c r="G2439">
        <v>182</v>
      </c>
      <c r="H2439">
        <v>42952</v>
      </c>
      <c r="I2439">
        <v>8861.32</v>
      </c>
      <c r="J2439" s="2" t="s">
        <v>37</v>
      </c>
    </row>
    <row r="2440" spans="1:10" x14ac:dyDescent="0.35">
      <c r="A2440" s="1">
        <v>45700</v>
      </c>
      <c r="B2440" s="2" t="s">
        <v>10</v>
      </c>
      <c r="C2440" s="2" t="s">
        <v>20</v>
      </c>
      <c r="D2440" s="2" t="s">
        <v>12</v>
      </c>
      <c r="E2440" s="2" t="s">
        <v>33</v>
      </c>
      <c r="F2440">
        <v>613</v>
      </c>
      <c r="G2440">
        <v>460</v>
      </c>
      <c r="H2440">
        <v>281980</v>
      </c>
      <c r="I2440">
        <v>48566.557800000002</v>
      </c>
      <c r="J2440" s="2" t="s">
        <v>37</v>
      </c>
    </row>
    <row r="2441" spans="1:10" x14ac:dyDescent="0.35">
      <c r="A2441" s="1">
        <v>45700</v>
      </c>
      <c r="B2441" s="2" t="s">
        <v>31</v>
      </c>
      <c r="C2441" s="2" t="s">
        <v>16</v>
      </c>
      <c r="D2441" s="2" t="s">
        <v>17</v>
      </c>
      <c r="E2441" s="2" t="s">
        <v>33</v>
      </c>
      <c r="F2441">
        <v>369</v>
      </c>
      <c r="G2441">
        <v>120</v>
      </c>
      <c r="H2441">
        <v>44280</v>
      </c>
      <c r="I2441">
        <v>7481.9580999999998</v>
      </c>
      <c r="J2441" s="2" t="s">
        <v>37</v>
      </c>
    </row>
    <row r="2442" spans="1:10" x14ac:dyDescent="0.35">
      <c r="A2442" s="1">
        <v>45700</v>
      </c>
      <c r="B2442" s="2" t="s">
        <v>19</v>
      </c>
      <c r="C2442" s="2" t="s">
        <v>11</v>
      </c>
      <c r="D2442" s="2" t="s">
        <v>21</v>
      </c>
      <c r="E2442" s="2" t="s">
        <v>32</v>
      </c>
      <c r="F2442">
        <v>409</v>
      </c>
      <c r="G2442">
        <v>398</v>
      </c>
      <c r="H2442">
        <v>162782</v>
      </c>
      <c r="I2442">
        <v>32475.2336</v>
      </c>
      <c r="J2442" s="2" t="s">
        <v>37</v>
      </c>
    </row>
    <row r="2443" spans="1:10" x14ac:dyDescent="0.35">
      <c r="A2443" s="1">
        <v>45701</v>
      </c>
      <c r="B2443" s="2" t="s">
        <v>26</v>
      </c>
      <c r="C2443" s="2" t="s">
        <v>20</v>
      </c>
      <c r="D2443" s="2" t="s">
        <v>17</v>
      </c>
      <c r="E2443" s="2" t="s">
        <v>18</v>
      </c>
      <c r="F2443">
        <v>144</v>
      </c>
      <c r="G2443">
        <v>127</v>
      </c>
      <c r="H2443">
        <v>18288</v>
      </c>
      <c r="I2443">
        <v>4511.0187999999998</v>
      </c>
      <c r="J2443" s="2" t="s">
        <v>37</v>
      </c>
    </row>
    <row r="2444" spans="1:10" x14ac:dyDescent="0.35">
      <c r="A2444" s="1">
        <v>45701</v>
      </c>
      <c r="B2444" s="2" t="s">
        <v>10</v>
      </c>
      <c r="C2444" s="2" t="s">
        <v>23</v>
      </c>
      <c r="D2444" s="2" t="s">
        <v>30</v>
      </c>
      <c r="E2444" s="2" t="s">
        <v>35</v>
      </c>
      <c r="F2444">
        <v>94</v>
      </c>
      <c r="G2444">
        <v>303</v>
      </c>
      <c r="H2444">
        <v>28482</v>
      </c>
      <c r="I2444">
        <v>3237.6374999999998</v>
      </c>
      <c r="J2444" s="2" t="s">
        <v>37</v>
      </c>
    </row>
    <row r="2445" spans="1:10" x14ac:dyDescent="0.35">
      <c r="A2445" s="1">
        <v>45702</v>
      </c>
      <c r="B2445" s="2" t="s">
        <v>34</v>
      </c>
      <c r="C2445" s="2" t="s">
        <v>20</v>
      </c>
      <c r="D2445" s="2" t="s">
        <v>30</v>
      </c>
      <c r="E2445" s="2" t="s">
        <v>18</v>
      </c>
      <c r="F2445">
        <v>362</v>
      </c>
      <c r="G2445">
        <v>471</v>
      </c>
      <c r="H2445">
        <v>170502</v>
      </c>
      <c r="I2445">
        <v>35841.718000000001</v>
      </c>
      <c r="J2445" s="2" t="s">
        <v>37</v>
      </c>
    </row>
    <row r="2446" spans="1:10" x14ac:dyDescent="0.35">
      <c r="A2446" s="1">
        <v>45702</v>
      </c>
      <c r="B2446" s="2" t="s">
        <v>26</v>
      </c>
      <c r="C2446" s="2" t="s">
        <v>27</v>
      </c>
      <c r="D2446" s="2" t="s">
        <v>17</v>
      </c>
      <c r="E2446" s="2" t="s">
        <v>32</v>
      </c>
      <c r="F2446">
        <v>343</v>
      </c>
      <c r="G2446">
        <v>386</v>
      </c>
      <c r="H2446">
        <v>132398</v>
      </c>
      <c r="I2446">
        <v>21319.432799999999</v>
      </c>
      <c r="J2446" s="2" t="s">
        <v>37</v>
      </c>
    </row>
    <row r="2447" spans="1:10" x14ac:dyDescent="0.35">
      <c r="A2447" s="1">
        <v>45702</v>
      </c>
      <c r="B2447" s="2" t="s">
        <v>25</v>
      </c>
      <c r="C2447" s="2" t="s">
        <v>27</v>
      </c>
      <c r="D2447" s="2" t="s">
        <v>21</v>
      </c>
      <c r="E2447" s="2" t="s">
        <v>13</v>
      </c>
      <c r="F2447">
        <v>587</v>
      </c>
      <c r="G2447">
        <v>295</v>
      </c>
      <c r="H2447">
        <v>173165</v>
      </c>
      <c r="I2447">
        <v>22193.8161</v>
      </c>
      <c r="J2447" s="2" t="s">
        <v>37</v>
      </c>
    </row>
    <row r="2448" spans="1:10" x14ac:dyDescent="0.35">
      <c r="A2448" s="1">
        <v>45702</v>
      </c>
      <c r="B2448" s="2" t="s">
        <v>34</v>
      </c>
      <c r="C2448" s="2" t="s">
        <v>29</v>
      </c>
      <c r="D2448" s="2" t="s">
        <v>17</v>
      </c>
      <c r="E2448" s="2" t="s">
        <v>13</v>
      </c>
      <c r="F2448">
        <v>953</v>
      </c>
      <c r="G2448">
        <v>351</v>
      </c>
      <c r="H2448">
        <v>334503</v>
      </c>
      <c r="I2448">
        <v>75445.282300000006</v>
      </c>
      <c r="J2448" s="2" t="s">
        <v>37</v>
      </c>
    </row>
    <row r="2449" spans="1:10" x14ac:dyDescent="0.35">
      <c r="A2449" s="1">
        <v>45702</v>
      </c>
      <c r="B2449" s="2" t="s">
        <v>34</v>
      </c>
      <c r="C2449" s="2" t="s">
        <v>20</v>
      </c>
      <c r="D2449" s="2" t="s">
        <v>17</v>
      </c>
      <c r="E2449" s="2" t="s">
        <v>35</v>
      </c>
      <c r="F2449">
        <v>914</v>
      </c>
      <c r="G2449">
        <v>178</v>
      </c>
      <c r="H2449">
        <v>162692</v>
      </c>
      <c r="I2449">
        <v>29207.5723</v>
      </c>
      <c r="J2449" s="2" t="s">
        <v>37</v>
      </c>
    </row>
    <row r="2450" spans="1:10" x14ac:dyDescent="0.35">
      <c r="A2450" s="1">
        <v>45702</v>
      </c>
      <c r="B2450" s="2" t="s">
        <v>26</v>
      </c>
      <c r="C2450" s="2" t="s">
        <v>20</v>
      </c>
      <c r="D2450" s="2" t="s">
        <v>12</v>
      </c>
      <c r="E2450" s="2" t="s">
        <v>28</v>
      </c>
      <c r="F2450">
        <v>474</v>
      </c>
      <c r="G2450">
        <v>460</v>
      </c>
      <c r="H2450">
        <v>218040</v>
      </c>
      <c r="I2450">
        <v>29718.4548</v>
      </c>
      <c r="J2450" s="2" t="s">
        <v>37</v>
      </c>
    </row>
    <row r="2451" spans="1:10" x14ac:dyDescent="0.35">
      <c r="A2451" s="1">
        <v>45702</v>
      </c>
      <c r="B2451" s="2" t="s">
        <v>31</v>
      </c>
      <c r="C2451" s="2" t="s">
        <v>27</v>
      </c>
      <c r="D2451" s="2" t="s">
        <v>12</v>
      </c>
      <c r="E2451" s="2" t="s">
        <v>18</v>
      </c>
      <c r="F2451">
        <v>314</v>
      </c>
      <c r="G2451">
        <v>280</v>
      </c>
      <c r="H2451">
        <v>87920</v>
      </c>
      <c r="I2451">
        <v>16478.075799999999</v>
      </c>
      <c r="J2451" s="2" t="s">
        <v>37</v>
      </c>
    </row>
    <row r="2452" spans="1:10" x14ac:dyDescent="0.35">
      <c r="A2452" s="1">
        <v>45703</v>
      </c>
      <c r="B2452" s="2" t="s">
        <v>25</v>
      </c>
      <c r="C2452" s="2" t="s">
        <v>27</v>
      </c>
      <c r="D2452" s="2" t="s">
        <v>30</v>
      </c>
      <c r="E2452" s="2" t="s">
        <v>13</v>
      </c>
      <c r="F2452">
        <v>899</v>
      </c>
      <c r="G2452">
        <v>288</v>
      </c>
      <c r="H2452">
        <v>258912</v>
      </c>
      <c r="I2452">
        <v>59626.027300000002</v>
      </c>
      <c r="J2452" s="2" t="s">
        <v>37</v>
      </c>
    </row>
    <row r="2453" spans="1:10" x14ac:dyDescent="0.35">
      <c r="A2453" s="1">
        <v>45703</v>
      </c>
      <c r="B2453" s="2" t="s">
        <v>25</v>
      </c>
      <c r="C2453" s="2" t="s">
        <v>11</v>
      </c>
      <c r="D2453" s="2" t="s">
        <v>30</v>
      </c>
      <c r="E2453" s="2" t="s">
        <v>35</v>
      </c>
      <c r="F2453">
        <v>802</v>
      </c>
      <c r="G2453">
        <v>473</v>
      </c>
      <c r="H2453">
        <v>379346</v>
      </c>
      <c r="I2453">
        <v>30922.454900000001</v>
      </c>
      <c r="J2453" s="2" t="s">
        <v>37</v>
      </c>
    </row>
    <row r="2454" spans="1:10" x14ac:dyDescent="0.35">
      <c r="A2454" s="1">
        <v>45704</v>
      </c>
      <c r="B2454" s="2" t="s">
        <v>31</v>
      </c>
      <c r="C2454" s="2" t="s">
        <v>11</v>
      </c>
      <c r="D2454" s="2" t="s">
        <v>12</v>
      </c>
      <c r="E2454" s="2" t="s">
        <v>28</v>
      </c>
      <c r="F2454">
        <v>76</v>
      </c>
      <c r="G2454">
        <v>371</v>
      </c>
      <c r="H2454">
        <v>28196</v>
      </c>
      <c r="I2454">
        <v>3187.1226000000001</v>
      </c>
      <c r="J2454" s="2" t="s">
        <v>37</v>
      </c>
    </row>
    <row r="2455" spans="1:10" x14ac:dyDescent="0.35">
      <c r="A2455" s="1">
        <v>45704</v>
      </c>
      <c r="B2455" s="2" t="s">
        <v>19</v>
      </c>
      <c r="C2455" s="2" t="s">
        <v>27</v>
      </c>
      <c r="D2455" s="2" t="s">
        <v>30</v>
      </c>
      <c r="E2455" s="2" t="s">
        <v>22</v>
      </c>
      <c r="F2455">
        <v>585</v>
      </c>
      <c r="G2455">
        <v>168</v>
      </c>
      <c r="H2455">
        <v>98280</v>
      </c>
      <c r="I2455">
        <v>14712.2039</v>
      </c>
      <c r="J2455" s="2" t="s">
        <v>37</v>
      </c>
    </row>
    <row r="2456" spans="1:10" x14ac:dyDescent="0.35">
      <c r="A2456" s="1">
        <v>45704</v>
      </c>
      <c r="B2456" s="2" t="s">
        <v>10</v>
      </c>
      <c r="C2456" s="2" t="s">
        <v>23</v>
      </c>
      <c r="D2456" s="2" t="s">
        <v>21</v>
      </c>
      <c r="E2456" s="2" t="s">
        <v>13</v>
      </c>
      <c r="F2456">
        <v>334</v>
      </c>
      <c r="G2456">
        <v>459</v>
      </c>
      <c r="H2456">
        <v>153306</v>
      </c>
      <c r="I2456">
        <v>19779.240099999999</v>
      </c>
      <c r="J2456" s="2" t="s">
        <v>37</v>
      </c>
    </row>
    <row r="2457" spans="1:10" x14ac:dyDescent="0.35">
      <c r="A2457" s="1">
        <v>45704</v>
      </c>
      <c r="B2457" s="2" t="s">
        <v>25</v>
      </c>
      <c r="C2457" s="2" t="s">
        <v>11</v>
      </c>
      <c r="D2457" s="2" t="s">
        <v>12</v>
      </c>
      <c r="E2457" s="2" t="s">
        <v>32</v>
      </c>
      <c r="F2457">
        <v>959</v>
      </c>
      <c r="G2457">
        <v>134</v>
      </c>
      <c r="H2457">
        <v>128506</v>
      </c>
      <c r="I2457">
        <v>19338.936099999999</v>
      </c>
      <c r="J2457" s="2" t="s">
        <v>37</v>
      </c>
    </row>
    <row r="2458" spans="1:10" x14ac:dyDescent="0.35">
      <c r="A2458" s="1">
        <v>45705</v>
      </c>
      <c r="B2458" s="2" t="s">
        <v>36</v>
      </c>
      <c r="C2458" s="2" t="s">
        <v>23</v>
      </c>
      <c r="D2458" s="2" t="s">
        <v>12</v>
      </c>
      <c r="E2458" s="2" t="s">
        <v>22</v>
      </c>
      <c r="F2458">
        <v>65</v>
      </c>
      <c r="G2458">
        <v>342</v>
      </c>
      <c r="H2458">
        <v>22230</v>
      </c>
      <c r="I2458">
        <v>3418.4513999999999</v>
      </c>
      <c r="J2458" s="2" t="s">
        <v>37</v>
      </c>
    </row>
    <row r="2459" spans="1:10" x14ac:dyDescent="0.35">
      <c r="A2459" s="1">
        <v>45705</v>
      </c>
      <c r="B2459" s="2" t="s">
        <v>10</v>
      </c>
      <c r="C2459" s="2" t="s">
        <v>16</v>
      </c>
      <c r="D2459" s="2" t="s">
        <v>12</v>
      </c>
      <c r="E2459" s="2" t="s">
        <v>22</v>
      </c>
      <c r="F2459">
        <v>204</v>
      </c>
      <c r="G2459">
        <v>252</v>
      </c>
      <c r="H2459">
        <v>51408</v>
      </c>
      <c r="I2459">
        <v>6966.0144</v>
      </c>
      <c r="J2459" s="2" t="s">
        <v>37</v>
      </c>
    </row>
    <row r="2460" spans="1:10" x14ac:dyDescent="0.35">
      <c r="A2460" s="1">
        <v>45705</v>
      </c>
      <c r="B2460" s="2" t="s">
        <v>36</v>
      </c>
      <c r="C2460" s="2" t="s">
        <v>11</v>
      </c>
      <c r="D2460" s="2" t="s">
        <v>12</v>
      </c>
      <c r="E2460" s="2" t="s">
        <v>28</v>
      </c>
      <c r="F2460">
        <v>258</v>
      </c>
      <c r="G2460">
        <v>202</v>
      </c>
      <c r="H2460">
        <v>52116</v>
      </c>
      <c r="I2460">
        <v>9104.2044999999998</v>
      </c>
      <c r="J2460" s="2" t="s">
        <v>37</v>
      </c>
    </row>
    <row r="2461" spans="1:10" x14ac:dyDescent="0.35">
      <c r="A2461" s="1">
        <v>45705</v>
      </c>
      <c r="B2461" s="2" t="s">
        <v>15</v>
      </c>
      <c r="C2461" s="2" t="s">
        <v>11</v>
      </c>
      <c r="D2461" s="2" t="s">
        <v>17</v>
      </c>
      <c r="E2461" s="2" t="s">
        <v>18</v>
      </c>
      <c r="F2461">
        <v>609</v>
      </c>
      <c r="G2461">
        <v>323</v>
      </c>
      <c r="H2461">
        <v>196707</v>
      </c>
      <c r="I2461">
        <v>20561.892500000002</v>
      </c>
      <c r="J2461" s="2" t="s">
        <v>37</v>
      </c>
    </row>
    <row r="2462" spans="1:10" x14ac:dyDescent="0.35">
      <c r="A2462" s="1">
        <v>45705</v>
      </c>
      <c r="B2462" s="2" t="s">
        <v>26</v>
      </c>
      <c r="C2462" s="2" t="s">
        <v>23</v>
      </c>
      <c r="D2462" s="2" t="s">
        <v>17</v>
      </c>
      <c r="E2462" s="2" t="s">
        <v>33</v>
      </c>
      <c r="F2462">
        <v>975</v>
      </c>
      <c r="G2462">
        <v>327</v>
      </c>
      <c r="H2462">
        <v>318825</v>
      </c>
      <c r="I2462">
        <v>43521.0216</v>
      </c>
      <c r="J2462" s="2" t="s">
        <v>37</v>
      </c>
    </row>
    <row r="2463" spans="1:10" x14ac:dyDescent="0.35">
      <c r="A2463" s="1">
        <v>45706</v>
      </c>
      <c r="B2463" s="2" t="s">
        <v>31</v>
      </c>
      <c r="C2463" s="2" t="s">
        <v>23</v>
      </c>
      <c r="D2463" s="2" t="s">
        <v>30</v>
      </c>
      <c r="E2463" s="2" t="s">
        <v>33</v>
      </c>
      <c r="F2463">
        <v>738</v>
      </c>
      <c r="G2463">
        <v>224</v>
      </c>
      <c r="H2463">
        <v>165312</v>
      </c>
      <c r="I2463">
        <v>22180.1273</v>
      </c>
      <c r="J2463" s="2" t="s">
        <v>37</v>
      </c>
    </row>
    <row r="2464" spans="1:10" x14ac:dyDescent="0.35">
      <c r="A2464" s="1">
        <v>45706</v>
      </c>
      <c r="B2464" s="2" t="s">
        <v>15</v>
      </c>
      <c r="C2464" s="2" t="s">
        <v>20</v>
      </c>
      <c r="D2464" s="2" t="s">
        <v>12</v>
      </c>
      <c r="E2464" s="2" t="s">
        <v>13</v>
      </c>
      <c r="F2464">
        <v>686</v>
      </c>
      <c r="G2464">
        <v>433</v>
      </c>
      <c r="H2464">
        <v>297038</v>
      </c>
      <c r="I2464">
        <v>67261.0533</v>
      </c>
      <c r="J2464" s="2" t="s">
        <v>37</v>
      </c>
    </row>
    <row r="2465" spans="1:10" x14ac:dyDescent="0.35">
      <c r="A2465" s="1">
        <v>45706</v>
      </c>
      <c r="B2465" s="2" t="s">
        <v>36</v>
      </c>
      <c r="C2465" s="2" t="s">
        <v>20</v>
      </c>
      <c r="D2465" s="2" t="s">
        <v>12</v>
      </c>
      <c r="E2465" s="2" t="s">
        <v>32</v>
      </c>
      <c r="F2465">
        <v>797</v>
      </c>
      <c r="G2465">
        <v>399</v>
      </c>
      <c r="H2465">
        <v>318003</v>
      </c>
      <c r="I2465">
        <v>60867.501600000003</v>
      </c>
      <c r="J2465" s="2" t="s">
        <v>37</v>
      </c>
    </row>
    <row r="2466" spans="1:10" x14ac:dyDescent="0.35">
      <c r="A2466" s="1">
        <v>45707</v>
      </c>
      <c r="B2466" s="2" t="s">
        <v>31</v>
      </c>
      <c r="C2466" s="2" t="s">
        <v>23</v>
      </c>
      <c r="D2466" s="2" t="s">
        <v>30</v>
      </c>
      <c r="E2466" s="2" t="s">
        <v>28</v>
      </c>
      <c r="F2466">
        <v>917</v>
      </c>
      <c r="G2466">
        <v>368</v>
      </c>
      <c r="H2466">
        <v>337456</v>
      </c>
      <c r="I2466">
        <v>31276.856599999999</v>
      </c>
      <c r="J2466" s="2" t="s">
        <v>37</v>
      </c>
    </row>
    <row r="2467" spans="1:10" x14ac:dyDescent="0.35">
      <c r="A2467" s="1">
        <v>45707</v>
      </c>
      <c r="B2467" s="2" t="s">
        <v>15</v>
      </c>
      <c r="C2467" s="2" t="s">
        <v>20</v>
      </c>
      <c r="D2467" s="2" t="s">
        <v>30</v>
      </c>
      <c r="E2467" s="2" t="s">
        <v>18</v>
      </c>
      <c r="F2467">
        <v>827</v>
      </c>
      <c r="G2467">
        <v>118</v>
      </c>
      <c r="H2467">
        <v>97586</v>
      </c>
      <c r="I2467">
        <v>19396.0612</v>
      </c>
      <c r="J2467" s="2" t="s">
        <v>37</v>
      </c>
    </row>
    <row r="2468" spans="1:10" x14ac:dyDescent="0.35">
      <c r="A2468" s="1">
        <v>45707</v>
      </c>
      <c r="B2468" s="2" t="s">
        <v>31</v>
      </c>
      <c r="C2468" s="2" t="s">
        <v>27</v>
      </c>
      <c r="D2468" s="2" t="s">
        <v>30</v>
      </c>
      <c r="E2468" s="2" t="s">
        <v>33</v>
      </c>
      <c r="F2468">
        <v>732</v>
      </c>
      <c r="G2468">
        <v>423</v>
      </c>
      <c r="H2468">
        <v>309636</v>
      </c>
      <c r="I2468">
        <v>26616.966199999999</v>
      </c>
      <c r="J2468" s="2" t="s">
        <v>37</v>
      </c>
    </row>
    <row r="2469" spans="1:10" x14ac:dyDescent="0.35">
      <c r="A2469" s="1">
        <v>45707</v>
      </c>
      <c r="B2469" s="2" t="s">
        <v>26</v>
      </c>
      <c r="C2469" s="2" t="s">
        <v>11</v>
      </c>
      <c r="D2469" s="2" t="s">
        <v>12</v>
      </c>
      <c r="E2469" s="2" t="s">
        <v>18</v>
      </c>
      <c r="F2469">
        <v>266</v>
      </c>
      <c r="G2469">
        <v>349</v>
      </c>
      <c r="H2469">
        <v>92834</v>
      </c>
      <c r="I2469">
        <v>17222.600699999999</v>
      </c>
      <c r="J2469" s="2" t="s">
        <v>37</v>
      </c>
    </row>
    <row r="2470" spans="1:10" x14ac:dyDescent="0.35">
      <c r="A2470" s="1">
        <v>45707</v>
      </c>
      <c r="B2470" s="2" t="s">
        <v>34</v>
      </c>
      <c r="C2470" s="2" t="s">
        <v>11</v>
      </c>
      <c r="D2470" s="2" t="s">
        <v>21</v>
      </c>
      <c r="E2470" s="2" t="s">
        <v>33</v>
      </c>
      <c r="F2470">
        <v>269</v>
      </c>
      <c r="G2470">
        <v>490</v>
      </c>
      <c r="H2470">
        <v>131810</v>
      </c>
      <c r="I2470">
        <v>14100.962799999999</v>
      </c>
      <c r="J2470" s="2" t="s">
        <v>37</v>
      </c>
    </row>
    <row r="2471" spans="1:10" x14ac:dyDescent="0.35">
      <c r="A2471" s="1">
        <v>45708</v>
      </c>
      <c r="B2471" s="2" t="s">
        <v>25</v>
      </c>
      <c r="C2471" s="2" t="s">
        <v>16</v>
      </c>
      <c r="D2471" s="2" t="s">
        <v>12</v>
      </c>
      <c r="E2471" s="2" t="s">
        <v>18</v>
      </c>
      <c r="F2471">
        <v>676</v>
      </c>
      <c r="G2471">
        <v>300</v>
      </c>
      <c r="H2471">
        <v>202800</v>
      </c>
      <c r="I2471">
        <v>22931.518199999999</v>
      </c>
      <c r="J2471" s="2" t="s">
        <v>37</v>
      </c>
    </row>
    <row r="2472" spans="1:10" x14ac:dyDescent="0.35">
      <c r="A2472" s="1">
        <v>45709</v>
      </c>
      <c r="B2472" s="2" t="s">
        <v>36</v>
      </c>
      <c r="C2472" s="2" t="s">
        <v>27</v>
      </c>
      <c r="D2472" s="2" t="s">
        <v>30</v>
      </c>
      <c r="E2472" s="2" t="s">
        <v>35</v>
      </c>
      <c r="F2472">
        <v>518</v>
      </c>
      <c r="G2472">
        <v>331</v>
      </c>
      <c r="H2472">
        <v>171458</v>
      </c>
      <c r="I2472">
        <v>31436.2088</v>
      </c>
      <c r="J2472" s="2" t="s">
        <v>37</v>
      </c>
    </row>
    <row r="2473" spans="1:10" x14ac:dyDescent="0.35">
      <c r="A2473" s="1">
        <v>45709</v>
      </c>
      <c r="B2473" s="2" t="s">
        <v>26</v>
      </c>
      <c r="C2473" s="2" t="s">
        <v>23</v>
      </c>
      <c r="D2473" s="2" t="s">
        <v>17</v>
      </c>
      <c r="E2473" s="2" t="s">
        <v>13</v>
      </c>
      <c r="F2473">
        <v>687</v>
      </c>
      <c r="G2473">
        <v>196</v>
      </c>
      <c r="H2473">
        <v>134652</v>
      </c>
      <c r="I2473">
        <v>15886.599</v>
      </c>
      <c r="J2473" s="2" t="s">
        <v>37</v>
      </c>
    </row>
    <row r="2474" spans="1:10" x14ac:dyDescent="0.35">
      <c r="A2474" s="1">
        <v>45710</v>
      </c>
      <c r="B2474" s="2" t="s">
        <v>19</v>
      </c>
      <c r="C2474" s="2" t="s">
        <v>23</v>
      </c>
      <c r="D2474" s="2" t="s">
        <v>12</v>
      </c>
      <c r="E2474" s="2" t="s">
        <v>28</v>
      </c>
      <c r="F2474">
        <v>765</v>
      </c>
      <c r="G2474">
        <v>213</v>
      </c>
      <c r="H2474">
        <v>162945</v>
      </c>
      <c r="I2474">
        <v>30460.892599999999</v>
      </c>
      <c r="J2474" s="2" t="s">
        <v>37</v>
      </c>
    </row>
    <row r="2475" spans="1:10" x14ac:dyDescent="0.35">
      <c r="A2475" s="1">
        <v>45710</v>
      </c>
      <c r="B2475" s="2" t="s">
        <v>34</v>
      </c>
      <c r="C2475" s="2" t="s">
        <v>29</v>
      </c>
      <c r="D2475" s="2" t="s">
        <v>30</v>
      </c>
      <c r="E2475" s="2" t="s">
        <v>33</v>
      </c>
      <c r="F2475">
        <v>354</v>
      </c>
      <c r="G2475">
        <v>224</v>
      </c>
      <c r="H2475">
        <v>79296</v>
      </c>
      <c r="I2475">
        <v>7328.7227000000003</v>
      </c>
      <c r="J2475" s="2" t="s">
        <v>37</v>
      </c>
    </row>
    <row r="2476" spans="1:10" x14ac:dyDescent="0.35">
      <c r="A2476" s="1">
        <v>45710</v>
      </c>
      <c r="B2476" s="2" t="s">
        <v>15</v>
      </c>
      <c r="C2476" s="2" t="s">
        <v>27</v>
      </c>
      <c r="D2476" s="2" t="s">
        <v>30</v>
      </c>
      <c r="E2476" s="2" t="s">
        <v>13</v>
      </c>
      <c r="F2476">
        <v>473</v>
      </c>
      <c r="G2476">
        <v>157</v>
      </c>
      <c r="H2476">
        <v>74261</v>
      </c>
      <c r="I2476">
        <v>16984.317299999999</v>
      </c>
      <c r="J2476" s="2" t="s">
        <v>37</v>
      </c>
    </row>
    <row r="2477" spans="1:10" x14ac:dyDescent="0.35">
      <c r="A2477" s="1">
        <v>45711</v>
      </c>
      <c r="B2477" s="2" t="s">
        <v>10</v>
      </c>
      <c r="C2477" s="2" t="s">
        <v>27</v>
      </c>
      <c r="D2477" s="2" t="s">
        <v>30</v>
      </c>
      <c r="E2477" s="2" t="s">
        <v>33</v>
      </c>
      <c r="F2477">
        <v>889</v>
      </c>
      <c r="G2477">
        <v>163</v>
      </c>
      <c r="H2477">
        <v>144907</v>
      </c>
      <c r="I2477">
        <v>23724.174900000002</v>
      </c>
      <c r="J2477" s="2" t="s">
        <v>37</v>
      </c>
    </row>
    <row r="2478" spans="1:10" x14ac:dyDescent="0.35">
      <c r="A2478" s="1">
        <v>45711</v>
      </c>
      <c r="B2478" s="2" t="s">
        <v>34</v>
      </c>
      <c r="C2478" s="2" t="s">
        <v>27</v>
      </c>
      <c r="D2478" s="2" t="s">
        <v>17</v>
      </c>
      <c r="E2478" s="2" t="s">
        <v>33</v>
      </c>
      <c r="F2478">
        <v>489</v>
      </c>
      <c r="G2478">
        <v>116</v>
      </c>
      <c r="H2478">
        <v>56724</v>
      </c>
      <c r="I2478">
        <v>10877.987999999999</v>
      </c>
      <c r="J2478" s="2" t="s">
        <v>37</v>
      </c>
    </row>
    <row r="2479" spans="1:10" x14ac:dyDescent="0.35">
      <c r="A2479" s="1">
        <v>45711</v>
      </c>
      <c r="B2479" s="2" t="s">
        <v>15</v>
      </c>
      <c r="C2479" s="2" t="s">
        <v>20</v>
      </c>
      <c r="D2479" s="2" t="s">
        <v>12</v>
      </c>
      <c r="E2479" s="2" t="s">
        <v>22</v>
      </c>
      <c r="F2479">
        <v>99</v>
      </c>
      <c r="G2479">
        <v>277</v>
      </c>
      <c r="H2479">
        <v>27423</v>
      </c>
      <c r="I2479">
        <v>6642.4071999999996</v>
      </c>
      <c r="J2479" s="2" t="s">
        <v>37</v>
      </c>
    </row>
    <row r="2480" spans="1:10" x14ac:dyDescent="0.35">
      <c r="A2480" s="1">
        <v>45711</v>
      </c>
      <c r="B2480" s="2" t="s">
        <v>10</v>
      </c>
      <c r="C2480" s="2" t="s">
        <v>11</v>
      </c>
      <c r="D2480" s="2" t="s">
        <v>17</v>
      </c>
      <c r="E2480" s="2" t="s">
        <v>33</v>
      </c>
      <c r="F2480">
        <v>965</v>
      </c>
      <c r="G2480">
        <v>276</v>
      </c>
      <c r="H2480">
        <v>266340</v>
      </c>
      <c r="I2480">
        <v>37096.348299999998</v>
      </c>
      <c r="J2480" s="2" t="s">
        <v>37</v>
      </c>
    </row>
    <row r="2481" spans="1:10" x14ac:dyDescent="0.35">
      <c r="A2481" s="1">
        <v>45711</v>
      </c>
      <c r="B2481" s="2" t="s">
        <v>34</v>
      </c>
      <c r="C2481" s="2" t="s">
        <v>29</v>
      </c>
      <c r="D2481" s="2" t="s">
        <v>17</v>
      </c>
      <c r="E2481" s="2" t="s">
        <v>13</v>
      </c>
      <c r="F2481">
        <v>873</v>
      </c>
      <c r="G2481">
        <v>392</v>
      </c>
      <c r="H2481">
        <v>342216</v>
      </c>
      <c r="I2481">
        <v>62032.773699999998</v>
      </c>
      <c r="J2481" s="2" t="s">
        <v>37</v>
      </c>
    </row>
    <row r="2482" spans="1:10" x14ac:dyDescent="0.35">
      <c r="A2482" s="1">
        <v>45712</v>
      </c>
      <c r="B2482" s="2" t="s">
        <v>34</v>
      </c>
      <c r="C2482" s="2" t="s">
        <v>23</v>
      </c>
      <c r="D2482" s="2" t="s">
        <v>17</v>
      </c>
      <c r="E2482" s="2" t="s">
        <v>32</v>
      </c>
      <c r="F2482">
        <v>505</v>
      </c>
      <c r="G2482">
        <v>140</v>
      </c>
      <c r="H2482">
        <v>70700</v>
      </c>
      <c r="I2482">
        <v>15790.497600000001</v>
      </c>
      <c r="J2482" s="2" t="s">
        <v>37</v>
      </c>
    </row>
    <row r="2483" spans="1:10" x14ac:dyDescent="0.35">
      <c r="A2483" s="1">
        <v>45713</v>
      </c>
      <c r="B2483" s="2" t="s">
        <v>19</v>
      </c>
      <c r="C2483" s="2" t="s">
        <v>23</v>
      </c>
      <c r="D2483" s="2" t="s">
        <v>30</v>
      </c>
      <c r="E2483" s="2" t="s">
        <v>24</v>
      </c>
      <c r="F2483">
        <v>582</v>
      </c>
      <c r="G2483">
        <v>333</v>
      </c>
      <c r="H2483">
        <v>193806</v>
      </c>
      <c r="I2483">
        <v>34343.915300000001</v>
      </c>
      <c r="J2483" s="2" t="s">
        <v>37</v>
      </c>
    </row>
    <row r="2484" spans="1:10" x14ac:dyDescent="0.35">
      <c r="A2484" s="1">
        <v>45713</v>
      </c>
      <c r="B2484" s="2" t="s">
        <v>25</v>
      </c>
      <c r="C2484" s="2" t="s">
        <v>29</v>
      </c>
      <c r="D2484" s="2" t="s">
        <v>30</v>
      </c>
      <c r="E2484" s="2" t="s">
        <v>33</v>
      </c>
      <c r="F2484">
        <v>290</v>
      </c>
      <c r="G2484">
        <v>385</v>
      </c>
      <c r="H2484">
        <v>111650</v>
      </c>
      <c r="I2484">
        <v>24457.655699999999</v>
      </c>
      <c r="J2484" s="2" t="s">
        <v>37</v>
      </c>
    </row>
    <row r="2485" spans="1:10" x14ac:dyDescent="0.35">
      <c r="A2485" s="1">
        <v>45713</v>
      </c>
      <c r="B2485" s="2" t="s">
        <v>15</v>
      </c>
      <c r="C2485" s="2" t="s">
        <v>20</v>
      </c>
      <c r="D2485" s="2" t="s">
        <v>17</v>
      </c>
      <c r="E2485" s="2" t="s">
        <v>24</v>
      </c>
      <c r="F2485">
        <v>845</v>
      </c>
      <c r="G2485">
        <v>260</v>
      </c>
      <c r="H2485">
        <v>219700</v>
      </c>
      <c r="I2485">
        <v>21975.981599999999</v>
      </c>
      <c r="J2485" s="2" t="s">
        <v>37</v>
      </c>
    </row>
    <row r="2486" spans="1:10" x14ac:dyDescent="0.35">
      <c r="A2486" s="1">
        <v>45715</v>
      </c>
      <c r="B2486" s="2" t="s">
        <v>25</v>
      </c>
      <c r="C2486" s="2" t="s">
        <v>11</v>
      </c>
      <c r="D2486" s="2" t="s">
        <v>21</v>
      </c>
      <c r="E2486" s="2" t="s">
        <v>28</v>
      </c>
      <c r="F2486">
        <v>565</v>
      </c>
      <c r="G2486">
        <v>189</v>
      </c>
      <c r="H2486">
        <v>106785</v>
      </c>
      <c r="I2486">
        <v>23919.8285</v>
      </c>
      <c r="J2486" s="2" t="s">
        <v>37</v>
      </c>
    </row>
    <row r="2487" spans="1:10" x14ac:dyDescent="0.35">
      <c r="A2487" s="1">
        <v>45715</v>
      </c>
      <c r="B2487" s="2" t="s">
        <v>19</v>
      </c>
      <c r="C2487" s="2" t="s">
        <v>16</v>
      </c>
      <c r="D2487" s="2" t="s">
        <v>12</v>
      </c>
      <c r="E2487" s="2" t="s">
        <v>33</v>
      </c>
      <c r="F2487">
        <v>306</v>
      </c>
      <c r="G2487">
        <v>372</v>
      </c>
      <c r="H2487">
        <v>113832</v>
      </c>
      <c r="I2487">
        <v>14084.015100000001</v>
      </c>
      <c r="J2487" s="2" t="s">
        <v>37</v>
      </c>
    </row>
    <row r="2488" spans="1:10" x14ac:dyDescent="0.35">
      <c r="A2488" s="1">
        <v>45716</v>
      </c>
      <c r="B2488" s="2" t="s">
        <v>36</v>
      </c>
      <c r="C2488" s="2" t="s">
        <v>29</v>
      </c>
      <c r="D2488" s="2" t="s">
        <v>21</v>
      </c>
      <c r="E2488" s="2" t="s">
        <v>32</v>
      </c>
      <c r="F2488">
        <v>341</v>
      </c>
      <c r="G2488">
        <v>293</v>
      </c>
      <c r="H2488">
        <v>99913</v>
      </c>
      <c r="I2488">
        <v>19153.100200000001</v>
      </c>
      <c r="J2488" s="2" t="s">
        <v>37</v>
      </c>
    </row>
    <row r="2489" spans="1:10" x14ac:dyDescent="0.35">
      <c r="A2489" s="1">
        <v>45716</v>
      </c>
      <c r="B2489" s="2" t="s">
        <v>36</v>
      </c>
      <c r="C2489" s="2" t="s">
        <v>23</v>
      </c>
      <c r="D2489" s="2" t="s">
        <v>30</v>
      </c>
      <c r="E2489" s="2" t="s">
        <v>18</v>
      </c>
      <c r="F2489">
        <v>725</v>
      </c>
      <c r="G2489">
        <v>359</v>
      </c>
      <c r="H2489">
        <v>260275</v>
      </c>
      <c r="I2489">
        <v>35786.689299999998</v>
      </c>
      <c r="J2489" s="2" t="s">
        <v>37</v>
      </c>
    </row>
    <row r="2490" spans="1:10" x14ac:dyDescent="0.35">
      <c r="A2490" s="1">
        <v>45716</v>
      </c>
      <c r="B2490" s="2" t="s">
        <v>15</v>
      </c>
      <c r="C2490" s="2" t="s">
        <v>20</v>
      </c>
      <c r="D2490" s="2" t="s">
        <v>17</v>
      </c>
      <c r="E2490" s="2" t="s">
        <v>22</v>
      </c>
      <c r="F2490">
        <v>720</v>
      </c>
      <c r="G2490">
        <v>248</v>
      </c>
      <c r="H2490">
        <v>178560</v>
      </c>
      <c r="I2490">
        <v>17566.883399999999</v>
      </c>
      <c r="J2490" s="2" t="s">
        <v>37</v>
      </c>
    </row>
    <row r="2491" spans="1:10" x14ac:dyDescent="0.35">
      <c r="A2491" s="1">
        <v>45717</v>
      </c>
      <c r="B2491" s="2" t="s">
        <v>25</v>
      </c>
      <c r="C2491" s="2" t="s">
        <v>29</v>
      </c>
      <c r="D2491" s="2" t="s">
        <v>17</v>
      </c>
      <c r="E2491" s="2" t="s">
        <v>18</v>
      </c>
      <c r="F2491">
        <v>982</v>
      </c>
      <c r="G2491">
        <v>302</v>
      </c>
      <c r="H2491">
        <v>296564</v>
      </c>
      <c r="I2491">
        <v>37073.917300000001</v>
      </c>
      <c r="J2491" s="2" t="s">
        <v>38</v>
      </c>
    </row>
    <row r="2492" spans="1:10" x14ac:dyDescent="0.35">
      <c r="A2492" s="1">
        <v>45717</v>
      </c>
      <c r="B2492" s="2" t="s">
        <v>34</v>
      </c>
      <c r="C2492" s="2" t="s">
        <v>27</v>
      </c>
      <c r="D2492" s="2" t="s">
        <v>30</v>
      </c>
      <c r="E2492" s="2" t="s">
        <v>13</v>
      </c>
      <c r="F2492">
        <v>579</v>
      </c>
      <c r="G2492">
        <v>356</v>
      </c>
      <c r="H2492">
        <v>206124</v>
      </c>
      <c r="I2492">
        <v>26195.9339</v>
      </c>
      <c r="J2492" s="2" t="s">
        <v>38</v>
      </c>
    </row>
    <row r="2493" spans="1:10" x14ac:dyDescent="0.35">
      <c r="A2493" s="1">
        <v>45718</v>
      </c>
      <c r="B2493" s="2" t="s">
        <v>19</v>
      </c>
      <c r="C2493" s="2" t="s">
        <v>16</v>
      </c>
      <c r="D2493" s="2" t="s">
        <v>17</v>
      </c>
      <c r="E2493" s="2" t="s">
        <v>35</v>
      </c>
      <c r="F2493">
        <v>326</v>
      </c>
      <c r="G2493">
        <v>359</v>
      </c>
      <c r="H2493">
        <v>117034</v>
      </c>
      <c r="I2493">
        <v>24928.112000000001</v>
      </c>
      <c r="J2493" s="2" t="s">
        <v>38</v>
      </c>
    </row>
    <row r="2494" spans="1:10" x14ac:dyDescent="0.35">
      <c r="A2494" s="1">
        <v>45718</v>
      </c>
      <c r="B2494" s="2" t="s">
        <v>26</v>
      </c>
      <c r="C2494" s="2" t="s">
        <v>29</v>
      </c>
      <c r="D2494" s="2" t="s">
        <v>30</v>
      </c>
      <c r="E2494" s="2" t="s">
        <v>22</v>
      </c>
      <c r="F2494">
        <v>65</v>
      </c>
      <c r="G2494">
        <v>127</v>
      </c>
      <c r="H2494">
        <v>8255</v>
      </c>
      <c r="I2494">
        <v>1451.2601</v>
      </c>
      <c r="J2494" s="2" t="s">
        <v>38</v>
      </c>
    </row>
    <row r="2495" spans="1:10" x14ac:dyDescent="0.35">
      <c r="A2495" s="1">
        <v>45718</v>
      </c>
      <c r="B2495" s="2" t="s">
        <v>25</v>
      </c>
      <c r="C2495" s="2" t="s">
        <v>11</v>
      </c>
      <c r="D2495" s="2" t="s">
        <v>30</v>
      </c>
      <c r="E2495" s="2" t="s">
        <v>18</v>
      </c>
      <c r="F2495">
        <v>574</v>
      </c>
      <c r="G2495">
        <v>144</v>
      </c>
      <c r="H2495">
        <v>82656</v>
      </c>
      <c r="I2495">
        <v>11890.0429</v>
      </c>
      <c r="J2495" s="2" t="s">
        <v>38</v>
      </c>
    </row>
    <row r="2496" spans="1:10" x14ac:dyDescent="0.35">
      <c r="A2496" s="1">
        <v>45718</v>
      </c>
      <c r="B2496" s="2" t="s">
        <v>26</v>
      </c>
      <c r="C2496" s="2" t="s">
        <v>23</v>
      </c>
      <c r="D2496" s="2" t="s">
        <v>17</v>
      </c>
      <c r="E2496" s="2" t="s">
        <v>24</v>
      </c>
      <c r="F2496">
        <v>423</v>
      </c>
      <c r="G2496">
        <v>389</v>
      </c>
      <c r="H2496">
        <v>164547</v>
      </c>
      <c r="I2496">
        <v>36828.598400000003</v>
      </c>
      <c r="J2496" s="2" t="s">
        <v>38</v>
      </c>
    </row>
    <row r="2497" spans="1:10" x14ac:dyDescent="0.35">
      <c r="A2497" s="1">
        <v>45719</v>
      </c>
      <c r="B2497" s="2" t="s">
        <v>15</v>
      </c>
      <c r="C2497" s="2" t="s">
        <v>20</v>
      </c>
      <c r="D2497" s="2" t="s">
        <v>12</v>
      </c>
      <c r="E2497" s="2" t="s">
        <v>22</v>
      </c>
      <c r="F2497">
        <v>882</v>
      </c>
      <c r="G2497">
        <v>320</v>
      </c>
      <c r="H2497">
        <v>282240</v>
      </c>
      <c r="I2497">
        <v>36556.364300000001</v>
      </c>
      <c r="J2497" s="2" t="s">
        <v>38</v>
      </c>
    </row>
    <row r="2498" spans="1:10" x14ac:dyDescent="0.35">
      <c r="A2498" s="1">
        <v>45719</v>
      </c>
      <c r="B2498" s="2" t="s">
        <v>25</v>
      </c>
      <c r="C2498" s="2" t="s">
        <v>23</v>
      </c>
      <c r="D2498" s="2" t="s">
        <v>17</v>
      </c>
      <c r="E2498" s="2" t="s">
        <v>18</v>
      </c>
      <c r="F2498">
        <v>101</v>
      </c>
      <c r="G2498">
        <v>375</v>
      </c>
      <c r="H2498">
        <v>37875</v>
      </c>
      <c r="I2498">
        <v>8576.6286</v>
      </c>
      <c r="J2498" s="2" t="s">
        <v>38</v>
      </c>
    </row>
    <row r="2499" spans="1:10" x14ac:dyDescent="0.35">
      <c r="A2499" s="1">
        <v>45719</v>
      </c>
      <c r="B2499" s="2" t="s">
        <v>34</v>
      </c>
      <c r="C2499" s="2" t="s">
        <v>27</v>
      </c>
      <c r="D2499" s="2" t="s">
        <v>17</v>
      </c>
      <c r="E2499" s="2" t="s">
        <v>35</v>
      </c>
      <c r="F2499">
        <v>882</v>
      </c>
      <c r="G2499">
        <v>116</v>
      </c>
      <c r="H2499">
        <v>102312</v>
      </c>
      <c r="I2499">
        <v>23641.608499999998</v>
      </c>
      <c r="J2499" s="2" t="s">
        <v>38</v>
      </c>
    </row>
    <row r="2500" spans="1:10" x14ac:dyDescent="0.35">
      <c r="A2500" s="1">
        <v>45719</v>
      </c>
      <c r="B2500" s="2" t="s">
        <v>25</v>
      </c>
      <c r="C2500" s="2" t="s">
        <v>16</v>
      </c>
      <c r="D2500" s="2" t="s">
        <v>21</v>
      </c>
      <c r="E2500" s="2" t="s">
        <v>24</v>
      </c>
      <c r="F2500">
        <v>941</v>
      </c>
      <c r="G2500">
        <v>235</v>
      </c>
      <c r="H2500">
        <v>221135</v>
      </c>
      <c r="I2500">
        <v>54196.029300000002</v>
      </c>
      <c r="J2500" s="2" t="s">
        <v>38</v>
      </c>
    </row>
    <row r="2501" spans="1:10" x14ac:dyDescent="0.35">
      <c r="A2501" s="1">
        <v>45720</v>
      </c>
      <c r="B2501" s="2" t="s">
        <v>25</v>
      </c>
      <c r="C2501" s="2" t="s">
        <v>23</v>
      </c>
      <c r="D2501" s="2" t="s">
        <v>30</v>
      </c>
      <c r="E2501" s="2" t="s">
        <v>22</v>
      </c>
      <c r="F2501">
        <v>904</v>
      </c>
      <c r="G2501">
        <v>287</v>
      </c>
      <c r="H2501">
        <v>259448</v>
      </c>
      <c r="I2501">
        <v>62661.439700000003</v>
      </c>
      <c r="J2501" s="2" t="s">
        <v>38</v>
      </c>
    </row>
    <row r="2502" spans="1:10" x14ac:dyDescent="0.35">
      <c r="A2502" s="1">
        <v>45720</v>
      </c>
      <c r="B2502" s="2" t="s">
        <v>15</v>
      </c>
      <c r="C2502" s="2" t="s">
        <v>29</v>
      </c>
      <c r="D2502" s="2" t="s">
        <v>21</v>
      </c>
      <c r="E2502" s="2" t="s">
        <v>13</v>
      </c>
      <c r="F2502">
        <v>918</v>
      </c>
      <c r="G2502">
        <v>177</v>
      </c>
      <c r="H2502">
        <v>162486</v>
      </c>
      <c r="I2502">
        <v>17683.289700000001</v>
      </c>
      <c r="J2502" s="2" t="s">
        <v>38</v>
      </c>
    </row>
    <row r="2503" spans="1:10" x14ac:dyDescent="0.35">
      <c r="A2503" s="1">
        <v>45720</v>
      </c>
      <c r="B2503" s="2" t="s">
        <v>19</v>
      </c>
      <c r="C2503" s="2" t="s">
        <v>16</v>
      </c>
      <c r="D2503" s="2" t="s">
        <v>30</v>
      </c>
      <c r="E2503" s="2" t="s">
        <v>24</v>
      </c>
      <c r="F2503">
        <v>761</v>
      </c>
      <c r="G2503">
        <v>251</v>
      </c>
      <c r="H2503">
        <v>191011</v>
      </c>
      <c r="I2503">
        <v>32835.7212</v>
      </c>
      <c r="J2503" s="2" t="s">
        <v>38</v>
      </c>
    </row>
    <row r="2504" spans="1:10" x14ac:dyDescent="0.35">
      <c r="A2504" s="1">
        <v>45720</v>
      </c>
      <c r="B2504" s="2" t="s">
        <v>25</v>
      </c>
      <c r="C2504" s="2" t="s">
        <v>23</v>
      </c>
      <c r="D2504" s="2" t="s">
        <v>17</v>
      </c>
      <c r="E2504" s="2" t="s">
        <v>35</v>
      </c>
      <c r="F2504">
        <v>501</v>
      </c>
      <c r="G2504">
        <v>436</v>
      </c>
      <c r="H2504">
        <v>218436</v>
      </c>
      <c r="I2504">
        <v>41972.3681</v>
      </c>
      <c r="J2504" s="2" t="s">
        <v>38</v>
      </c>
    </row>
    <row r="2505" spans="1:10" x14ac:dyDescent="0.35">
      <c r="A2505" s="1">
        <v>45720</v>
      </c>
      <c r="B2505" s="2" t="s">
        <v>34</v>
      </c>
      <c r="C2505" s="2" t="s">
        <v>16</v>
      </c>
      <c r="D2505" s="2" t="s">
        <v>30</v>
      </c>
      <c r="E2505" s="2" t="s">
        <v>32</v>
      </c>
      <c r="F2505">
        <v>550</v>
      </c>
      <c r="G2505">
        <v>430</v>
      </c>
      <c r="H2505">
        <v>236500</v>
      </c>
      <c r="I2505">
        <v>47808.631000000001</v>
      </c>
      <c r="J2505" s="2" t="s">
        <v>38</v>
      </c>
    </row>
    <row r="2506" spans="1:10" x14ac:dyDescent="0.35">
      <c r="A2506" s="1">
        <v>45720</v>
      </c>
      <c r="B2506" s="2" t="s">
        <v>10</v>
      </c>
      <c r="C2506" s="2" t="s">
        <v>11</v>
      </c>
      <c r="D2506" s="2" t="s">
        <v>12</v>
      </c>
      <c r="E2506" s="2" t="s">
        <v>32</v>
      </c>
      <c r="F2506">
        <v>735</v>
      </c>
      <c r="G2506">
        <v>317</v>
      </c>
      <c r="H2506">
        <v>232995</v>
      </c>
      <c r="I2506">
        <v>31674.8825</v>
      </c>
      <c r="J2506" s="2" t="s">
        <v>38</v>
      </c>
    </row>
    <row r="2507" spans="1:10" x14ac:dyDescent="0.35">
      <c r="A2507" s="1">
        <v>45720</v>
      </c>
      <c r="B2507" s="2" t="s">
        <v>26</v>
      </c>
      <c r="C2507" s="2" t="s">
        <v>29</v>
      </c>
      <c r="D2507" s="2" t="s">
        <v>21</v>
      </c>
      <c r="E2507" s="2" t="s">
        <v>33</v>
      </c>
      <c r="F2507">
        <v>278</v>
      </c>
      <c r="G2507">
        <v>240</v>
      </c>
      <c r="H2507">
        <v>66720</v>
      </c>
      <c r="I2507">
        <v>8080.3558999999996</v>
      </c>
      <c r="J2507" s="2" t="s">
        <v>38</v>
      </c>
    </row>
    <row r="2508" spans="1:10" x14ac:dyDescent="0.35">
      <c r="A2508" s="1">
        <v>45721</v>
      </c>
      <c r="B2508" s="2" t="s">
        <v>26</v>
      </c>
      <c r="C2508" s="2" t="s">
        <v>11</v>
      </c>
      <c r="D2508" s="2" t="s">
        <v>30</v>
      </c>
      <c r="E2508" s="2" t="s">
        <v>22</v>
      </c>
      <c r="F2508">
        <v>473</v>
      </c>
      <c r="G2508">
        <v>255</v>
      </c>
      <c r="H2508">
        <v>120615</v>
      </c>
      <c r="I2508">
        <v>11073.9961</v>
      </c>
      <c r="J2508" s="2" t="s">
        <v>38</v>
      </c>
    </row>
    <row r="2509" spans="1:10" x14ac:dyDescent="0.35">
      <c r="A2509" s="1">
        <v>45721</v>
      </c>
      <c r="B2509" s="2" t="s">
        <v>25</v>
      </c>
      <c r="C2509" s="2" t="s">
        <v>27</v>
      </c>
      <c r="D2509" s="2" t="s">
        <v>17</v>
      </c>
      <c r="E2509" s="2" t="s">
        <v>33</v>
      </c>
      <c r="F2509">
        <v>491</v>
      </c>
      <c r="G2509">
        <v>420</v>
      </c>
      <c r="H2509">
        <v>206220</v>
      </c>
      <c r="I2509">
        <v>39837.717700000001</v>
      </c>
      <c r="J2509" s="2" t="s">
        <v>38</v>
      </c>
    </row>
    <row r="2510" spans="1:10" x14ac:dyDescent="0.35">
      <c r="A2510" s="1">
        <v>45721</v>
      </c>
      <c r="B2510" s="2" t="s">
        <v>36</v>
      </c>
      <c r="C2510" s="2" t="s">
        <v>27</v>
      </c>
      <c r="D2510" s="2" t="s">
        <v>30</v>
      </c>
      <c r="E2510" s="2" t="s">
        <v>22</v>
      </c>
      <c r="F2510">
        <v>356</v>
      </c>
      <c r="G2510">
        <v>182</v>
      </c>
      <c r="H2510">
        <v>64792</v>
      </c>
      <c r="I2510">
        <v>7730.6530000000002</v>
      </c>
      <c r="J2510" s="2" t="s">
        <v>38</v>
      </c>
    </row>
    <row r="2511" spans="1:10" x14ac:dyDescent="0.35">
      <c r="A2511" s="1">
        <v>45722</v>
      </c>
      <c r="B2511" s="2" t="s">
        <v>31</v>
      </c>
      <c r="C2511" s="2" t="s">
        <v>27</v>
      </c>
      <c r="D2511" s="2" t="s">
        <v>17</v>
      </c>
      <c r="E2511" s="2" t="s">
        <v>32</v>
      </c>
      <c r="F2511">
        <v>419</v>
      </c>
      <c r="G2511">
        <v>258</v>
      </c>
      <c r="H2511">
        <v>108102</v>
      </c>
      <c r="I2511">
        <v>25144.916399999998</v>
      </c>
      <c r="J2511" s="2" t="s">
        <v>38</v>
      </c>
    </row>
    <row r="2512" spans="1:10" x14ac:dyDescent="0.35">
      <c r="A2512" s="1">
        <v>45722</v>
      </c>
      <c r="B2512" s="2" t="s">
        <v>36</v>
      </c>
      <c r="C2512" s="2" t="s">
        <v>16</v>
      </c>
      <c r="D2512" s="2" t="s">
        <v>21</v>
      </c>
      <c r="E2512" s="2" t="s">
        <v>24</v>
      </c>
      <c r="F2512">
        <v>898</v>
      </c>
      <c r="G2512">
        <v>359</v>
      </c>
      <c r="H2512">
        <v>322382</v>
      </c>
      <c r="I2512">
        <v>43580.419099999999</v>
      </c>
      <c r="J2512" s="2" t="s">
        <v>38</v>
      </c>
    </row>
    <row r="2513" spans="1:10" x14ac:dyDescent="0.35">
      <c r="A2513" s="1">
        <v>45722</v>
      </c>
      <c r="B2513" s="2" t="s">
        <v>34</v>
      </c>
      <c r="C2513" s="2" t="s">
        <v>20</v>
      </c>
      <c r="D2513" s="2" t="s">
        <v>30</v>
      </c>
      <c r="E2513" s="2" t="s">
        <v>28</v>
      </c>
      <c r="F2513">
        <v>545</v>
      </c>
      <c r="G2513">
        <v>396</v>
      </c>
      <c r="H2513">
        <v>215820</v>
      </c>
      <c r="I2513">
        <v>21713.341100000001</v>
      </c>
      <c r="J2513" s="2" t="s">
        <v>38</v>
      </c>
    </row>
    <row r="2514" spans="1:10" x14ac:dyDescent="0.35">
      <c r="A2514" s="1">
        <v>45723</v>
      </c>
      <c r="B2514" s="2" t="s">
        <v>15</v>
      </c>
      <c r="C2514" s="2" t="s">
        <v>23</v>
      </c>
      <c r="D2514" s="2" t="s">
        <v>21</v>
      </c>
      <c r="E2514" s="2" t="s">
        <v>33</v>
      </c>
      <c r="F2514">
        <v>735</v>
      </c>
      <c r="G2514">
        <v>222</v>
      </c>
      <c r="H2514">
        <v>163170</v>
      </c>
      <c r="I2514">
        <v>15752.078100000001</v>
      </c>
      <c r="J2514" s="2" t="s">
        <v>38</v>
      </c>
    </row>
    <row r="2515" spans="1:10" x14ac:dyDescent="0.35">
      <c r="A2515" s="1">
        <v>45723</v>
      </c>
      <c r="B2515" s="2" t="s">
        <v>15</v>
      </c>
      <c r="C2515" s="2" t="s">
        <v>20</v>
      </c>
      <c r="D2515" s="2" t="s">
        <v>12</v>
      </c>
      <c r="E2515" s="2" t="s">
        <v>33</v>
      </c>
      <c r="F2515">
        <v>587</v>
      </c>
      <c r="G2515">
        <v>179</v>
      </c>
      <c r="H2515">
        <v>105073</v>
      </c>
      <c r="I2515">
        <v>19393.583299999998</v>
      </c>
      <c r="J2515" s="2" t="s">
        <v>38</v>
      </c>
    </row>
    <row r="2516" spans="1:10" x14ac:dyDescent="0.35">
      <c r="A2516" s="1">
        <v>45723</v>
      </c>
      <c r="B2516" s="2" t="s">
        <v>31</v>
      </c>
      <c r="C2516" s="2" t="s">
        <v>23</v>
      </c>
      <c r="D2516" s="2" t="s">
        <v>17</v>
      </c>
      <c r="E2516" s="2" t="s">
        <v>35</v>
      </c>
      <c r="F2516">
        <v>133</v>
      </c>
      <c r="G2516">
        <v>371</v>
      </c>
      <c r="H2516">
        <v>49343</v>
      </c>
      <c r="I2516">
        <v>11543.404200000001</v>
      </c>
      <c r="J2516" s="2" t="s">
        <v>38</v>
      </c>
    </row>
    <row r="2517" spans="1:10" x14ac:dyDescent="0.35">
      <c r="A2517" s="1">
        <v>45723</v>
      </c>
      <c r="B2517" s="2" t="s">
        <v>34</v>
      </c>
      <c r="C2517" s="2" t="s">
        <v>20</v>
      </c>
      <c r="D2517" s="2" t="s">
        <v>17</v>
      </c>
      <c r="E2517" s="2" t="s">
        <v>35</v>
      </c>
      <c r="F2517">
        <v>981</v>
      </c>
      <c r="G2517">
        <v>114</v>
      </c>
      <c r="H2517">
        <v>111834</v>
      </c>
      <c r="I2517">
        <v>21307.593400000002</v>
      </c>
      <c r="J2517" s="2" t="s">
        <v>38</v>
      </c>
    </row>
    <row r="2518" spans="1:10" x14ac:dyDescent="0.35">
      <c r="A2518" s="1">
        <v>45723</v>
      </c>
      <c r="B2518" s="2" t="s">
        <v>31</v>
      </c>
      <c r="C2518" s="2" t="s">
        <v>11</v>
      </c>
      <c r="D2518" s="2" t="s">
        <v>21</v>
      </c>
      <c r="E2518" s="2" t="s">
        <v>24</v>
      </c>
      <c r="F2518">
        <v>630</v>
      </c>
      <c r="G2518">
        <v>187</v>
      </c>
      <c r="H2518">
        <v>117810</v>
      </c>
      <c r="I2518">
        <v>22221.411199999999</v>
      </c>
      <c r="J2518" s="2" t="s">
        <v>38</v>
      </c>
    </row>
    <row r="2519" spans="1:10" x14ac:dyDescent="0.35">
      <c r="A2519" s="1">
        <v>45724</v>
      </c>
      <c r="B2519" s="2" t="s">
        <v>34</v>
      </c>
      <c r="C2519" s="2" t="s">
        <v>11</v>
      </c>
      <c r="D2519" s="2" t="s">
        <v>21</v>
      </c>
      <c r="E2519" s="2" t="s">
        <v>13</v>
      </c>
      <c r="F2519">
        <v>934</v>
      </c>
      <c r="G2519">
        <v>211</v>
      </c>
      <c r="H2519">
        <v>197074</v>
      </c>
      <c r="I2519">
        <v>39817.904699999999</v>
      </c>
      <c r="J2519" s="2" t="s">
        <v>38</v>
      </c>
    </row>
    <row r="2520" spans="1:10" x14ac:dyDescent="0.35">
      <c r="A2520" s="1">
        <v>45724</v>
      </c>
      <c r="B2520" s="2" t="s">
        <v>15</v>
      </c>
      <c r="C2520" s="2" t="s">
        <v>20</v>
      </c>
      <c r="D2520" s="2" t="s">
        <v>17</v>
      </c>
      <c r="E2520" s="2" t="s">
        <v>28</v>
      </c>
      <c r="F2520">
        <v>733</v>
      </c>
      <c r="G2520">
        <v>148</v>
      </c>
      <c r="H2520">
        <v>108484</v>
      </c>
      <c r="I2520">
        <v>23225.515299999999</v>
      </c>
      <c r="J2520" s="2" t="s">
        <v>38</v>
      </c>
    </row>
    <row r="2521" spans="1:10" x14ac:dyDescent="0.35">
      <c r="A2521" s="1">
        <v>45724</v>
      </c>
      <c r="B2521" s="2" t="s">
        <v>15</v>
      </c>
      <c r="C2521" s="2" t="s">
        <v>16</v>
      </c>
      <c r="D2521" s="2" t="s">
        <v>17</v>
      </c>
      <c r="E2521" s="2" t="s">
        <v>22</v>
      </c>
      <c r="F2521">
        <v>653</v>
      </c>
      <c r="G2521">
        <v>175</v>
      </c>
      <c r="H2521">
        <v>114275</v>
      </c>
      <c r="I2521">
        <v>28533.74</v>
      </c>
      <c r="J2521" s="2" t="s">
        <v>38</v>
      </c>
    </row>
    <row r="2522" spans="1:10" x14ac:dyDescent="0.35">
      <c r="A2522" s="1">
        <v>45724</v>
      </c>
      <c r="B2522" s="2" t="s">
        <v>36</v>
      </c>
      <c r="C2522" s="2" t="s">
        <v>27</v>
      </c>
      <c r="D2522" s="2" t="s">
        <v>17</v>
      </c>
      <c r="E2522" s="2" t="s">
        <v>18</v>
      </c>
      <c r="F2522">
        <v>739</v>
      </c>
      <c r="G2522">
        <v>164</v>
      </c>
      <c r="H2522">
        <v>121196</v>
      </c>
      <c r="I2522">
        <v>12312.729600000001</v>
      </c>
      <c r="J2522" s="2" t="s">
        <v>38</v>
      </c>
    </row>
    <row r="2523" spans="1:10" x14ac:dyDescent="0.35">
      <c r="A2523" s="1">
        <v>45726</v>
      </c>
      <c r="B2523" s="2" t="s">
        <v>19</v>
      </c>
      <c r="C2523" s="2" t="s">
        <v>23</v>
      </c>
      <c r="D2523" s="2" t="s">
        <v>21</v>
      </c>
      <c r="E2523" s="2" t="s">
        <v>22</v>
      </c>
      <c r="F2523">
        <v>724</v>
      </c>
      <c r="G2523">
        <v>271</v>
      </c>
      <c r="H2523">
        <v>196204</v>
      </c>
      <c r="I2523">
        <v>17289.0707</v>
      </c>
      <c r="J2523" s="2" t="s">
        <v>38</v>
      </c>
    </row>
    <row r="2524" spans="1:10" x14ac:dyDescent="0.35">
      <c r="A2524" s="1">
        <v>45726</v>
      </c>
      <c r="B2524" s="2" t="s">
        <v>26</v>
      </c>
      <c r="C2524" s="2" t="s">
        <v>16</v>
      </c>
      <c r="D2524" s="2" t="s">
        <v>30</v>
      </c>
      <c r="E2524" s="2" t="s">
        <v>32</v>
      </c>
      <c r="F2524">
        <v>883</v>
      </c>
      <c r="G2524">
        <v>320</v>
      </c>
      <c r="H2524">
        <v>282560</v>
      </c>
      <c r="I2524">
        <v>43633.472699999998</v>
      </c>
      <c r="J2524" s="2" t="s">
        <v>38</v>
      </c>
    </row>
    <row r="2525" spans="1:10" x14ac:dyDescent="0.35">
      <c r="A2525" s="1">
        <v>45726</v>
      </c>
      <c r="B2525" s="2" t="s">
        <v>15</v>
      </c>
      <c r="C2525" s="2" t="s">
        <v>23</v>
      </c>
      <c r="D2525" s="2" t="s">
        <v>30</v>
      </c>
      <c r="E2525" s="2" t="s">
        <v>28</v>
      </c>
      <c r="F2525">
        <v>563</v>
      </c>
      <c r="G2525">
        <v>393</v>
      </c>
      <c r="H2525">
        <v>221259</v>
      </c>
      <c r="I2525">
        <v>29918.615099999999</v>
      </c>
      <c r="J2525" s="2" t="s">
        <v>38</v>
      </c>
    </row>
    <row r="2526" spans="1:10" x14ac:dyDescent="0.35">
      <c r="A2526" s="1">
        <v>45727</v>
      </c>
      <c r="B2526" s="2" t="s">
        <v>10</v>
      </c>
      <c r="C2526" s="2" t="s">
        <v>11</v>
      </c>
      <c r="D2526" s="2" t="s">
        <v>30</v>
      </c>
      <c r="E2526" s="2" t="s">
        <v>32</v>
      </c>
      <c r="F2526">
        <v>908</v>
      </c>
      <c r="G2526">
        <v>442</v>
      </c>
      <c r="H2526">
        <v>401336</v>
      </c>
      <c r="I2526">
        <v>46392.365400000002</v>
      </c>
      <c r="J2526" s="2" t="s">
        <v>38</v>
      </c>
    </row>
    <row r="2527" spans="1:10" x14ac:dyDescent="0.35">
      <c r="A2527" s="1">
        <v>45727</v>
      </c>
      <c r="B2527" s="2" t="s">
        <v>34</v>
      </c>
      <c r="C2527" s="2" t="s">
        <v>29</v>
      </c>
      <c r="D2527" s="2" t="s">
        <v>17</v>
      </c>
      <c r="E2527" s="2" t="s">
        <v>28</v>
      </c>
      <c r="F2527">
        <v>744</v>
      </c>
      <c r="G2527">
        <v>283</v>
      </c>
      <c r="H2527">
        <v>210552</v>
      </c>
      <c r="I2527">
        <v>34977.272700000001</v>
      </c>
      <c r="J2527" s="2" t="s">
        <v>38</v>
      </c>
    </row>
    <row r="2528" spans="1:10" x14ac:dyDescent="0.35">
      <c r="A2528" s="1">
        <v>45727</v>
      </c>
      <c r="B2528" s="2" t="s">
        <v>31</v>
      </c>
      <c r="C2528" s="2" t="s">
        <v>29</v>
      </c>
      <c r="D2528" s="2" t="s">
        <v>30</v>
      </c>
      <c r="E2528" s="2" t="s">
        <v>22</v>
      </c>
      <c r="F2528">
        <v>647</v>
      </c>
      <c r="G2528">
        <v>199</v>
      </c>
      <c r="H2528">
        <v>128753</v>
      </c>
      <c r="I2528">
        <v>18917.996200000001</v>
      </c>
      <c r="J2528" s="2" t="s">
        <v>38</v>
      </c>
    </row>
    <row r="2529" spans="1:10" x14ac:dyDescent="0.35">
      <c r="A2529" s="1">
        <v>45727</v>
      </c>
      <c r="B2529" s="2" t="s">
        <v>26</v>
      </c>
      <c r="C2529" s="2" t="s">
        <v>27</v>
      </c>
      <c r="D2529" s="2" t="s">
        <v>21</v>
      </c>
      <c r="E2529" s="2" t="s">
        <v>33</v>
      </c>
      <c r="F2529">
        <v>958</v>
      </c>
      <c r="G2529">
        <v>400</v>
      </c>
      <c r="H2529">
        <v>383200</v>
      </c>
      <c r="I2529">
        <v>85917.281700000007</v>
      </c>
      <c r="J2529" s="2" t="s">
        <v>38</v>
      </c>
    </row>
    <row r="2530" spans="1:10" x14ac:dyDescent="0.35">
      <c r="A2530" s="1">
        <v>45728</v>
      </c>
      <c r="B2530" s="2" t="s">
        <v>31</v>
      </c>
      <c r="C2530" s="2" t="s">
        <v>20</v>
      </c>
      <c r="D2530" s="2" t="s">
        <v>17</v>
      </c>
      <c r="E2530" s="2" t="s">
        <v>18</v>
      </c>
      <c r="F2530">
        <v>822</v>
      </c>
      <c r="G2530">
        <v>272</v>
      </c>
      <c r="H2530">
        <v>223584</v>
      </c>
      <c r="I2530">
        <v>35603.397499999999</v>
      </c>
      <c r="J2530" s="2" t="s">
        <v>38</v>
      </c>
    </row>
    <row r="2531" spans="1:10" x14ac:dyDescent="0.35">
      <c r="A2531" s="1">
        <v>45728</v>
      </c>
      <c r="B2531" s="2" t="s">
        <v>36</v>
      </c>
      <c r="C2531" s="2" t="s">
        <v>23</v>
      </c>
      <c r="D2531" s="2" t="s">
        <v>17</v>
      </c>
      <c r="E2531" s="2" t="s">
        <v>22</v>
      </c>
      <c r="F2531">
        <v>387</v>
      </c>
      <c r="G2531">
        <v>139</v>
      </c>
      <c r="H2531">
        <v>53793</v>
      </c>
      <c r="I2531">
        <v>7947.2015000000001</v>
      </c>
      <c r="J2531" s="2" t="s">
        <v>38</v>
      </c>
    </row>
    <row r="2532" spans="1:10" x14ac:dyDescent="0.35">
      <c r="A2532" s="1">
        <v>45728</v>
      </c>
      <c r="B2532" s="2" t="s">
        <v>34</v>
      </c>
      <c r="C2532" s="2" t="s">
        <v>27</v>
      </c>
      <c r="D2532" s="2" t="s">
        <v>12</v>
      </c>
      <c r="E2532" s="2" t="s">
        <v>22</v>
      </c>
      <c r="F2532">
        <v>198</v>
      </c>
      <c r="G2532">
        <v>113</v>
      </c>
      <c r="H2532">
        <v>22374</v>
      </c>
      <c r="I2532">
        <v>4352.5461999999998</v>
      </c>
      <c r="J2532" s="2" t="s">
        <v>38</v>
      </c>
    </row>
    <row r="2533" spans="1:10" x14ac:dyDescent="0.35">
      <c r="A2533" s="1">
        <v>45728</v>
      </c>
      <c r="B2533" s="2" t="s">
        <v>15</v>
      </c>
      <c r="C2533" s="2" t="s">
        <v>29</v>
      </c>
      <c r="D2533" s="2" t="s">
        <v>17</v>
      </c>
      <c r="E2533" s="2" t="s">
        <v>13</v>
      </c>
      <c r="F2533">
        <v>312</v>
      </c>
      <c r="G2533">
        <v>259</v>
      </c>
      <c r="H2533">
        <v>80808</v>
      </c>
      <c r="I2533">
        <v>14514.7567</v>
      </c>
      <c r="J2533" s="2" t="s">
        <v>38</v>
      </c>
    </row>
    <row r="2534" spans="1:10" x14ac:dyDescent="0.35">
      <c r="A2534" s="1">
        <v>45728</v>
      </c>
      <c r="B2534" s="2" t="s">
        <v>26</v>
      </c>
      <c r="C2534" s="2" t="s">
        <v>16</v>
      </c>
      <c r="D2534" s="2" t="s">
        <v>12</v>
      </c>
      <c r="E2534" s="2" t="s">
        <v>32</v>
      </c>
      <c r="F2534">
        <v>506</v>
      </c>
      <c r="G2534">
        <v>445</v>
      </c>
      <c r="H2534">
        <v>225170</v>
      </c>
      <c r="I2534">
        <v>26027.2156</v>
      </c>
      <c r="J2534" s="2" t="s">
        <v>38</v>
      </c>
    </row>
    <row r="2535" spans="1:10" x14ac:dyDescent="0.35">
      <c r="A2535" s="1">
        <v>45728</v>
      </c>
      <c r="B2535" s="2" t="s">
        <v>19</v>
      </c>
      <c r="C2535" s="2" t="s">
        <v>11</v>
      </c>
      <c r="D2535" s="2" t="s">
        <v>30</v>
      </c>
      <c r="E2535" s="2" t="s">
        <v>18</v>
      </c>
      <c r="F2535">
        <v>724</v>
      </c>
      <c r="G2535">
        <v>341</v>
      </c>
      <c r="H2535">
        <v>246884</v>
      </c>
      <c r="I2535">
        <v>54201.2601</v>
      </c>
      <c r="J2535" s="2" t="s">
        <v>38</v>
      </c>
    </row>
    <row r="2536" spans="1:10" x14ac:dyDescent="0.35">
      <c r="A2536" s="1">
        <v>45729</v>
      </c>
      <c r="B2536" s="2" t="s">
        <v>19</v>
      </c>
      <c r="C2536" s="2" t="s">
        <v>27</v>
      </c>
      <c r="D2536" s="2" t="s">
        <v>12</v>
      </c>
      <c r="E2536" s="2" t="s">
        <v>24</v>
      </c>
      <c r="F2536">
        <v>429</v>
      </c>
      <c r="G2536">
        <v>133</v>
      </c>
      <c r="H2536">
        <v>57057</v>
      </c>
      <c r="I2536">
        <v>5139.4876999999997</v>
      </c>
      <c r="J2536" s="2" t="s">
        <v>38</v>
      </c>
    </row>
    <row r="2537" spans="1:10" x14ac:dyDescent="0.35">
      <c r="A2537" s="1">
        <v>45730</v>
      </c>
      <c r="B2537" s="2" t="s">
        <v>19</v>
      </c>
      <c r="C2537" s="2" t="s">
        <v>27</v>
      </c>
      <c r="D2537" s="2" t="s">
        <v>17</v>
      </c>
      <c r="E2537" s="2" t="s">
        <v>24</v>
      </c>
      <c r="F2537">
        <v>827</v>
      </c>
      <c r="G2537">
        <v>305</v>
      </c>
      <c r="H2537">
        <v>252235</v>
      </c>
      <c r="I2537">
        <v>61788.809800000003</v>
      </c>
      <c r="J2537" s="2" t="s">
        <v>38</v>
      </c>
    </row>
    <row r="2538" spans="1:10" x14ac:dyDescent="0.35">
      <c r="A2538" s="1">
        <v>45731</v>
      </c>
      <c r="B2538" s="2" t="s">
        <v>10</v>
      </c>
      <c r="C2538" s="2" t="s">
        <v>27</v>
      </c>
      <c r="D2538" s="2" t="s">
        <v>21</v>
      </c>
      <c r="E2538" s="2" t="s">
        <v>13</v>
      </c>
      <c r="F2538">
        <v>799</v>
      </c>
      <c r="G2538">
        <v>428</v>
      </c>
      <c r="H2538">
        <v>341972</v>
      </c>
      <c r="I2538">
        <v>53774.619899999998</v>
      </c>
      <c r="J2538" s="2" t="s">
        <v>38</v>
      </c>
    </row>
    <row r="2539" spans="1:10" x14ac:dyDescent="0.35">
      <c r="A2539" s="1">
        <v>45731</v>
      </c>
      <c r="B2539" s="2" t="s">
        <v>36</v>
      </c>
      <c r="C2539" s="2" t="s">
        <v>16</v>
      </c>
      <c r="D2539" s="2" t="s">
        <v>17</v>
      </c>
      <c r="E2539" s="2" t="s">
        <v>18</v>
      </c>
      <c r="F2539">
        <v>699</v>
      </c>
      <c r="G2539">
        <v>383</v>
      </c>
      <c r="H2539">
        <v>267717</v>
      </c>
      <c r="I2539">
        <v>53381.021099999998</v>
      </c>
      <c r="J2539" s="2" t="s">
        <v>38</v>
      </c>
    </row>
    <row r="2540" spans="1:10" x14ac:dyDescent="0.35">
      <c r="A2540" s="1">
        <v>45731</v>
      </c>
      <c r="B2540" s="2" t="s">
        <v>36</v>
      </c>
      <c r="C2540" s="2" t="s">
        <v>27</v>
      </c>
      <c r="D2540" s="2" t="s">
        <v>30</v>
      </c>
      <c r="E2540" s="2" t="s">
        <v>18</v>
      </c>
      <c r="F2540">
        <v>170</v>
      </c>
      <c r="G2540">
        <v>101</v>
      </c>
      <c r="H2540">
        <v>17170</v>
      </c>
      <c r="I2540">
        <v>2549.0448000000001</v>
      </c>
      <c r="J2540" s="2" t="s">
        <v>38</v>
      </c>
    </row>
    <row r="2541" spans="1:10" x14ac:dyDescent="0.35">
      <c r="A2541" s="1">
        <v>45731</v>
      </c>
      <c r="B2541" s="2" t="s">
        <v>10</v>
      </c>
      <c r="C2541" s="2" t="s">
        <v>16</v>
      </c>
      <c r="D2541" s="2" t="s">
        <v>12</v>
      </c>
      <c r="E2541" s="2" t="s">
        <v>35</v>
      </c>
      <c r="F2541">
        <v>129</v>
      </c>
      <c r="G2541">
        <v>218</v>
      </c>
      <c r="H2541">
        <v>28122</v>
      </c>
      <c r="I2541">
        <v>4974.7212</v>
      </c>
      <c r="J2541" s="2" t="s">
        <v>38</v>
      </c>
    </row>
    <row r="2542" spans="1:10" x14ac:dyDescent="0.35">
      <c r="A2542" s="1">
        <v>45731</v>
      </c>
      <c r="B2542" s="2" t="s">
        <v>26</v>
      </c>
      <c r="C2542" s="2" t="s">
        <v>16</v>
      </c>
      <c r="D2542" s="2" t="s">
        <v>17</v>
      </c>
      <c r="E2542" s="2" t="s">
        <v>28</v>
      </c>
      <c r="F2542">
        <v>584</v>
      </c>
      <c r="G2542">
        <v>405</v>
      </c>
      <c r="H2542">
        <v>236520</v>
      </c>
      <c r="I2542">
        <v>52852.194199999998</v>
      </c>
      <c r="J2542" s="2" t="s">
        <v>38</v>
      </c>
    </row>
    <row r="2543" spans="1:10" x14ac:dyDescent="0.35">
      <c r="A2543" s="1">
        <v>45731</v>
      </c>
      <c r="B2543" s="2" t="s">
        <v>36</v>
      </c>
      <c r="C2543" s="2" t="s">
        <v>27</v>
      </c>
      <c r="D2543" s="2" t="s">
        <v>12</v>
      </c>
      <c r="E2543" s="2" t="s">
        <v>28</v>
      </c>
      <c r="F2543">
        <v>127</v>
      </c>
      <c r="G2543">
        <v>407</v>
      </c>
      <c r="H2543">
        <v>51689</v>
      </c>
      <c r="I2543">
        <v>9129.2612000000008</v>
      </c>
      <c r="J2543" s="2" t="s">
        <v>38</v>
      </c>
    </row>
    <row r="2544" spans="1:10" x14ac:dyDescent="0.35">
      <c r="A2544" s="1">
        <v>45732</v>
      </c>
      <c r="B2544" s="2" t="s">
        <v>34</v>
      </c>
      <c r="C2544" s="2" t="s">
        <v>20</v>
      </c>
      <c r="D2544" s="2" t="s">
        <v>30</v>
      </c>
      <c r="E2544" s="2" t="s">
        <v>18</v>
      </c>
      <c r="F2544">
        <v>542</v>
      </c>
      <c r="G2544">
        <v>257</v>
      </c>
      <c r="H2544">
        <v>139294</v>
      </c>
      <c r="I2544">
        <v>12619.7652</v>
      </c>
      <c r="J2544" s="2" t="s">
        <v>38</v>
      </c>
    </row>
    <row r="2545" spans="1:10" x14ac:dyDescent="0.35">
      <c r="A2545" s="1">
        <v>45732</v>
      </c>
      <c r="B2545" s="2" t="s">
        <v>31</v>
      </c>
      <c r="C2545" s="2" t="s">
        <v>27</v>
      </c>
      <c r="D2545" s="2" t="s">
        <v>21</v>
      </c>
      <c r="E2545" s="2" t="s">
        <v>18</v>
      </c>
      <c r="F2545">
        <v>162</v>
      </c>
      <c r="G2545">
        <v>486</v>
      </c>
      <c r="H2545">
        <v>78732</v>
      </c>
      <c r="I2545">
        <v>11411.0234</v>
      </c>
      <c r="J2545" s="2" t="s">
        <v>38</v>
      </c>
    </row>
    <row r="2546" spans="1:10" x14ac:dyDescent="0.35">
      <c r="A2546" s="1">
        <v>45732</v>
      </c>
      <c r="B2546" s="2" t="s">
        <v>10</v>
      </c>
      <c r="C2546" s="2" t="s">
        <v>23</v>
      </c>
      <c r="D2546" s="2" t="s">
        <v>21</v>
      </c>
      <c r="E2546" s="2" t="s">
        <v>28</v>
      </c>
      <c r="F2546">
        <v>589</v>
      </c>
      <c r="G2546">
        <v>393</v>
      </c>
      <c r="H2546">
        <v>231477</v>
      </c>
      <c r="I2546">
        <v>52534.329400000002</v>
      </c>
      <c r="J2546" s="2" t="s">
        <v>38</v>
      </c>
    </row>
    <row r="2547" spans="1:10" x14ac:dyDescent="0.35">
      <c r="A2547" s="1">
        <v>45732</v>
      </c>
      <c r="B2547" s="2" t="s">
        <v>25</v>
      </c>
      <c r="C2547" s="2" t="s">
        <v>27</v>
      </c>
      <c r="D2547" s="2" t="s">
        <v>17</v>
      </c>
      <c r="E2547" s="2" t="s">
        <v>13</v>
      </c>
      <c r="F2547">
        <v>252</v>
      </c>
      <c r="G2547">
        <v>202</v>
      </c>
      <c r="H2547">
        <v>50904</v>
      </c>
      <c r="I2547">
        <v>9396.3019000000004</v>
      </c>
      <c r="J2547" s="2" t="s">
        <v>38</v>
      </c>
    </row>
    <row r="2548" spans="1:10" x14ac:dyDescent="0.35">
      <c r="A2548" s="1">
        <v>45733</v>
      </c>
      <c r="B2548" s="2" t="s">
        <v>34</v>
      </c>
      <c r="C2548" s="2" t="s">
        <v>20</v>
      </c>
      <c r="D2548" s="2" t="s">
        <v>21</v>
      </c>
      <c r="E2548" s="2" t="s">
        <v>18</v>
      </c>
      <c r="F2548">
        <v>356</v>
      </c>
      <c r="G2548">
        <v>345</v>
      </c>
      <c r="H2548">
        <v>122820</v>
      </c>
      <c r="I2548">
        <v>18041.490900000001</v>
      </c>
      <c r="J2548" s="2" t="s">
        <v>38</v>
      </c>
    </row>
    <row r="2549" spans="1:10" x14ac:dyDescent="0.35">
      <c r="A2549" s="1">
        <v>45733</v>
      </c>
      <c r="B2549" s="2" t="s">
        <v>19</v>
      </c>
      <c r="C2549" s="2" t="s">
        <v>11</v>
      </c>
      <c r="D2549" s="2" t="s">
        <v>17</v>
      </c>
      <c r="E2549" s="2" t="s">
        <v>18</v>
      </c>
      <c r="F2549">
        <v>269</v>
      </c>
      <c r="G2549">
        <v>419</v>
      </c>
      <c r="H2549">
        <v>112711</v>
      </c>
      <c r="I2549">
        <v>22731.994999999999</v>
      </c>
      <c r="J2549" s="2" t="s">
        <v>38</v>
      </c>
    </row>
    <row r="2550" spans="1:10" x14ac:dyDescent="0.35">
      <c r="A2550" s="1">
        <v>45733</v>
      </c>
      <c r="B2550" s="2" t="s">
        <v>31</v>
      </c>
      <c r="C2550" s="2" t="s">
        <v>27</v>
      </c>
      <c r="D2550" s="2" t="s">
        <v>21</v>
      </c>
      <c r="E2550" s="2" t="s">
        <v>35</v>
      </c>
      <c r="F2550">
        <v>877</v>
      </c>
      <c r="G2550">
        <v>479</v>
      </c>
      <c r="H2550">
        <v>420083</v>
      </c>
      <c r="I2550">
        <v>38429.1054</v>
      </c>
      <c r="J2550" s="2" t="s">
        <v>38</v>
      </c>
    </row>
    <row r="2551" spans="1:10" x14ac:dyDescent="0.35">
      <c r="A2551" s="1">
        <v>45735</v>
      </c>
      <c r="B2551" s="2" t="s">
        <v>10</v>
      </c>
      <c r="C2551" s="2" t="s">
        <v>11</v>
      </c>
      <c r="D2551" s="2" t="s">
        <v>12</v>
      </c>
      <c r="E2551" s="2" t="s">
        <v>24</v>
      </c>
      <c r="F2551">
        <v>934</v>
      </c>
      <c r="G2551">
        <v>379</v>
      </c>
      <c r="H2551">
        <v>353986</v>
      </c>
      <c r="I2551">
        <v>51558.691200000001</v>
      </c>
      <c r="J2551" s="2" t="s">
        <v>38</v>
      </c>
    </row>
    <row r="2552" spans="1:10" x14ac:dyDescent="0.35">
      <c r="A2552" s="1">
        <v>45735</v>
      </c>
      <c r="B2552" s="2" t="s">
        <v>31</v>
      </c>
      <c r="C2552" s="2" t="s">
        <v>29</v>
      </c>
      <c r="D2552" s="2" t="s">
        <v>21</v>
      </c>
      <c r="E2552" s="2" t="s">
        <v>35</v>
      </c>
      <c r="F2552">
        <v>607</v>
      </c>
      <c r="G2552">
        <v>114</v>
      </c>
      <c r="H2552">
        <v>69198</v>
      </c>
      <c r="I2552">
        <v>10365.8259</v>
      </c>
      <c r="J2552" s="2" t="s">
        <v>38</v>
      </c>
    </row>
    <row r="2553" spans="1:10" x14ac:dyDescent="0.35">
      <c r="A2553" s="1">
        <v>45736</v>
      </c>
      <c r="B2553" s="2" t="s">
        <v>36</v>
      </c>
      <c r="C2553" s="2" t="s">
        <v>29</v>
      </c>
      <c r="D2553" s="2" t="s">
        <v>30</v>
      </c>
      <c r="E2553" s="2" t="s">
        <v>24</v>
      </c>
      <c r="F2553">
        <v>777</v>
      </c>
      <c r="G2553">
        <v>103</v>
      </c>
      <c r="H2553">
        <v>80031</v>
      </c>
      <c r="I2553">
        <v>8677.7407999999996</v>
      </c>
      <c r="J2553" s="2" t="s">
        <v>38</v>
      </c>
    </row>
    <row r="2554" spans="1:10" x14ac:dyDescent="0.35">
      <c r="A2554" s="1">
        <v>45738</v>
      </c>
      <c r="B2554" s="2" t="s">
        <v>36</v>
      </c>
      <c r="C2554" s="2" t="s">
        <v>11</v>
      </c>
      <c r="D2554" s="2" t="s">
        <v>30</v>
      </c>
      <c r="E2554" s="2" t="s">
        <v>13</v>
      </c>
      <c r="F2554">
        <v>751</v>
      </c>
      <c r="G2554">
        <v>325</v>
      </c>
      <c r="H2554">
        <v>244075</v>
      </c>
      <c r="I2554">
        <v>31533.093199999999</v>
      </c>
      <c r="J2554" s="2" t="s">
        <v>38</v>
      </c>
    </row>
    <row r="2555" spans="1:10" x14ac:dyDescent="0.35">
      <c r="A2555" s="1">
        <v>45740</v>
      </c>
      <c r="B2555" s="2" t="s">
        <v>15</v>
      </c>
      <c r="C2555" s="2" t="s">
        <v>16</v>
      </c>
      <c r="D2555" s="2" t="s">
        <v>12</v>
      </c>
      <c r="E2555" s="2" t="s">
        <v>13</v>
      </c>
      <c r="F2555">
        <v>366</v>
      </c>
      <c r="G2555">
        <v>258</v>
      </c>
      <c r="H2555">
        <v>94428</v>
      </c>
      <c r="I2555">
        <v>7947.4802</v>
      </c>
      <c r="J2555" s="2" t="s">
        <v>38</v>
      </c>
    </row>
    <row r="2556" spans="1:10" x14ac:dyDescent="0.35">
      <c r="A2556" s="1">
        <v>45740</v>
      </c>
      <c r="B2556" s="2" t="s">
        <v>34</v>
      </c>
      <c r="C2556" s="2" t="s">
        <v>29</v>
      </c>
      <c r="D2556" s="2" t="s">
        <v>17</v>
      </c>
      <c r="E2556" s="2" t="s">
        <v>22</v>
      </c>
      <c r="F2556">
        <v>833</v>
      </c>
      <c r="G2556">
        <v>411</v>
      </c>
      <c r="H2556">
        <v>342363</v>
      </c>
      <c r="I2556">
        <v>81892.403300000005</v>
      </c>
      <c r="J2556" s="2" t="s">
        <v>38</v>
      </c>
    </row>
    <row r="2557" spans="1:10" x14ac:dyDescent="0.35">
      <c r="A2557" s="1">
        <v>45740</v>
      </c>
      <c r="B2557" s="2" t="s">
        <v>15</v>
      </c>
      <c r="C2557" s="2" t="s">
        <v>27</v>
      </c>
      <c r="D2557" s="2" t="s">
        <v>30</v>
      </c>
      <c r="E2557" s="2" t="s">
        <v>24</v>
      </c>
      <c r="F2557">
        <v>832</v>
      </c>
      <c r="G2557">
        <v>316</v>
      </c>
      <c r="H2557">
        <v>262912</v>
      </c>
      <c r="I2557">
        <v>31162.970099999999</v>
      </c>
      <c r="J2557" s="2" t="s">
        <v>38</v>
      </c>
    </row>
    <row r="2558" spans="1:10" x14ac:dyDescent="0.35">
      <c r="A2558" s="1">
        <v>45740</v>
      </c>
      <c r="B2558" s="2" t="s">
        <v>36</v>
      </c>
      <c r="C2558" s="2" t="s">
        <v>23</v>
      </c>
      <c r="D2558" s="2" t="s">
        <v>17</v>
      </c>
      <c r="E2558" s="2" t="s">
        <v>24</v>
      </c>
      <c r="F2558">
        <v>659</v>
      </c>
      <c r="G2558">
        <v>269</v>
      </c>
      <c r="H2558">
        <v>177271</v>
      </c>
      <c r="I2558">
        <v>30055.101999999999</v>
      </c>
      <c r="J2558" s="2" t="s">
        <v>38</v>
      </c>
    </row>
    <row r="2559" spans="1:10" x14ac:dyDescent="0.35">
      <c r="A2559" s="1">
        <v>45740</v>
      </c>
      <c r="B2559" s="2" t="s">
        <v>34</v>
      </c>
      <c r="C2559" s="2" t="s">
        <v>27</v>
      </c>
      <c r="D2559" s="2" t="s">
        <v>30</v>
      </c>
      <c r="E2559" s="2" t="s">
        <v>28</v>
      </c>
      <c r="F2559">
        <v>451</v>
      </c>
      <c r="G2559">
        <v>224</v>
      </c>
      <c r="H2559">
        <v>101024</v>
      </c>
      <c r="I2559">
        <v>24583.854899999998</v>
      </c>
      <c r="J2559" s="2" t="s">
        <v>38</v>
      </c>
    </row>
    <row r="2560" spans="1:10" x14ac:dyDescent="0.35">
      <c r="A2560" s="1">
        <v>45741</v>
      </c>
      <c r="B2560" s="2" t="s">
        <v>31</v>
      </c>
      <c r="C2560" s="2" t="s">
        <v>16</v>
      </c>
      <c r="D2560" s="2" t="s">
        <v>17</v>
      </c>
      <c r="E2560" s="2" t="s">
        <v>32</v>
      </c>
      <c r="F2560">
        <v>448</v>
      </c>
      <c r="G2560">
        <v>123</v>
      </c>
      <c r="H2560">
        <v>55104</v>
      </c>
      <c r="I2560">
        <v>11604.7842</v>
      </c>
      <c r="J2560" s="2" t="s">
        <v>38</v>
      </c>
    </row>
    <row r="2561" spans="1:10" x14ac:dyDescent="0.35">
      <c r="A2561" s="1">
        <v>45741</v>
      </c>
      <c r="B2561" s="2" t="s">
        <v>26</v>
      </c>
      <c r="C2561" s="2" t="s">
        <v>27</v>
      </c>
      <c r="D2561" s="2" t="s">
        <v>30</v>
      </c>
      <c r="E2561" s="2" t="s">
        <v>22</v>
      </c>
      <c r="F2561">
        <v>820</v>
      </c>
      <c r="G2561">
        <v>178</v>
      </c>
      <c r="H2561">
        <v>145960</v>
      </c>
      <c r="I2561">
        <v>20295.542000000001</v>
      </c>
      <c r="J2561" s="2" t="s">
        <v>38</v>
      </c>
    </row>
    <row r="2562" spans="1:10" x14ac:dyDescent="0.35">
      <c r="A2562" s="1">
        <v>45741</v>
      </c>
      <c r="B2562" s="2" t="s">
        <v>19</v>
      </c>
      <c r="C2562" s="2" t="s">
        <v>11</v>
      </c>
      <c r="D2562" s="2" t="s">
        <v>21</v>
      </c>
      <c r="E2562" s="2" t="s">
        <v>35</v>
      </c>
      <c r="F2562">
        <v>357</v>
      </c>
      <c r="G2562">
        <v>378</v>
      </c>
      <c r="H2562">
        <v>134946</v>
      </c>
      <c r="I2562">
        <v>31704.615699999998</v>
      </c>
      <c r="J2562" s="2" t="s">
        <v>38</v>
      </c>
    </row>
    <row r="2563" spans="1:10" x14ac:dyDescent="0.35">
      <c r="A2563" s="1">
        <v>45741</v>
      </c>
      <c r="B2563" s="2" t="s">
        <v>34</v>
      </c>
      <c r="C2563" s="2" t="s">
        <v>27</v>
      </c>
      <c r="D2563" s="2" t="s">
        <v>17</v>
      </c>
      <c r="E2563" s="2" t="s">
        <v>13</v>
      </c>
      <c r="F2563">
        <v>136</v>
      </c>
      <c r="G2563">
        <v>407</v>
      </c>
      <c r="H2563">
        <v>55352</v>
      </c>
      <c r="I2563">
        <v>11067.776400000001</v>
      </c>
      <c r="J2563" s="2" t="s">
        <v>38</v>
      </c>
    </row>
    <row r="2564" spans="1:10" x14ac:dyDescent="0.35">
      <c r="A2564" s="1">
        <v>45742</v>
      </c>
      <c r="B2564" s="2" t="s">
        <v>19</v>
      </c>
      <c r="C2564" s="2" t="s">
        <v>11</v>
      </c>
      <c r="D2564" s="2" t="s">
        <v>21</v>
      </c>
      <c r="E2564" s="2" t="s">
        <v>13</v>
      </c>
      <c r="F2564">
        <v>690</v>
      </c>
      <c r="G2564">
        <v>244</v>
      </c>
      <c r="H2564">
        <v>168360</v>
      </c>
      <c r="I2564">
        <v>37869.031499999997</v>
      </c>
      <c r="J2564" s="2" t="s">
        <v>38</v>
      </c>
    </row>
    <row r="2565" spans="1:10" x14ac:dyDescent="0.35">
      <c r="A2565" s="1">
        <v>45742</v>
      </c>
      <c r="B2565" s="2" t="s">
        <v>36</v>
      </c>
      <c r="C2565" s="2" t="s">
        <v>29</v>
      </c>
      <c r="D2565" s="2" t="s">
        <v>17</v>
      </c>
      <c r="E2565" s="2" t="s">
        <v>35</v>
      </c>
      <c r="F2565">
        <v>698</v>
      </c>
      <c r="G2565">
        <v>118</v>
      </c>
      <c r="H2565">
        <v>82364</v>
      </c>
      <c r="I2565">
        <v>11518.8526</v>
      </c>
      <c r="J2565" s="2" t="s">
        <v>38</v>
      </c>
    </row>
    <row r="2566" spans="1:10" x14ac:dyDescent="0.35">
      <c r="A2566" s="1">
        <v>45742</v>
      </c>
      <c r="B2566" s="2" t="s">
        <v>26</v>
      </c>
      <c r="C2566" s="2" t="s">
        <v>16</v>
      </c>
      <c r="D2566" s="2" t="s">
        <v>17</v>
      </c>
      <c r="E2566" s="2" t="s">
        <v>13</v>
      </c>
      <c r="F2566">
        <v>720</v>
      </c>
      <c r="G2566">
        <v>445</v>
      </c>
      <c r="H2566">
        <v>320400</v>
      </c>
      <c r="I2566">
        <v>74237.076799999995</v>
      </c>
      <c r="J2566" s="2" t="s">
        <v>38</v>
      </c>
    </row>
    <row r="2567" spans="1:10" x14ac:dyDescent="0.35">
      <c r="A2567" s="1">
        <v>45742</v>
      </c>
      <c r="B2567" s="2" t="s">
        <v>10</v>
      </c>
      <c r="C2567" s="2" t="s">
        <v>11</v>
      </c>
      <c r="D2567" s="2" t="s">
        <v>21</v>
      </c>
      <c r="E2567" s="2" t="s">
        <v>24</v>
      </c>
      <c r="F2567">
        <v>669</v>
      </c>
      <c r="G2567">
        <v>128</v>
      </c>
      <c r="H2567">
        <v>85632</v>
      </c>
      <c r="I2567">
        <v>12144.5057</v>
      </c>
      <c r="J2567" s="2" t="s">
        <v>38</v>
      </c>
    </row>
    <row r="2568" spans="1:10" x14ac:dyDescent="0.35">
      <c r="A2568" s="1">
        <v>45742</v>
      </c>
      <c r="B2568" s="2" t="s">
        <v>10</v>
      </c>
      <c r="C2568" s="2" t="s">
        <v>16</v>
      </c>
      <c r="D2568" s="2" t="s">
        <v>17</v>
      </c>
      <c r="E2568" s="2" t="s">
        <v>22</v>
      </c>
      <c r="F2568">
        <v>733</v>
      </c>
      <c r="G2568">
        <v>479</v>
      </c>
      <c r="H2568">
        <v>351107</v>
      </c>
      <c r="I2568">
        <v>84898.184599999993</v>
      </c>
      <c r="J2568" s="2" t="s">
        <v>38</v>
      </c>
    </row>
    <row r="2569" spans="1:10" x14ac:dyDescent="0.35">
      <c r="A2569" s="1">
        <v>45742</v>
      </c>
      <c r="B2569" s="2" t="s">
        <v>31</v>
      </c>
      <c r="C2569" s="2" t="s">
        <v>27</v>
      </c>
      <c r="D2569" s="2" t="s">
        <v>12</v>
      </c>
      <c r="E2569" s="2" t="s">
        <v>22</v>
      </c>
      <c r="F2569">
        <v>314</v>
      </c>
      <c r="G2569">
        <v>301</v>
      </c>
      <c r="H2569">
        <v>94514</v>
      </c>
      <c r="I2569">
        <v>10653.694799999999</v>
      </c>
      <c r="J2569" s="2" t="s">
        <v>38</v>
      </c>
    </row>
    <row r="2570" spans="1:10" x14ac:dyDescent="0.35">
      <c r="A2570" s="1">
        <v>45743</v>
      </c>
      <c r="B2570" s="2" t="s">
        <v>19</v>
      </c>
      <c r="C2570" s="2" t="s">
        <v>16</v>
      </c>
      <c r="D2570" s="2" t="s">
        <v>12</v>
      </c>
      <c r="E2570" s="2" t="s">
        <v>24</v>
      </c>
      <c r="F2570">
        <v>732</v>
      </c>
      <c r="G2570">
        <v>275</v>
      </c>
      <c r="H2570">
        <v>201300</v>
      </c>
      <c r="I2570">
        <v>49172.896399999998</v>
      </c>
      <c r="J2570" s="2" t="s">
        <v>38</v>
      </c>
    </row>
    <row r="2571" spans="1:10" x14ac:dyDescent="0.35">
      <c r="A2571" s="1">
        <v>45743</v>
      </c>
      <c r="B2571" s="2" t="s">
        <v>15</v>
      </c>
      <c r="C2571" s="2" t="s">
        <v>29</v>
      </c>
      <c r="D2571" s="2" t="s">
        <v>30</v>
      </c>
      <c r="E2571" s="2" t="s">
        <v>18</v>
      </c>
      <c r="F2571">
        <v>809</v>
      </c>
      <c r="G2571">
        <v>401</v>
      </c>
      <c r="H2571">
        <v>324409</v>
      </c>
      <c r="I2571">
        <v>49972.339099999997</v>
      </c>
      <c r="J2571" s="2" t="s">
        <v>38</v>
      </c>
    </row>
    <row r="2572" spans="1:10" x14ac:dyDescent="0.35">
      <c r="A2572" s="1">
        <v>45743</v>
      </c>
      <c r="B2572" s="2" t="s">
        <v>36</v>
      </c>
      <c r="C2572" s="2" t="s">
        <v>23</v>
      </c>
      <c r="D2572" s="2" t="s">
        <v>12</v>
      </c>
      <c r="E2572" s="2" t="s">
        <v>33</v>
      </c>
      <c r="F2572">
        <v>435</v>
      </c>
      <c r="G2572">
        <v>107</v>
      </c>
      <c r="H2572">
        <v>46545</v>
      </c>
      <c r="I2572">
        <v>6196.8549000000003</v>
      </c>
      <c r="J2572" s="2" t="s">
        <v>38</v>
      </c>
    </row>
    <row r="2573" spans="1:10" x14ac:dyDescent="0.35">
      <c r="A2573" s="1">
        <v>45743</v>
      </c>
      <c r="B2573" s="2" t="s">
        <v>26</v>
      </c>
      <c r="C2573" s="2" t="s">
        <v>20</v>
      </c>
      <c r="D2573" s="2" t="s">
        <v>30</v>
      </c>
      <c r="E2573" s="2" t="s">
        <v>35</v>
      </c>
      <c r="F2573">
        <v>619</v>
      </c>
      <c r="G2573">
        <v>292</v>
      </c>
      <c r="H2573">
        <v>180748</v>
      </c>
      <c r="I2573">
        <v>15320.779699999999</v>
      </c>
      <c r="J2573" s="2" t="s">
        <v>38</v>
      </c>
    </row>
    <row r="2574" spans="1:10" x14ac:dyDescent="0.35">
      <c r="A2574" s="1">
        <v>45743</v>
      </c>
      <c r="B2574" s="2" t="s">
        <v>10</v>
      </c>
      <c r="C2574" s="2" t="s">
        <v>16</v>
      </c>
      <c r="D2574" s="2" t="s">
        <v>17</v>
      </c>
      <c r="E2574" s="2" t="s">
        <v>33</v>
      </c>
      <c r="F2574">
        <v>327</v>
      </c>
      <c r="G2574">
        <v>207</v>
      </c>
      <c r="H2574">
        <v>67689</v>
      </c>
      <c r="I2574">
        <v>14281.6546</v>
      </c>
      <c r="J2574" s="2" t="s">
        <v>38</v>
      </c>
    </row>
    <row r="2575" spans="1:10" x14ac:dyDescent="0.35">
      <c r="A2575" s="1">
        <v>45743</v>
      </c>
      <c r="B2575" s="2" t="s">
        <v>15</v>
      </c>
      <c r="C2575" s="2" t="s">
        <v>27</v>
      </c>
      <c r="D2575" s="2" t="s">
        <v>12</v>
      </c>
      <c r="E2575" s="2" t="s">
        <v>28</v>
      </c>
      <c r="F2575">
        <v>782</v>
      </c>
      <c r="G2575">
        <v>115</v>
      </c>
      <c r="H2575">
        <v>89930</v>
      </c>
      <c r="I2575">
        <v>11433.6968</v>
      </c>
      <c r="J2575" s="2" t="s">
        <v>38</v>
      </c>
    </row>
    <row r="2576" spans="1:10" x14ac:dyDescent="0.35">
      <c r="A2576" s="1">
        <v>45744</v>
      </c>
      <c r="B2576" s="2" t="s">
        <v>34</v>
      </c>
      <c r="C2576" s="2" t="s">
        <v>20</v>
      </c>
      <c r="D2576" s="2" t="s">
        <v>21</v>
      </c>
      <c r="E2576" s="2" t="s">
        <v>32</v>
      </c>
      <c r="F2576">
        <v>314</v>
      </c>
      <c r="G2576">
        <v>191</v>
      </c>
      <c r="H2576">
        <v>59974</v>
      </c>
      <c r="I2576">
        <v>12343.1895</v>
      </c>
      <c r="J2576" s="2" t="s">
        <v>38</v>
      </c>
    </row>
    <row r="2577" spans="1:10" x14ac:dyDescent="0.35">
      <c r="A2577" s="1">
        <v>45745</v>
      </c>
      <c r="B2577" s="2" t="s">
        <v>10</v>
      </c>
      <c r="C2577" s="2" t="s">
        <v>23</v>
      </c>
      <c r="D2577" s="2" t="s">
        <v>30</v>
      </c>
      <c r="E2577" s="2" t="s">
        <v>28</v>
      </c>
      <c r="F2577">
        <v>914</v>
      </c>
      <c r="G2577">
        <v>197</v>
      </c>
      <c r="H2577">
        <v>180058</v>
      </c>
      <c r="I2577">
        <v>14638.8436</v>
      </c>
      <c r="J2577" s="2" t="s">
        <v>38</v>
      </c>
    </row>
    <row r="2578" spans="1:10" x14ac:dyDescent="0.35">
      <c r="A2578" s="1">
        <v>45745</v>
      </c>
      <c r="B2578" s="2" t="s">
        <v>15</v>
      </c>
      <c r="C2578" s="2" t="s">
        <v>11</v>
      </c>
      <c r="D2578" s="2" t="s">
        <v>12</v>
      </c>
      <c r="E2578" s="2" t="s">
        <v>24</v>
      </c>
      <c r="F2578">
        <v>677</v>
      </c>
      <c r="G2578">
        <v>177</v>
      </c>
      <c r="H2578">
        <v>119829</v>
      </c>
      <c r="I2578">
        <v>12349.638800000001</v>
      </c>
      <c r="J2578" s="2" t="s">
        <v>38</v>
      </c>
    </row>
    <row r="2579" spans="1:10" x14ac:dyDescent="0.35">
      <c r="A2579" s="1">
        <v>45745</v>
      </c>
      <c r="B2579" s="2" t="s">
        <v>19</v>
      </c>
      <c r="C2579" s="2" t="s">
        <v>16</v>
      </c>
      <c r="D2579" s="2" t="s">
        <v>17</v>
      </c>
      <c r="E2579" s="2" t="s">
        <v>33</v>
      </c>
      <c r="F2579">
        <v>822</v>
      </c>
      <c r="G2579">
        <v>196</v>
      </c>
      <c r="H2579">
        <v>161112</v>
      </c>
      <c r="I2579">
        <v>29730.9529</v>
      </c>
      <c r="J2579" s="2" t="s">
        <v>38</v>
      </c>
    </row>
    <row r="2580" spans="1:10" x14ac:dyDescent="0.35">
      <c r="A2580" s="1">
        <v>45746</v>
      </c>
      <c r="B2580" s="2" t="s">
        <v>25</v>
      </c>
      <c r="C2580" s="2" t="s">
        <v>27</v>
      </c>
      <c r="D2580" s="2" t="s">
        <v>17</v>
      </c>
      <c r="E2580" s="2" t="s">
        <v>24</v>
      </c>
      <c r="F2580">
        <v>486</v>
      </c>
      <c r="G2580">
        <v>398</v>
      </c>
      <c r="H2580">
        <v>193428</v>
      </c>
      <c r="I2580">
        <v>32066.1574</v>
      </c>
      <c r="J2580" s="2" t="s">
        <v>38</v>
      </c>
    </row>
    <row r="2581" spans="1:10" x14ac:dyDescent="0.35">
      <c r="A2581" s="1">
        <v>45746</v>
      </c>
      <c r="B2581" s="2" t="s">
        <v>19</v>
      </c>
      <c r="C2581" s="2" t="s">
        <v>11</v>
      </c>
      <c r="D2581" s="2" t="s">
        <v>12</v>
      </c>
      <c r="E2581" s="2" t="s">
        <v>33</v>
      </c>
      <c r="F2581">
        <v>201</v>
      </c>
      <c r="G2581">
        <v>498</v>
      </c>
      <c r="H2581">
        <v>100098</v>
      </c>
      <c r="I2581">
        <v>17795.062699999999</v>
      </c>
      <c r="J2581" s="2" t="s">
        <v>38</v>
      </c>
    </row>
    <row r="2582" spans="1:10" x14ac:dyDescent="0.35">
      <c r="A2582" s="1">
        <v>45746</v>
      </c>
      <c r="B2582" s="2" t="s">
        <v>25</v>
      </c>
      <c r="C2582" s="2" t="s">
        <v>20</v>
      </c>
      <c r="D2582" s="2" t="s">
        <v>21</v>
      </c>
      <c r="E2582" s="2" t="s">
        <v>24</v>
      </c>
      <c r="F2582">
        <v>309</v>
      </c>
      <c r="G2582">
        <v>258</v>
      </c>
      <c r="H2582">
        <v>79722</v>
      </c>
      <c r="I2582">
        <v>10577.784299999999</v>
      </c>
      <c r="J2582" s="2" t="s">
        <v>38</v>
      </c>
    </row>
    <row r="2583" spans="1:10" x14ac:dyDescent="0.35">
      <c r="A2583" s="1">
        <v>45746</v>
      </c>
      <c r="B2583" s="2" t="s">
        <v>34</v>
      </c>
      <c r="C2583" s="2" t="s">
        <v>16</v>
      </c>
      <c r="D2583" s="2" t="s">
        <v>12</v>
      </c>
      <c r="E2583" s="2" t="s">
        <v>32</v>
      </c>
      <c r="F2583">
        <v>908</v>
      </c>
      <c r="G2583">
        <v>383</v>
      </c>
      <c r="H2583">
        <v>347764</v>
      </c>
      <c r="I2583">
        <v>39779.934699999998</v>
      </c>
      <c r="J2583" s="2" t="s">
        <v>38</v>
      </c>
    </row>
    <row r="2584" spans="1:10" x14ac:dyDescent="0.35">
      <c r="A2584" s="1">
        <v>45746</v>
      </c>
      <c r="B2584" s="2" t="s">
        <v>31</v>
      </c>
      <c r="C2584" s="2" t="s">
        <v>23</v>
      </c>
      <c r="D2584" s="2" t="s">
        <v>21</v>
      </c>
      <c r="E2584" s="2" t="s">
        <v>35</v>
      </c>
      <c r="F2584">
        <v>989</v>
      </c>
      <c r="G2584">
        <v>100</v>
      </c>
      <c r="H2584">
        <v>98900</v>
      </c>
      <c r="I2584">
        <v>20040.335999999999</v>
      </c>
      <c r="J2584" s="2" t="s">
        <v>38</v>
      </c>
    </row>
    <row r="2585" spans="1:10" x14ac:dyDescent="0.35">
      <c r="A2585" s="1">
        <v>45747</v>
      </c>
      <c r="B2585" s="2" t="s">
        <v>19</v>
      </c>
      <c r="C2585" s="2" t="s">
        <v>20</v>
      </c>
      <c r="D2585" s="2" t="s">
        <v>30</v>
      </c>
      <c r="E2585" s="2" t="s">
        <v>24</v>
      </c>
      <c r="F2585">
        <v>191</v>
      </c>
      <c r="G2585">
        <v>406</v>
      </c>
      <c r="H2585">
        <v>77546</v>
      </c>
      <c r="I2585">
        <v>14306.3995</v>
      </c>
      <c r="J2585" s="2" t="s">
        <v>38</v>
      </c>
    </row>
    <row r="2586" spans="1:10" x14ac:dyDescent="0.35">
      <c r="A2586" s="1">
        <v>45747</v>
      </c>
      <c r="B2586" s="2" t="s">
        <v>25</v>
      </c>
      <c r="C2586" s="2" t="s">
        <v>29</v>
      </c>
      <c r="D2586" s="2" t="s">
        <v>12</v>
      </c>
      <c r="E2586" s="2" t="s">
        <v>35</v>
      </c>
      <c r="F2586">
        <v>994</v>
      </c>
      <c r="G2586">
        <v>330</v>
      </c>
      <c r="H2586">
        <v>328020</v>
      </c>
      <c r="I2586">
        <v>59690.138200000001</v>
      </c>
      <c r="J2586" s="2" t="s">
        <v>38</v>
      </c>
    </row>
    <row r="2587" spans="1:10" x14ac:dyDescent="0.35">
      <c r="A2587" s="1">
        <v>45747</v>
      </c>
      <c r="B2587" s="2" t="s">
        <v>10</v>
      </c>
      <c r="C2587" s="2" t="s">
        <v>27</v>
      </c>
      <c r="D2587" s="2" t="s">
        <v>12</v>
      </c>
      <c r="E2587" s="2" t="s">
        <v>28</v>
      </c>
      <c r="F2587">
        <v>850</v>
      </c>
      <c r="G2587">
        <v>111</v>
      </c>
      <c r="H2587">
        <v>94350</v>
      </c>
      <c r="I2587">
        <v>14161.3678</v>
      </c>
      <c r="J2587" s="2" t="s">
        <v>38</v>
      </c>
    </row>
    <row r="2588" spans="1:10" x14ac:dyDescent="0.35">
      <c r="A2588" s="1">
        <v>45747</v>
      </c>
      <c r="B2588" s="2" t="s">
        <v>34</v>
      </c>
      <c r="C2588" s="2" t="s">
        <v>23</v>
      </c>
      <c r="D2588" s="2" t="s">
        <v>12</v>
      </c>
      <c r="E2588" s="2" t="s">
        <v>22</v>
      </c>
      <c r="F2588">
        <v>713</v>
      </c>
      <c r="G2588">
        <v>114</v>
      </c>
      <c r="H2588">
        <v>81282</v>
      </c>
      <c r="I2588">
        <v>11517.679</v>
      </c>
      <c r="J2588" s="2" t="s">
        <v>38</v>
      </c>
    </row>
    <row r="2589" spans="1:10" x14ac:dyDescent="0.35">
      <c r="A2589" s="1">
        <v>45747</v>
      </c>
      <c r="B2589" s="2" t="s">
        <v>15</v>
      </c>
      <c r="C2589" s="2" t="s">
        <v>16</v>
      </c>
      <c r="D2589" s="2" t="s">
        <v>30</v>
      </c>
      <c r="E2589" s="2" t="s">
        <v>24</v>
      </c>
      <c r="F2589">
        <v>854</v>
      </c>
      <c r="G2589">
        <v>294</v>
      </c>
      <c r="H2589">
        <v>251076</v>
      </c>
      <c r="I2589">
        <v>35179.038</v>
      </c>
      <c r="J2589" s="2" t="s">
        <v>38</v>
      </c>
    </row>
    <row r="2590" spans="1:10" x14ac:dyDescent="0.35">
      <c r="A2590" s="1">
        <v>45747</v>
      </c>
      <c r="B2590" s="2" t="s">
        <v>25</v>
      </c>
      <c r="C2590" s="2" t="s">
        <v>16</v>
      </c>
      <c r="D2590" s="2" t="s">
        <v>17</v>
      </c>
      <c r="E2590" s="2" t="s">
        <v>24</v>
      </c>
      <c r="F2590">
        <v>110</v>
      </c>
      <c r="G2590">
        <v>272</v>
      </c>
      <c r="H2590">
        <v>29920</v>
      </c>
      <c r="I2590">
        <v>5359.5815000000002</v>
      </c>
      <c r="J2590" s="2" t="s">
        <v>38</v>
      </c>
    </row>
    <row r="2591" spans="1:10" x14ac:dyDescent="0.35">
      <c r="A2591" s="1">
        <v>45748</v>
      </c>
      <c r="B2591" s="2" t="s">
        <v>15</v>
      </c>
      <c r="C2591" s="2" t="s">
        <v>16</v>
      </c>
      <c r="D2591" s="2" t="s">
        <v>30</v>
      </c>
      <c r="E2591" s="2" t="s">
        <v>22</v>
      </c>
      <c r="F2591">
        <v>579</v>
      </c>
      <c r="G2591">
        <v>446</v>
      </c>
      <c r="H2591">
        <v>258234</v>
      </c>
      <c r="I2591">
        <v>27803.535899999999</v>
      </c>
      <c r="J2591" s="2" t="s">
        <v>39</v>
      </c>
    </row>
    <row r="2592" spans="1:10" x14ac:dyDescent="0.35">
      <c r="A2592" s="1">
        <v>45748</v>
      </c>
      <c r="B2592" s="2" t="s">
        <v>10</v>
      </c>
      <c r="C2592" s="2" t="s">
        <v>23</v>
      </c>
      <c r="D2592" s="2" t="s">
        <v>30</v>
      </c>
      <c r="E2592" s="2" t="s">
        <v>22</v>
      </c>
      <c r="F2592">
        <v>506</v>
      </c>
      <c r="G2592">
        <v>149</v>
      </c>
      <c r="H2592">
        <v>75394</v>
      </c>
      <c r="I2592">
        <v>8093.5589</v>
      </c>
      <c r="J2592" s="2" t="s">
        <v>39</v>
      </c>
    </row>
    <row r="2593" spans="1:10" x14ac:dyDescent="0.35">
      <c r="A2593" s="1">
        <v>45748</v>
      </c>
      <c r="B2593" s="2" t="s">
        <v>26</v>
      </c>
      <c r="C2593" s="2" t="s">
        <v>11</v>
      </c>
      <c r="D2593" s="2" t="s">
        <v>30</v>
      </c>
      <c r="E2593" s="2" t="s">
        <v>33</v>
      </c>
      <c r="F2593">
        <v>146</v>
      </c>
      <c r="G2593">
        <v>451</v>
      </c>
      <c r="H2593">
        <v>65846</v>
      </c>
      <c r="I2593">
        <v>13528.566699999999</v>
      </c>
      <c r="J2593" s="2" t="s">
        <v>39</v>
      </c>
    </row>
    <row r="2594" spans="1:10" x14ac:dyDescent="0.35">
      <c r="A2594" s="1">
        <v>45748</v>
      </c>
      <c r="B2594" s="2" t="s">
        <v>31</v>
      </c>
      <c r="C2594" s="2" t="s">
        <v>27</v>
      </c>
      <c r="D2594" s="2" t="s">
        <v>21</v>
      </c>
      <c r="E2594" s="2" t="s">
        <v>22</v>
      </c>
      <c r="F2594">
        <v>811</v>
      </c>
      <c r="G2594">
        <v>438</v>
      </c>
      <c r="H2594">
        <v>355218</v>
      </c>
      <c r="I2594">
        <v>61580.596599999997</v>
      </c>
      <c r="J2594" s="2" t="s">
        <v>39</v>
      </c>
    </row>
    <row r="2595" spans="1:10" x14ac:dyDescent="0.35">
      <c r="A2595" s="1">
        <v>45748</v>
      </c>
      <c r="B2595" s="2" t="s">
        <v>15</v>
      </c>
      <c r="C2595" s="2" t="s">
        <v>16</v>
      </c>
      <c r="D2595" s="2" t="s">
        <v>30</v>
      </c>
      <c r="E2595" s="2" t="s">
        <v>24</v>
      </c>
      <c r="F2595">
        <v>887</v>
      </c>
      <c r="G2595">
        <v>120</v>
      </c>
      <c r="H2595">
        <v>106440</v>
      </c>
      <c r="I2595">
        <v>24408.5834</v>
      </c>
      <c r="J2595" s="2" t="s">
        <v>39</v>
      </c>
    </row>
    <row r="2596" spans="1:10" x14ac:dyDescent="0.35">
      <c r="A2596" s="1">
        <v>45748</v>
      </c>
      <c r="B2596" s="2" t="s">
        <v>10</v>
      </c>
      <c r="C2596" s="2" t="s">
        <v>20</v>
      </c>
      <c r="D2596" s="2" t="s">
        <v>17</v>
      </c>
      <c r="E2596" s="2" t="s">
        <v>24</v>
      </c>
      <c r="F2596">
        <v>502</v>
      </c>
      <c r="G2596">
        <v>188</v>
      </c>
      <c r="H2596">
        <v>94376</v>
      </c>
      <c r="I2596">
        <v>16399.952300000001</v>
      </c>
      <c r="J2596" s="2" t="s">
        <v>39</v>
      </c>
    </row>
    <row r="2597" spans="1:10" x14ac:dyDescent="0.35">
      <c r="A2597" s="1">
        <v>45748</v>
      </c>
      <c r="B2597" s="2" t="s">
        <v>34</v>
      </c>
      <c r="C2597" s="2" t="s">
        <v>16</v>
      </c>
      <c r="D2597" s="2" t="s">
        <v>17</v>
      </c>
      <c r="E2597" s="2" t="s">
        <v>28</v>
      </c>
      <c r="F2597">
        <v>465</v>
      </c>
      <c r="G2597">
        <v>314</v>
      </c>
      <c r="H2597">
        <v>146010</v>
      </c>
      <c r="I2597">
        <v>13548.583699999999</v>
      </c>
      <c r="J2597" s="2" t="s">
        <v>39</v>
      </c>
    </row>
    <row r="2598" spans="1:10" x14ac:dyDescent="0.35">
      <c r="A2598" s="1">
        <v>45749</v>
      </c>
      <c r="B2598" s="2" t="s">
        <v>34</v>
      </c>
      <c r="C2598" s="2" t="s">
        <v>27</v>
      </c>
      <c r="D2598" s="2" t="s">
        <v>30</v>
      </c>
      <c r="E2598" s="2" t="s">
        <v>28</v>
      </c>
      <c r="F2598">
        <v>723</v>
      </c>
      <c r="G2598">
        <v>195</v>
      </c>
      <c r="H2598">
        <v>140985</v>
      </c>
      <c r="I2598">
        <v>11988.083199999999</v>
      </c>
      <c r="J2598" s="2" t="s">
        <v>39</v>
      </c>
    </row>
    <row r="2599" spans="1:10" x14ac:dyDescent="0.35">
      <c r="A2599" s="1">
        <v>45749</v>
      </c>
      <c r="B2599" s="2" t="s">
        <v>36</v>
      </c>
      <c r="C2599" s="2" t="s">
        <v>11</v>
      </c>
      <c r="D2599" s="2" t="s">
        <v>12</v>
      </c>
      <c r="E2599" s="2" t="s">
        <v>28</v>
      </c>
      <c r="F2599">
        <v>627</v>
      </c>
      <c r="G2599">
        <v>430</v>
      </c>
      <c r="H2599">
        <v>269610</v>
      </c>
      <c r="I2599">
        <v>64920.7673</v>
      </c>
      <c r="J2599" s="2" t="s">
        <v>39</v>
      </c>
    </row>
    <row r="2600" spans="1:10" x14ac:dyDescent="0.35">
      <c r="A2600" s="1">
        <v>45749</v>
      </c>
      <c r="B2600" s="2" t="s">
        <v>15</v>
      </c>
      <c r="C2600" s="2" t="s">
        <v>20</v>
      </c>
      <c r="D2600" s="2" t="s">
        <v>21</v>
      </c>
      <c r="E2600" s="2" t="s">
        <v>13</v>
      </c>
      <c r="F2600">
        <v>893</v>
      </c>
      <c r="G2600">
        <v>164</v>
      </c>
      <c r="H2600">
        <v>146452</v>
      </c>
      <c r="I2600">
        <v>15913.3192</v>
      </c>
      <c r="J2600" s="2" t="s">
        <v>39</v>
      </c>
    </row>
    <row r="2601" spans="1:10" x14ac:dyDescent="0.35">
      <c r="A2601" s="1">
        <v>45749</v>
      </c>
      <c r="B2601" s="2" t="s">
        <v>26</v>
      </c>
      <c r="C2601" s="2" t="s">
        <v>27</v>
      </c>
      <c r="D2601" s="2" t="s">
        <v>21</v>
      </c>
      <c r="E2601" s="2" t="s">
        <v>13</v>
      </c>
      <c r="F2601">
        <v>212</v>
      </c>
      <c r="G2601">
        <v>301</v>
      </c>
      <c r="H2601">
        <v>63812</v>
      </c>
      <c r="I2601">
        <v>15949.6895</v>
      </c>
      <c r="J2601" s="2" t="s">
        <v>39</v>
      </c>
    </row>
    <row r="2602" spans="1:10" x14ac:dyDescent="0.35">
      <c r="A2602" s="1">
        <v>45749</v>
      </c>
      <c r="B2602" s="2" t="s">
        <v>15</v>
      </c>
      <c r="C2602" s="2" t="s">
        <v>29</v>
      </c>
      <c r="D2602" s="2" t="s">
        <v>30</v>
      </c>
      <c r="E2602" s="2" t="s">
        <v>32</v>
      </c>
      <c r="F2602">
        <v>930</v>
      </c>
      <c r="G2602">
        <v>188</v>
      </c>
      <c r="H2602">
        <v>174840</v>
      </c>
      <c r="I2602">
        <v>37560.67</v>
      </c>
      <c r="J2602" s="2" t="s">
        <v>39</v>
      </c>
    </row>
    <row r="2603" spans="1:10" x14ac:dyDescent="0.35">
      <c r="A2603" s="1">
        <v>45750</v>
      </c>
      <c r="B2603" s="2" t="s">
        <v>26</v>
      </c>
      <c r="C2603" s="2" t="s">
        <v>29</v>
      </c>
      <c r="D2603" s="2" t="s">
        <v>17</v>
      </c>
      <c r="E2603" s="2" t="s">
        <v>22</v>
      </c>
      <c r="F2603">
        <v>159</v>
      </c>
      <c r="G2603">
        <v>306</v>
      </c>
      <c r="H2603">
        <v>48654</v>
      </c>
      <c r="I2603">
        <v>11586.3809</v>
      </c>
      <c r="J2603" s="2" t="s">
        <v>39</v>
      </c>
    </row>
    <row r="2604" spans="1:10" x14ac:dyDescent="0.35">
      <c r="A2604" s="1">
        <v>45750</v>
      </c>
      <c r="B2604" s="2" t="s">
        <v>26</v>
      </c>
      <c r="C2604" s="2" t="s">
        <v>11</v>
      </c>
      <c r="D2604" s="2" t="s">
        <v>21</v>
      </c>
      <c r="E2604" s="2" t="s">
        <v>33</v>
      </c>
      <c r="F2604">
        <v>454</v>
      </c>
      <c r="G2604">
        <v>386</v>
      </c>
      <c r="H2604">
        <v>175244</v>
      </c>
      <c r="I2604">
        <v>16833.805499999999</v>
      </c>
      <c r="J2604" s="2" t="s">
        <v>39</v>
      </c>
    </row>
    <row r="2605" spans="1:10" x14ac:dyDescent="0.35">
      <c r="A2605" s="1">
        <v>45750</v>
      </c>
      <c r="B2605" s="2" t="s">
        <v>36</v>
      </c>
      <c r="C2605" s="2" t="s">
        <v>11</v>
      </c>
      <c r="D2605" s="2" t="s">
        <v>17</v>
      </c>
      <c r="E2605" s="2" t="s">
        <v>13</v>
      </c>
      <c r="F2605">
        <v>161</v>
      </c>
      <c r="G2605">
        <v>323</v>
      </c>
      <c r="H2605">
        <v>52003</v>
      </c>
      <c r="I2605">
        <v>12886.606100000001</v>
      </c>
      <c r="J2605" s="2" t="s">
        <v>39</v>
      </c>
    </row>
    <row r="2606" spans="1:10" x14ac:dyDescent="0.35">
      <c r="A2606" s="1">
        <v>45751</v>
      </c>
      <c r="B2606" s="2" t="s">
        <v>10</v>
      </c>
      <c r="C2606" s="2" t="s">
        <v>23</v>
      </c>
      <c r="D2606" s="2" t="s">
        <v>17</v>
      </c>
      <c r="E2606" s="2" t="s">
        <v>13</v>
      </c>
      <c r="F2606">
        <v>409</v>
      </c>
      <c r="G2606">
        <v>212</v>
      </c>
      <c r="H2606">
        <v>86708</v>
      </c>
      <c r="I2606">
        <v>18685.6338</v>
      </c>
      <c r="J2606" s="2" t="s">
        <v>39</v>
      </c>
    </row>
    <row r="2607" spans="1:10" x14ac:dyDescent="0.35">
      <c r="A2607" s="1">
        <v>45751</v>
      </c>
      <c r="B2607" s="2" t="s">
        <v>31</v>
      </c>
      <c r="C2607" s="2" t="s">
        <v>20</v>
      </c>
      <c r="D2607" s="2" t="s">
        <v>21</v>
      </c>
      <c r="E2607" s="2" t="s">
        <v>22</v>
      </c>
      <c r="F2607">
        <v>546</v>
      </c>
      <c r="G2607">
        <v>344</v>
      </c>
      <c r="H2607">
        <v>187824</v>
      </c>
      <c r="I2607">
        <v>15444.736500000001</v>
      </c>
      <c r="J2607" s="2" t="s">
        <v>39</v>
      </c>
    </row>
    <row r="2608" spans="1:10" x14ac:dyDescent="0.35">
      <c r="A2608" s="1">
        <v>45751</v>
      </c>
      <c r="B2608" s="2" t="s">
        <v>25</v>
      </c>
      <c r="C2608" s="2" t="s">
        <v>20</v>
      </c>
      <c r="D2608" s="2" t="s">
        <v>12</v>
      </c>
      <c r="E2608" s="2" t="s">
        <v>18</v>
      </c>
      <c r="F2608">
        <v>104</v>
      </c>
      <c r="G2608">
        <v>122</v>
      </c>
      <c r="H2608">
        <v>12688</v>
      </c>
      <c r="I2608">
        <v>1489.5651</v>
      </c>
      <c r="J2608" s="2" t="s">
        <v>39</v>
      </c>
    </row>
    <row r="2609" spans="1:10" x14ac:dyDescent="0.35">
      <c r="A2609" s="1">
        <v>45751</v>
      </c>
      <c r="B2609" s="2" t="s">
        <v>36</v>
      </c>
      <c r="C2609" s="2" t="s">
        <v>27</v>
      </c>
      <c r="D2609" s="2" t="s">
        <v>30</v>
      </c>
      <c r="E2609" s="2" t="s">
        <v>33</v>
      </c>
      <c r="F2609">
        <v>393</v>
      </c>
      <c r="G2609">
        <v>344</v>
      </c>
      <c r="H2609">
        <v>135192</v>
      </c>
      <c r="I2609">
        <v>26126.2821</v>
      </c>
      <c r="J2609" s="2" t="s">
        <v>39</v>
      </c>
    </row>
    <row r="2610" spans="1:10" x14ac:dyDescent="0.35">
      <c r="A2610" s="1">
        <v>45751</v>
      </c>
      <c r="B2610" s="2" t="s">
        <v>36</v>
      </c>
      <c r="C2610" s="2" t="s">
        <v>11</v>
      </c>
      <c r="D2610" s="2" t="s">
        <v>21</v>
      </c>
      <c r="E2610" s="2" t="s">
        <v>33</v>
      </c>
      <c r="F2610">
        <v>863</v>
      </c>
      <c r="G2610">
        <v>252</v>
      </c>
      <c r="H2610">
        <v>217476</v>
      </c>
      <c r="I2610">
        <v>27593.647300000001</v>
      </c>
      <c r="J2610" s="2" t="s">
        <v>39</v>
      </c>
    </row>
    <row r="2611" spans="1:10" x14ac:dyDescent="0.35">
      <c r="A2611" s="1">
        <v>45752</v>
      </c>
      <c r="B2611" s="2" t="s">
        <v>25</v>
      </c>
      <c r="C2611" s="2" t="s">
        <v>16</v>
      </c>
      <c r="D2611" s="2" t="s">
        <v>17</v>
      </c>
      <c r="E2611" s="2" t="s">
        <v>22</v>
      </c>
      <c r="F2611">
        <v>821</v>
      </c>
      <c r="G2611">
        <v>394</v>
      </c>
      <c r="H2611">
        <v>323474</v>
      </c>
      <c r="I2611">
        <v>69275.421799999996</v>
      </c>
      <c r="J2611" s="2" t="s">
        <v>39</v>
      </c>
    </row>
    <row r="2612" spans="1:10" x14ac:dyDescent="0.35">
      <c r="A2612" s="1">
        <v>45752</v>
      </c>
      <c r="B2612" s="2" t="s">
        <v>19</v>
      </c>
      <c r="C2612" s="2" t="s">
        <v>29</v>
      </c>
      <c r="D2612" s="2" t="s">
        <v>12</v>
      </c>
      <c r="E2612" s="2" t="s">
        <v>24</v>
      </c>
      <c r="F2612">
        <v>802</v>
      </c>
      <c r="G2612">
        <v>418</v>
      </c>
      <c r="H2612">
        <v>335236</v>
      </c>
      <c r="I2612">
        <v>29208.810600000001</v>
      </c>
      <c r="J2612" s="2" t="s">
        <v>39</v>
      </c>
    </row>
    <row r="2613" spans="1:10" x14ac:dyDescent="0.35">
      <c r="A2613" s="1">
        <v>45752</v>
      </c>
      <c r="B2613" s="2" t="s">
        <v>10</v>
      </c>
      <c r="C2613" s="2" t="s">
        <v>11</v>
      </c>
      <c r="D2613" s="2" t="s">
        <v>30</v>
      </c>
      <c r="E2613" s="2" t="s">
        <v>35</v>
      </c>
      <c r="F2613">
        <v>973</v>
      </c>
      <c r="G2613">
        <v>140</v>
      </c>
      <c r="H2613">
        <v>136220</v>
      </c>
      <c r="I2613">
        <v>20136.4352</v>
      </c>
      <c r="J2613" s="2" t="s">
        <v>39</v>
      </c>
    </row>
    <row r="2614" spans="1:10" x14ac:dyDescent="0.35">
      <c r="A2614" s="1">
        <v>45753</v>
      </c>
      <c r="B2614" s="2" t="s">
        <v>26</v>
      </c>
      <c r="C2614" s="2" t="s">
        <v>11</v>
      </c>
      <c r="D2614" s="2" t="s">
        <v>21</v>
      </c>
      <c r="E2614" s="2" t="s">
        <v>24</v>
      </c>
      <c r="F2614">
        <v>333</v>
      </c>
      <c r="G2614">
        <v>433</v>
      </c>
      <c r="H2614">
        <v>144189</v>
      </c>
      <c r="I2614">
        <v>34848.807399999998</v>
      </c>
      <c r="J2614" s="2" t="s">
        <v>39</v>
      </c>
    </row>
    <row r="2615" spans="1:10" x14ac:dyDescent="0.35">
      <c r="A2615" s="1">
        <v>45753</v>
      </c>
      <c r="B2615" s="2" t="s">
        <v>31</v>
      </c>
      <c r="C2615" s="2" t="s">
        <v>20</v>
      </c>
      <c r="D2615" s="2" t="s">
        <v>12</v>
      </c>
      <c r="E2615" s="2" t="s">
        <v>22</v>
      </c>
      <c r="F2615">
        <v>512</v>
      </c>
      <c r="G2615">
        <v>468</v>
      </c>
      <c r="H2615">
        <v>239616</v>
      </c>
      <c r="I2615">
        <v>39085.955800000003</v>
      </c>
      <c r="J2615" s="2" t="s">
        <v>39</v>
      </c>
    </row>
    <row r="2616" spans="1:10" x14ac:dyDescent="0.35">
      <c r="A2616" s="1">
        <v>45754</v>
      </c>
      <c r="B2616" s="2" t="s">
        <v>25</v>
      </c>
      <c r="C2616" s="2" t="s">
        <v>20</v>
      </c>
      <c r="D2616" s="2" t="s">
        <v>30</v>
      </c>
      <c r="E2616" s="2" t="s">
        <v>33</v>
      </c>
      <c r="F2616">
        <v>765</v>
      </c>
      <c r="G2616">
        <v>341</v>
      </c>
      <c r="H2616">
        <v>260865</v>
      </c>
      <c r="I2616">
        <v>28145.809700000002</v>
      </c>
      <c r="J2616" s="2" t="s">
        <v>39</v>
      </c>
    </row>
    <row r="2617" spans="1:10" x14ac:dyDescent="0.35">
      <c r="A2617" s="1">
        <v>45754</v>
      </c>
      <c r="B2617" s="2" t="s">
        <v>31</v>
      </c>
      <c r="C2617" s="2" t="s">
        <v>16</v>
      </c>
      <c r="D2617" s="2" t="s">
        <v>17</v>
      </c>
      <c r="E2617" s="2" t="s">
        <v>22</v>
      </c>
      <c r="F2617">
        <v>179</v>
      </c>
      <c r="G2617">
        <v>284</v>
      </c>
      <c r="H2617">
        <v>50836</v>
      </c>
      <c r="I2617">
        <v>6617.6539000000002</v>
      </c>
      <c r="J2617" s="2" t="s">
        <v>39</v>
      </c>
    </row>
    <row r="2618" spans="1:10" x14ac:dyDescent="0.35">
      <c r="A2618" s="1">
        <v>45754</v>
      </c>
      <c r="B2618" s="2" t="s">
        <v>26</v>
      </c>
      <c r="C2618" s="2" t="s">
        <v>23</v>
      </c>
      <c r="D2618" s="2" t="s">
        <v>30</v>
      </c>
      <c r="E2618" s="2" t="s">
        <v>18</v>
      </c>
      <c r="F2618">
        <v>949</v>
      </c>
      <c r="G2618">
        <v>305</v>
      </c>
      <c r="H2618">
        <v>289445</v>
      </c>
      <c r="I2618">
        <v>24759.791399999998</v>
      </c>
      <c r="J2618" s="2" t="s">
        <v>39</v>
      </c>
    </row>
    <row r="2619" spans="1:10" x14ac:dyDescent="0.35">
      <c r="A2619" s="1">
        <v>45754</v>
      </c>
      <c r="B2619" s="2" t="s">
        <v>10</v>
      </c>
      <c r="C2619" s="2" t="s">
        <v>23</v>
      </c>
      <c r="D2619" s="2" t="s">
        <v>17</v>
      </c>
      <c r="E2619" s="2" t="s">
        <v>18</v>
      </c>
      <c r="F2619">
        <v>405</v>
      </c>
      <c r="G2619">
        <v>382</v>
      </c>
      <c r="H2619">
        <v>154710</v>
      </c>
      <c r="I2619">
        <v>24880.083699999999</v>
      </c>
      <c r="J2619" s="2" t="s">
        <v>39</v>
      </c>
    </row>
    <row r="2620" spans="1:10" x14ac:dyDescent="0.35">
      <c r="A2620" s="1">
        <v>45754</v>
      </c>
      <c r="B2620" s="2" t="s">
        <v>19</v>
      </c>
      <c r="C2620" s="2" t="s">
        <v>11</v>
      </c>
      <c r="D2620" s="2" t="s">
        <v>30</v>
      </c>
      <c r="E2620" s="2" t="s">
        <v>28</v>
      </c>
      <c r="F2620">
        <v>507</v>
      </c>
      <c r="G2620">
        <v>225</v>
      </c>
      <c r="H2620">
        <v>114075</v>
      </c>
      <c r="I2620">
        <v>15625.5411</v>
      </c>
      <c r="J2620" s="2" t="s">
        <v>39</v>
      </c>
    </row>
    <row r="2621" spans="1:10" x14ac:dyDescent="0.35">
      <c r="A2621" s="1">
        <v>45755</v>
      </c>
      <c r="B2621" s="2" t="s">
        <v>15</v>
      </c>
      <c r="C2621" s="2" t="s">
        <v>29</v>
      </c>
      <c r="D2621" s="2" t="s">
        <v>30</v>
      </c>
      <c r="E2621" s="2" t="s">
        <v>33</v>
      </c>
      <c r="F2621">
        <v>577</v>
      </c>
      <c r="G2621">
        <v>304</v>
      </c>
      <c r="H2621">
        <v>175408</v>
      </c>
      <c r="I2621">
        <v>32989.965100000001</v>
      </c>
      <c r="J2621" s="2" t="s">
        <v>39</v>
      </c>
    </row>
    <row r="2622" spans="1:10" x14ac:dyDescent="0.35">
      <c r="A2622" s="1">
        <v>45755</v>
      </c>
      <c r="B2622" s="2" t="s">
        <v>36</v>
      </c>
      <c r="C2622" s="2" t="s">
        <v>11</v>
      </c>
      <c r="D2622" s="2" t="s">
        <v>21</v>
      </c>
      <c r="E2622" s="2" t="s">
        <v>35</v>
      </c>
      <c r="F2622">
        <v>308</v>
      </c>
      <c r="G2622">
        <v>270</v>
      </c>
      <c r="H2622">
        <v>83160</v>
      </c>
      <c r="I2622">
        <v>19125.388900000002</v>
      </c>
      <c r="J2622" s="2" t="s">
        <v>39</v>
      </c>
    </row>
    <row r="2623" spans="1:10" x14ac:dyDescent="0.35">
      <c r="A2623" s="1">
        <v>45757</v>
      </c>
      <c r="B2623" s="2" t="s">
        <v>36</v>
      </c>
      <c r="C2623" s="2" t="s">
        <v>27</v>
      </c>
      <c r="D2623" s="2" t="s">
        <v>30</v>
      </c>
      <c r="E2623" s="2" t="s">
        <v>33</v>
      </c>
      <c r="F2623">
        <v>565</v>
      </c>
      <c r="G2623">
        <v>315</v>
      </c>
      <c r="H2623">
        <v>177975</v>
      </c>
      <c r="I2623">
        <v>28445.4058</v>
      </c>
      <c r="J2623" s="2" t="s">
        <v>39</v>
      </c>
    </row>
    <row r="2624" spans="1:10" x14ac:dyDescent="0.35">
      <c r="A2624" s="1">
        <v>45757</v>
      </c>
      <c r="B2624" s="2" t="s">
        <v>26</v>
      </c>
      <c r="C2624" s="2" t="s">
        <v>23</v>
      </c>
      <c r="D2624" s="2" t="s">
        <v>17</v>
      </c>
      <c r="E2624" s="2" t="s">
        <v>13</v>
      </c>
      <c r="F2624">
        <v>98</v>
      </c>
      <c r="G2624">
        <v>396</v>
      </c>
      <c r="H2624">
        <v>38808</v>
      </c>
      <c r="I2624">
        <v>9589.9449000000004</v>
      </c>
      <c r="J2624" s="2" t="s">
        <v>39</v>
      </c>
    </row>
    <row r="2625" spans="1:10" x14ac:dyDescent="0.35">
      <c r="A2625" s="1">
        <v>45757</v>
      </c>
      <c r="B2625" s="2" t="s">
        <v>31</v>
      </c>
      <c r="C2625" s="2" t="s">
        <v>29</v>
      </c>
      <c r="D2625" s="2" t="s">
        <v>12</v>
      </c>
      <c r="E2625" s="2" t="s">
        <v>18</v>
      </c>
      <c r="F2625">
        <v>984</v>
      </c>
      <c r="G2625">
        <v>329</v>
      </c>
      <c r="H2625">
        <v>323736</v>
      </c>
      <c r="I2625">
        <v>28348.980299999999</v>
      </c>
      <c r="J2625" s="2" t="s">
        <v>39</v>
      </c>
    </row>
    <row r="2626" spans="1:10" x14ac:dyDescent="0.35">
      <c r="A2626" s="1">
        <v>45757</v>
      </c>
      <c r="B2626" s="2" t="s">
        <v>26</v>
      </c>
      <c r="C2626" s="2" t="s">
        <v>23</v>
      </c>
      <c r="D2626" s="2" t="s">
        <v>12</v>
      </c>
      <c r="E2626" s="2" t="s">
        <v>28</v>
      </c>
      <c r="F2626">
        <v>846</v>
      </c>
      <c r="G2626">
        <v>282</v>
      </c>
      <c r="H2626">
        <v>238572</v>
      </c>
      <c r="I2626">
        <v>53036.205399999999</v>
      </c>
      <c r="J2626" s="2" t="s">
        <v>39</v>
      </c>
    </row>
    <row r="2627" spans="1:10" x14ac:dyDescent="0.35">
      <c r="A2627" s="1">
        <v>45757</v>
      </c>
      <c r="B2627" s="2" t="s">
        <v>25</v>
      </c>
      <c r="C2627" s="2" t="s">
        <v>20</v>
      </c>
      <c r="D2627" s="2" t="s">
        <v>12</v>
      </c>
      <c r="E2627" s="2" t="s">
        <v>35</v>
      </c>
      <c r="F2627">
        <v>384</v>
      </c>
      <c r="G2627">
        <v>290</v>
      </c>
      <c r="H2627">
        <v>111360</v>
      </c>
      <c r="I2627">
        <v>27481.038400000001</v>
      </c>
      <c r="J2627" s="2" t="s">
        <v>39</v>
      </c>
    </row>
    <row r="2628" spans="1:10" x14ac:dyDescent="0.35">
      <c r="A2628" s="1">
        <v>45758</v>
      </c>
      <c r="B2628" s="2" t="s">
        <v>34</v>
      </c>
      <c r="C2628" s="2" t="s">
        <v>29</v>
      </c>
      <c r="D2628" s="2" t="s">
        <v>21</v>
      </c>
      <c r="E2628" s="2" t="s">
        <v>32</v>
      </c>
      <c r="F2628">
        <v>758</v>
      </c>
      <c r="G2628">
        <v>296</v>
      </c>
      <c r="H2628">
        <v>224368</v>
      </c>
      <c r="I2628">
        <v>24945.831200000001</v>
      </c>
      <c r="J2628" s="2" t="s">
        <v>39</v>
      </c>
    </row>
    <row r="2629" spans="1:10" x14ac:dyDescent="0.35">
      <c r="A2629" s="1">
        <v>45758</v>
      </c>
      <c r="B2629" s="2" t="s">
        <v>10</v>
      </c>
      <c r="C2629" s="2" t="s">
        <v>16</v>
      </c>
      <c r="D2629" s="2" t="s">
        <v>17</v>
      </c>
      <c r="E2629" s="2" t="s">
        <v>28</v>
      </c>
      <c r="F2629">
        <v>207</v>
      </c>
      <c r="G2629">
        <v>223</v>
      </c>
      <c r="H2629">
        <v>46161</v>
      </c>
      <c r="I2629">
        <v>9403.8484000000008</v>
      </c>
      <c r="J2629" s="2" t="s">
        <v>39</v>
      </c>
    </row>
    <row r="2630" spans="1:10" x14ac:dyDescent="0.35">
      <c r="A2630" s="1">
        <v>45759</v>
      </c>
      <c r="B2630" s="2" t="s">
        <v>26</v>
      </c>
      <c r="C2630" s="2" t="s">
        <v>27</v>
      </c>
      <c r="D2630" s="2" t="s">
        <v>12</v>
      </c>
      <c r="E2630" s="2" t="s">
        <v>18</v>
      </c>
      <c r="F2630">
        <v>540</v>
      </c>
      <c r="G2630">
        <v>119</v>
      </c>
      <c r="H2630">
        <v>64260</v>
      </c>
      <c r="I2630">
        <v>10948.787200000001</v>
      </c>
      <c r="J2630" s="2" t="s">
        <v>39</v>
      </c>
    </row>
    <row r="2631" spans="1:10" x14ac:dyDescent="0.35">
      <c r="A2631" s="1">
        <v>45759</v>
      </c>
      <c r="B2631" s="2" t="s">
        <v>19</v>
      </c>
      <c r="C2631" s="2" t="s">
        <v>23</v>
      </c>
      <c r="D2631" s="2" t="s">
        <v>12</v>
      </c>
      <c r="E2631" s="2" t="s">
        <v>33</v>
      </c>
      <c r="F2631">
        <v>825</v>
      </c>
      <c r="G2631">
        <v>307</v>
      </c>
      <c r="H2631">
        <v>253275</v>
      </c>
      <c r="I2631">
        <v>42400.512699999999</v>
      </c>
      <c r="J2631" s="2" t="s">
        <v>39</v>
      </c>
    </row>
    <row r="2632" spans="1:10" x14ac:dyDescent="0.35">
      <c r="A2632" s="1">
        <v>45759</v>
      </c>
      <c r="B2632" s="2" t="s">
        <v>25</v>
      </c>
      <c r="C2632" s="2" t="s">
        <v>20</v>
      </c>
      <c r="D2632" s="2" t="s">
        <v>17</v>
      </c>
      <c r="E2632" s="2" t="s">
        <v>28</v>
      </c>
      <c r="F2632">
        <v>755</v>
      </c>
      <c r="G2632">
        <v>451</v>
      </c>
      <c r="H2632">
        <v>340505</v>
      </c>
      <c r="I2632">
        <v>83592.690799999997</v>
      </c>
      <c r="J2632" s="2" t="s">
        <v>39</v>
      </c>
    </row>
    <row r="2633" spans="1:10" x14ac:dyDescent="0.35">
      <c r="A2633" s="1">
        <v>45759</v>
      </c>
      <c r="B2633" s="2" t="s">
        <v>26</v>
      </c>
      <c r="C2633" s="2" t="s">
        <v>29</v>
      </c>
      <c r="D2633" s="2" t="s">
        <v>12</v>
      </c>
      <c r="E2633" s="2" t="s">
        <v>33</v>
      </c>
      <c r="F2633">
        <v>488</v>
      </c>
      <c r="G2633">
        <v>167</v>
      </c>
      <c r="H2633">
        <v>81496</v>
      </c>
      <c r="I2633">
        <v>16281.1378</v>
      </c>
      <c r="J2633" s="2" t="s">
        <v>39</v>
      </c>
    </row>
    <row r="2634" spans="1:10" x14ac:dyDescent="0.35">
      <c r="A2634" s="1">
        <v>45759</v>
      </c>
      <c r="B2634" s="2" t="s">
        <v>19</v>
      </c>
      <c r="C2634" s="2" t="s">
        <v>11</v>
      </c>
      <c r="D2634" s="2" t="s">
        <v>12</v>
      </c>
      <c r="E2634" s="2" t="s">
        <v>18</v>
      </c>
      <c r="F2634">
        <v>196</v>
      </c>
      <c r="G2634">
        <v>478</v>
      </c>
      <c r="H2634">
        <v>93688</v>
      </c>
      <c r="I2634">
        <v>14958.987499999999</v>
      </c>
      <c r="J2634" s="2" t="s">
        <v>39</v>
      </c>
    </row>
    <row r="2635" spans="1:10" x14ac:dyDescent="0.35">
      <c r="A2635" s="1">
        <v>45759</v>
      </c>
      <c r="B2635" s="2" t="s">
        <v>36</v>
      </c>
      <c r="C2635" s="2" t="s">
        <v>23</v>
      </c>
      <c r="D2635" s="2" t="s">
        <v>12</v>
      </c>
      <c r="E2635" s="2" t="s">
        <v>32</v>
      </c>
      <c r="F2635">
        <v>664</v>
      </c>
      <c r="G2635">
        <v>426</v>
      </c>
      <c r="H2635">
        <v>282864</v>
      </c>
      <c r="I2635">
        <v>40353.881200000003</v>
      </c>
      <c r="J2635" s="2" t="s">
        <v>39</v>
      </c>
    </row>
    <row r="2636" spans="1:10" x14ac:dyDescent="0.35">
      <c r="A2636" s="1">
        <v>45760</v>
      </c>
      <c r="B2636" s="2" t="s">
        <v>31</v>
      </c>
      <c r="C2636" s="2" t="s">
        <v>27</v>
      </c>
      <c r="D2636" s="2" t="s">
        <v>30</v>
      </c>
      <c r="E2636" s="2" t="s">
        <v>35</v>
      </c>
      <c r="F2636">
        <v>178</v>
      </c>
      <c r="G2636">
        <v>303</v>
      </c>
      <c r="H2636">
        <v>53934</v>
      </c>
      <c r="I2636">
        <v>4911.0510000000004</v>
      </c>
      <c r="J2636" s="2" t="s">
        <v>39</v>
      </c>
    </row>
    <row r="2637" spans="1:10" x14ac:dyDescent="0.35">
      <c r="A2637" s="1">
        <v>45760</v>
      </c>
      <c r="B2637" s="2" t="s">
        <v>26</v>
      </c>
      <c r="C2637" s="2" t="s">
        <v>20</v>
      </c>
      <c r="D2637" s="2" t="s">
        <v>12</v>
      </c>
      <c r="E2637" s="2" t="s">
        <v>28</v>
      </c>
      <c r="F2637">
        <v>626</v>
      </c>
      <c r="G2637">
        <v>223</v>
      </c>
      <c r="H2637">
        <v>139598</v>
      </c>
      <c r="I2637">
        <v>26551.151399999999</v>
      </c>
      <c r="J2637" s="2" t="s">
        <v>39</v>
      </c>
    </row>
    <row r="2638" spans="1:10" x14ac:dyDescent="0.35">
      <c r="A2638" s="1">
        <v>45761</v>
      </c>
      <c r="B2638" s="2" t="s">
        <v>19</v>
      </c>
      <c r="C2638" s="2" t="s">
        <v>16</v>
      </c>
      <c r="D2638" s="2" t="s">
        <v>21</v>
      </c>
      <c r="E2638" s="2" t="s">
        <v>28</v>
      </c>
      <c r="F2638">
        <v>136</v>
      </c>
      <c r="G2638">
        <v>208</v>
      </c>
      <c r="H2638">
        <v>28288</v>
      </c>
      <c r="I2638">
        <v>5863.0353999999998</v>
      </c>
      <c r="J2638" s="2" t="s">
        <v>39</v>
      </c>
    </row>
    <row r="2639" spans="1:10" x14ac:dyDescent="0.35">
      <c r="A2639" s="1">
        <v>45762</v>
      </c>
      <c r="B2639" s="2" t="s">
        <v>15</v>
      </c>
      <c r="C2639" s="2" t="s">
        <v>27</v>
      </c>
      <c r="D2639" s="2" t="s">
        <v>21</v>
      </c>
      <c r="E2639" s="2" t="s">
        <v>24</v>
      </c>
      <c r="F2639">
        <v>216</v>
      </c>
      <c r="G2639">
        <v>265</v>
      </c>
      <c r="H2639">
        <v>57240</v>
      </c>
      <c r="I2639">
        <v>10222.0309</v>
      </c>
      <c r="J2639" s="2" t="s">
        <v>39</v>
      </c>
    </row>
    <row r="2640" spans="1:10" x14ac:dyDescent="0.35">
      <c r="A2640" s="1">
        <v>45762</v>
      </c>
      <c r="B2640" s="2" t="s">
        <v>31</v>
      </c>
      <c r="C2640" s="2" t="s">
        <v>23</v>
      </c>
      <c r="D2640" s="2" t="s">
        <v>12</v>
      </c>
      <c r="E2640" s="2" t="s">
        <v>33</v>
      </c>
      <c r="F2640">
        <v>134</v>
      </c>
      <c r="G2640">
        <v>401</v>
      </c>
      <c r="H2640">
        <v>53734</v>
      </c>
      <c r="I2640">
        <v>13036.936900000001</v>
      </c>
      <c r="J2640" s="2" t="s">
        <v>39</v>
      </c>
    </row>
    <row r="2641" spans="1:10" x14ac:dyDescent="0.35">
      <c r="A2641" s="1">
        <v>45762</v>
      </c>
      <c r="B2641" s="2" t="s">
        <v>31</v>
      </c>
      <c r="C2641" s="2" t="s">
        <v>20</v>
      </c>
      <c r="D2641" s="2" t="s">
        <v>30</v>
      </c>
      <c r="E2641" s="2" t="s">
        <v>35</v>
      </c>
      <c r="F2641">
        <v>690</v>
      </c>
      <c r="G2641">
        <v>125</v>
      </c>
      <c r="H2641">
        <v>86250</v>
      </c>
      <c r="I2641">
        <v>13208.225399999999</v>
      </c>
      <c r="J2641" s="2" t="s">
        <v>39</v>
      </c>
    </row>
    <row r="2642" spans="1:10" x14ac:dyDescent="0.35">
      <c r="A2642" s="1">
        <v>45762</v>
      </c>
      <c r="B2642" s="2" t="s">
        <v>25</v>
      </c>
      <c r="C2642" s="2" t="s">
        <v>16</v>
      </c>
      <c r="D2642" s="2" t="s">
        <v>12</v>
      </c>
      <c r="E2642" s="2" t="s">
        <v>24</v>
      </c>
      <c r="F2642">
        <v>296</v>
      </c>
      <c r="G2642">
        <v>324</v>
      </c>
      <c r="H2642">
        <v>95904</v>
      </c>
      <c r="I2642">
        <v>19911.316800000001</v>
      </c>
      <c r="J2642" s="2" t="s">
        <v>39</v>
      </c>
    </row>
    <row r="2643" spans="1:10" x14ac:dyDescent="0.35">
      <c r="A2643" s="1">
        <v>45762</v>
      </c>
      <c r="B2643" s="2" t="s">
        <v>10</v>
      </c>
      <c r="C2643" s="2" t="s">
        <v>29</v>
      </c>
      <c r="D2643" s="2" t="s">
        <v>17</v>
      </c>
      <c r="E2643" s="2" t="s">
        <v>24</v>
      </c>
      <c r="F2643">
        <v>271</v>
      </c>
      <c r="G2643">
        <v>294</v>
      </c>
      <c r="H2643">
        <v>79674</v>
      </c>
      <c r="I2643">
        <v>14739.567999999999</v>
      </c>
      <c r="J2643" s="2" t="s">
        <v>39</v>
      </c>
    </row>
    <row r="2644" spans="1:10" x14ac:dyDescent="0.35">
      <c r="A2644" s="1">
        <v>45763</v>
      </c>
      <c r="B2644" s="2" t="s">
        <v>36</v>
      </c>
      <c r="C2644" s="2" t="s">
        <v>16</v>
      </c>
      <c r="D2644" s="2" t="s">
        <v>17</v>
      </c>
      <c r="E2644" s="2" t="s">
        <v>33</v>
      </c>
      <c r="F2644">
        <v>239</v>
      </c>
      <c r="G2644">
        <v>365</v>
      </c>
      <c r="H2644">
        <v>87235</v>
      </c>
      <c r="I2644">
        <v>15038.065000000001</v>
      </c>
      <c r="J2644" s="2" t="s">
        <v>39</v>
      </c>
    </row>
    <row r="2645" spans="1:10" x14ac:dyDescent="0.35">
      <c r="A2645" s="1">
        <v>45763</v>
      </c>
      <c r="B2645" s="2" t="s">
        <v>10</v>
      </c>
      <c r="C2645" s="2" t="s">
        <v>29</v>
      </c>
      <c r="D2645" s="2" t="s">
        <v>12</v>
      </c>
      <c r="E2645" s="2" t="s">
        <v>28</v>
      </c>
      <c r="F2645">
        <v>562</v>
      </c>
      <c r="G2645">
        <v>107</v>
      </c>
      <c r="H2645">
        <v>60134</v>
      </c>
      <c r="I2645">
        <v>5207.4862999999996</v>
      </c>
      <c r="J2645" s="2" t="s">
        <v>39</v>
      </c>
    </row>
    <row r="2646" spans="1:10" x14ac:dyDescent="0.35">
      <c r="A2646" s="1">
        <v>45763</v>
      </c>
      <c r="B2646" s="2" t="s">
        <v>26</v>
      </c>
      <c r="C2646" s="2" t="s">
        <v>16</v>
      </c>
      <c r="D2646" s="2" t="s">
        <v>30</v>
      </c>
      <c r="E2646" s="2" t="s">
        <v>13</v>
      </c>
      <c r="F2646">
        <v>877</v>
      </c>
      <c r="G2646">
        <v>477</v>
      </c>
      <c r="H2646">
        <v>418329</v>
      </c>
      <c r="I2646">
        <v>57140.873299999999</v>
      </c>
      <c r="J2646" s="2" t="s">
        <v>39</v>
      </c>
    </row>
    <row r="2647" spans="1:10" x14ac:dyDescent="0.35">
      <c r="A2647" s="1">
        <v>45763</v>
      </c>
      <c r="B2647" s="2" t="s">
        <v>10</v>
      </c>
      <c r="C2647" s="2" t="s">
        <v>11</v>
      </c>
      <c r="D2647" s="2" t="s">
        <v>17</v>
      </c>
      <c r="E2647" s="2" t="s">
        <v>22</v>
      </c>
      <c r="F2647">
        <v>442</v>
      </c>
      <c r="G2647">
        <v>108</v>
      </c>
      <c r="H2647">
        <v>47736</v>
      </c>
      <c r="I2647">
        <v>5558.2737999999999</v>
      </c>
      <c r="J2647" s="2" t="s">
        <v>39</v>
      </c>
    </row>
    <row r="2648" spans="1:10" x14ac:dyDescent="0.35">
      <c r="A2648" s="1">
        <v>45763</v>
      </c>
      <c r="B2648" s="2" t="s">
        <v>31</v>
      </c>
      <c r="C2648" s="2" t="s">
        <v>20</v>
      </c>
      <c r="D2648" s="2" t="s">
        <v>21</v>
      </c>
      <c r="E2648" s="2" t="s">
        <v>22</v>
      </c>
      <c r="F2648">
        <v>778</v>
      </c>
      <c r="G2648">
        <v>431</v>
      </c>
      <c r="H2648">
        <v>335318</v>
      </c>
      <c r="I2648">
        <v>80560.097500000003</v>
      </c>
      <c r="J2648" s="2" t="s">
        <v>39</v>
      </c>
    </row>
    <row r="2649" spans="1:10" x14ac:dyDescent="0.35">
      <c r="A2649" s="1">
        <v>45763</v>
      </c>
      <c r="B2649" s="2" t="s">
        <v>36</v>
      </c>
      <c r="C2649" s="2" t="s">
        <v>16</v>
      </c>
      <c r="D2649" s="2" t="s">
        <v>30</v>
      </c>
      <c r="E2649" s="2" t="s">
        <v>28</v>
      </c>
      <c r="F2649">
        <v>449</v>
      </c>
      <c r="G2649">
        <v>146</v>
      </c>
      <c r="H2649">
        <v>65554</v>
      </c>
      <c r="I2649">
        <v>13736.592500000001</v>
      </c>
      <c r="J2649" s="2" t="s">
        <v>39</v>
      </c>
    </row>
    <row r="2650" spans="1:10" x14ac:dyDescent="0.35">
      <c r="A2650" s="1">
        <v>45764</v>
      </c>
      <c r="B2650" s="2" t="s">
        <v>15</v>
      </c>
      <c r="C2650" s="2" t="s">
        <v>20</v>
      </c>
      <c r="D2650" s="2" t="s">
        <v>30</v>
      </c>
      <c r="E2650" s="2" t="s">
        <v>18</v>
      </c>
      <c r="F2650">
        <v>447</v>
      </c>
      <c r="G2650">
        <v>463</v>
      </c>
      <c r="H2650">
        <v>206961</v>
      </c>
      <c r="I2650">
        <v>27760.368600000002</v>
      </c>
      <c r="J2650" s="2" t="s">
        <v>39</v>
      </c>
    </row>
    <row r="2651" spans="1:10" x14ac:dyDescent="0.35">
      <c r="A2651" s="1">
        <v>45764</v>
      </c>
      <c r="B2651" s="2" t="s">
        <v>36</v>
      </c>
      <c r="C2651" s="2" t="s">
        <v>20</v>
      </c>
      <c r="D2651" s="2" t="s">
        <v>30</v>
      </c>
      <c r="E2651" s="2" t="s">
        <v>18</v>
      </c>
      <c r="F2651">
        <v>242</v>
      </c>
      <c r="G2651">
        <v>344</v>
      </c>
      <c r="H2651">
        <v>83248</v>
      </c>
      <c r="I2651">
        <v>17291.565699999999</v>
      </c>
      <c r="J2651" s="2" t="s">
        <v>39</v>
      </c>
    </row>
    <row r="2652" spans="1:10" x14ac:dyDescent="0.35">
      <c r="A2652" s="1">
        <v>45764</v>
      </c>
      <c r="B2652" s="2" t="s">
        <v>25</v>
      </c>
      <c r="C2652" s="2" t="s">
        <v>23</v>
      </c>
      <c r="D2652" s="2" t="s">
        <v>12</v>
      </c>
      <c r="E2652" s="2" t="s">
        <v>13</v>
      </c>
      <c r="F2652">
        <v>238</v>
      </c>
      <c r="G2652">
        <v>205</v>
      </c>
      <c r="H2652">
        <v>48790</v>
      </c>
      <c r="I2652">
        <v>5276.4335000000001</v>
      </c>
      <c r="J2652" s="2" t="s">
        <v>39</v>
      </c>
    </row>
    <row r="2653" spans="1:10" x14ac:dyDescent="0.35">
      <c r="A2653" s="1">
        <v>45764</v>
      </c>
      <c r="B2653" s="2" t="s">
        <v>10</v>
      </c>
      <c r="C2653" s="2" t="s">
        <v>20</v>
      </c>
      <c r="D2653" s="2" t="s">
        <v>21</v>
      </c>
      <c r="E2653" s="2" t="s">
        <v>28</v>
      </c>
      <c r="F2653">
        <v>862</v>
      </c>
      <c r="G2653">
        <v>255</v>
      </c>
      <c r="H2653">
        <v>219810</v>
      </c>
      <c r="I2653">
        <v>46301.881500000003</v>
      </c>
      <c r="J2653" s="2" t="s">
        <v>39</v>
      </c>
    </row>
    <row r="2654" spans="1:10" x14ac:dyDescent="0.35">
      <c r="A2654" s="1">
        <v>45766</v>
      </c>
      <c r="B2654" s="2" t="s">
        <v>25</v>
      </c>
      <c r="C2654" s="2" t="s">
        <v>16</v>
      </c>
      <c r="D2654" s="2" t="s">
        <v>17</v>
      </c>
      <c r="E2654" s="2" t="s">
        <v>22</v>
      </c>
      <c r="F2654">
        <v>118</v>
      </c>
      <c r="G2654">
        <v>148</v>
      </c>
      <c r="H2654">
        <v>17464</v>
      </c>
      <c r="I2654">
        <v>3266.2377000000001</v>
      </c>
      <c r="J2654" s="2" t="s">
        <v>39</v>
      </c>
    </row>
    <row r="2655" spans="1:10" x14ac:dyDescent="0.35">
      <c r="A2655" s="1">
        <v>45766</v>
      </c>
      <c r="B2655" s="2" t="s">
        <v>34</v>
      </c>
      <c r="C2655" s="2" t="s">
        <v>20</v>
      </c>
      <c r="D2655" s="2" t="s">
        <v>12</v>
      </c>
      <c r="E2655" s="2" t="s">
        <v>35</v>
      </c>
      <c r="F2655">
        <v>591</v>
      </c>
      <c r="G2655">
        <v>312</v>
      </c>
      <c r="H2655">
        <v>184392</v>
      </c>
      <c r="I2655">
        <v>31616.540799999999</v>
      </c>
      <c r="J2655" s="2" t="s">
        <v>39</v>
      </c>
    </row>
    <row r="2656" spans="1:10" x14ac:dyDescent="0.35">
      <c r="A2656" s="1">
        <v>45766</v>
      </c>
      <c r="B2656" s="2" t="s">
        <v>36</v>
      </c>
      <c r="C2656" s="2" t="s">
        <v>16</v>
      </c>
      <c r="D2656" s="2" t="s">
        <v>17</v>
      </c>
      <c r="E2656" s="2" t="s">
        <v>35</v>
      </c>
      <c r="F2656">
        <v>231</v>
      </c>
      <c r="G2656">
        <v>441</v>
      </c>
      <c r="H2656">
        <v>101871</v>
      </c>
      <c r="I2656">
        <v>20288.077700000002</v>
      </c>
      <c r="J2656" s="2" t="s">
        <v>39</v>
      </c>
    </row>
    <row r="2657" spans="1:10" x14ac:dyDescent="0.35">
      <c r="A2657" s="1">
        <v>45767</v>
      </c>
      <c r="B2657" s="2" t="s">
        <v>31</v>
      </c>
      <c r="C2657" s="2" t="s">
        <v>16</v>
      </c>
      <c r="D2657" s="2" t="s">
        <v>30</v>
      </c>
      <c r="E2657" s="2" t="s">
        <v>33</v>
      </c>
      <c r="F2657">
        <v>996</v>
      </c>
      <c r="G2657">
        <v>464</v>
      </c>
      <c r="H2657">
        <v>462144</v>
      </c>
      <c r="I2657">
        <v>55130.196100000001</v>
      </c>
      <c r="J2657" s="2" t="s">
        <v>39</v>
      </c>
    </row>
    <row r="2658" spans="1:10" x14ac:dyDescent="0.35">
      <c r="A2658" s="1">
        <v>45767</v>
      </c>
      <c r="B2658" s="2" t="s">
        <v>15</v>
      </c>
      <c r="C2658" s="2" t="s">
        <v>16</v>
      </c>
      <c r="D2658" s="2" t="s">
        <v>17</v>
      </c>
      <c r="E2658" s="2" t="s">
        <v>24</v>
      </c>
      <c r="F2658">
        <v>946</v>
      </c>
      <c r="G2658">
        <v>136</v>
      </c>
      <c r="H2658">
        <v>128656</v>
      </c>
      <c r="I2658">
        <v>10949.901</v>
      </c>
      <c r="J2658" s="2" t="s">
        <v>39</v>
      </c>
    </row>
    <row r="2659" spans="1:10" x14ac:dyDescent="0.35">
      <c r="A2659" s="1">
        <v>45768</v>
      </c>
      <c r="B2659" s="2" t="s">
        <v>19</v>
      </c>
      <c r="C2659" s="2" t="s">
        <v>11</v>
      </c>
      <c r="D2659" s="2" t="s">
        <v>17</v>
      </c>
      <c r="E2659" s="2" t="s">
        <v>24</v>
      </c>
      <c r="F2659">
        <v>819</v>
      </c>
      <c r="G2659">
        <v>419</v>
      </c>
      <c r="H2659">
        <v>343161</v>
      </c>
      <c r="I2659">
        <v>52252.259400000003</v>
      </c>
      <c r="J2659" s="2" t="s">
        <v>39</v>
      </c>
    </row>
    <row r="2660" spans="1:10" x14ac:dyDescent="0.35">
      <c r="A2660" s="1">
        <v>45768</v>
      </c>
      <c r="B2660" s="2" t="s">
        <v>19</v>
      </c>
      <c r="C2660" s="2" t="s">
        <v>16</v>
      </c>
      <c r="D2660" s="2" t="s">
        <v>17</v>
      </c>
      <c r="E2660" s="2" t="s">
        <v>18</v>
      </c>
      <c r="F2660">
        <v>402</v>
      </c>
      <c r="G2660">
        <v>212</v>
      </c>
      <c r="H2660">
        <v>85224</v>
      </c>
      <c r="I2660">
        <v>10932.9501</v>
      </c>
      <c r="J2660" s="2" t="s">
        <v>39</v>
      </c>
    </row>
    <row r="2661" spans="1:10" x14ac:dyDescent="0.35">
      <c r="A2661" s="1">
        <v>45768</v>
      </c>
      <c r="B2661" s="2" t="s">
        <v>25</v>
      </c>
      <c r="C2661" s="2" t="s">
        <v>27</v>
      </c>
      <c r="D2661" s="2" t="s">
        <v>30</v>
      </c>
      <c r="E2661" s="2" t="s">
        <v>24</v>
      </c>
      <c r="F2661">
        <v>863</v>
      </c>
      <c r="G2661">
        <v>370</v>
      </c>
      <c r="H2661">
        <v>319310</v>
      </c>
      <c r="I2661">
        <v>28404.041099999999</v>
      </c>
      <c r="J2661" s="2" t="s">
        <v>39</v>
      </c>
    </row>
    <row r="2662" spans="1:10" x14ac:dyDescent="0.35">
      <c r="A2662" s="1">
        <v>45768</v>
      </c>
      <c r="B2662" s="2" t="s">
        <v>26</v>
      </c>
      <c r="C2662" s="2" t="s">
        <v>27</v>
      </c>
      <c r="D2662" s="2" t="s">
        <v>17</v>
      </c>
      <c r="E2662" s="2" t="s">
        <v>33</v>
      </c>
      <c r="F2662">
        <v>230</v>
      </c>
      <c r="G2662">
        <v>370</v>
      </c>
      <c r="H2662">
        <v>85100</v>
      </c>
      <c r="I2662">
        <v>6903.3723</v>
      </c>
      <c r="J2662" s="2" t="s">
        <v>39</v>
      </c>
    </row>
    <row r="2663" spans="1:10" x14ac:dyDescent="0.35">
      <c r="A2663" s="1">
        <v>45769</v>
      </c>
      <c r="B2663" s="2" t="s">
        <v>25</v>
      </c>
      <c r="C2663" s="2" t="s">
        <v>20</v>
      </c>
      <c r="D2663" s="2" t="s">
        <v>30</v>
      </c>
      <c r="E2663" s="2" t="s">
        <v>22</v>
      </c>
      <c r="F2663">
        <v>676</v>
      </c>
      <c r="G2663">
        <v>189</v>
      </c>
      <c r="H2663">
        <v>127764</v>
      </c>
      <c r="I2663">
        <v>15275.5142</v>
      </c>
      <c r="J2663" s="2" t="s">
        <v>39</v>
      </c>
    </row>
    <row r="2664" spans="1:10" x14ac:dyDescent="0.35">
      <c r="A2664" s="1">
        <v>45770</v>
      </c>
      <c r="B2664" s="2" t="s">
        <v>19</v>
      </c>
      <c r="C2664" s="2" t="s">
        <v>23</v>
      </c>
      <c r="D2664" s="2" t="s">
        <v>12</v>
      </c>
      <c r="E2664" s="2" t="s">
        <v>18</v>
      </c>
      <c r="F2664">
        <v>254</v>
      </c>
      <c r="G2664">
        <v>386</v>
      </c>
      <c r="H2664">
        <v>98044</v>
      </c>
      <c r="I2664">
        <v>20140.211899999998</v>
      </c>
      <c r="J2664" s="2" t="s">
        <v>39</v>
      </c>
    </row>
    <row r="2665" spans="1:10" x14ac:dyDescent="0.35">
      <c r="A2665" s="1">
        <v>45770</v>
      </c>
      <c r="B2665" s="2" t="s">
        <v>34</v>
      </c>
      <c r="C2665" s="2" t="s">
        <v>23</v>
      </c>
      <c r="D2665" s="2" t="s">
        <v>12</v>
      </c>
      <c r="E2665" s="2" t="s">
        <v>35</v>
      </c>
      <c r="F2665">
        <v>257</v>
      </c>
      <c r="G2665">
        <v>108</v>
      </c>
      <c r="H2665">
        <v>27756</v>
      </c>
      <c r="I2665">
        <v>5515.8671999999997</v>
      </c>
      <c r="J2665" s="2" t="s">
        <v>39</v>
      </c>
    </row>
    <row r="2666" spans="1:10" x14ac:dyDescent="0.35">
      <c r="A2666" s="1">
        <v>45770</v>
      </c>
      <c r="B2666" s="2" t="s">
        <v>19</v>
      </c>
      <c r="C2666" s="2" t="s">
        <v>23</v>
      </c>
      <c r="D2666" s="2" t="s">
        <v>12</v>
      </c>
      <c r="E2666" s="2" t="s">
        <v>33</v>
      </c>
      <c r="F2666">
        <v>418</v>
      </c>
      <c r="G2666">
        <v>220</v>
      </c>
      <c r="H2666">
        <v>91960</v>
      </c>
      <c r="I2666">
        <v>20079.1322</v>
      </c>
      <c r="J2666" s="2" t="s">
        <v>39</v>
      </c>
    </row>
    <row r="2667" spans="1:10" x14ac:dyDescent="0.35">
      <c r="A2667" s="1">
        <v>45771</v>
      </c>
      <c r="B2667" s="2" t="s">
        <v>10</v>
      </c>
      <c r="C2667" s="2" t="s">
        <v>27</v>
      </c>
      <c r="D2667" s="2" t="s">
        <v>21</v>
      </c>
      <c r="E2667" s="2" t="s">
        <v>22</v>
      </c>
      <c r="F2667">
        <v>954</v>
      </c>
      <c r="G2667">
        <v>431</v>
      </c>
      <c r="H2667">
        <v>411174</v>
      </c>
      <c r="I2667">
        <v>63497.760300000002</v>
      </c>
      <c r="J2667" s="2" t="s">
        <v>39</v>
      </c>
    </row>
    <row r="2668" spans="1:10" x14ac:dyDescent="0.35">
      <c r="A2668" s="1">
        <v>45771</v>
      </c>
      <c r="B2668" s="2" t="s">
        <v>34</v>
      </c>
      <c r="C2668" s="2" t="s">
        <v>23</v>
      </c>
      <c r="D2668" s="2" t="s">
        <v>12</v>
      </c>
      <c r="E2668" s="2" t="s">
        <v>13</v>
      </c>
      <c r="F2668">
        <v>868</v>
      </c>
      <c r="G2668">
        <v>129</v>
      </c>
      <c r="H2668">
        <v>111972</v>
      </c>
      <c r="I2668">
        <v>10599.8567</v>
      </c>
      <c r="J2668" s="2" t="s">
        <v>39</v>
      </c>
    </row>
    <row r="2669" spans="1:10" x14ac:dyDescent="0.35">
      <c r="A2669" s="1">
        <v>45771</v>
      </c>
      <c r="B2669" s="2" t="s">
        <v>31</v>
      </c>
      <c r="C2669" s="2" t="s">
        <v>11</v>
      </c>
      <c r="D2669" s="2" t="s">
        <v>21</v>
      </c>
      <c r="E2669" s="2" t="s">
        <v>35</v>
      </c>
      <c r="F2669">
        <v>357</v>
      </c>
      <c r="G2669">
        <v>313</v>
      </c>
      <c r="H2669">
        <v>111741</v>
      </c>
      <c r="I2669">
        <v>25792.586500000001</v>
      </c>
      <c r="J2669" s="2" t="s">
        <v>39</v>
      </c>
    </row>
    <row r="2670" spans="1:10" x14ac:dyDescent="0.35">
      <c r="A2670" s="1">
        <v>45772</v>
      </c>
      <c r="B2670" s="2" t="s">
        <v>26</v>
      </c>
      <c r="C2670" s="2" t="s">
        <v>11</v>
      </c>
      <c r="D2670" s="2" t="s">
        <v>21</v>
      </c>
      <c r="E2670" s="2" t="s">
        <v>33</v>
      </c>
      <c r="F2670">
        <v>441</v>
      </c>
      <c r="G2670">
        <v>252</v>
      </c>
      <c r="H2670">
        <v>111132</v>
      </c>
      <c r="I2670">
        <v>12178.8102</v>
      </c>
      <c r="J2670" s="2" t="s">
        <v>39</v>
      </c>
    </row>
    <row r="2671" spans="1:10" x14ac:dyDescent="0.35">
      <c r="A2671" s="1">
        <v>45772</v>
      </c>
      <c r="B2671" s="2" t="s">
        <v>26</v>
      </c>
      <c r="C2671" s="2" t="s">
        <v>23</v>
      </c>
      <c r="D2671" s="2" t="s">
        <v>30</v>
      </c>
      <c r="E2671" s="2" t="s">
        <v>24</v>
      </c>
      <c r="F2671">
        <v>139</v>
      </c>
      <c r="G2671">
        <v>476</v>
      </c>
      <c r="H2671">
        <v>66164</v>
      </c>
      <c r="I2671">
        <v>11926.4179</v>
      </c>
      <c r="J2671" s="2" t="s">
        <v>39</v>
      </c>
    </row>
    <row r="2672" spans="1:10" x14ac:dyDescent="0.35">
      <c r="A2672" s="1">
        <v>45772</v>
      </c>
      <c r="B2672" s="2" t="s">
        <v>34</v>
      </c>
      <c r="C2672" s="2" t="s">
        <v>23</v>
      </c>
      <c r="D2672" s="2" t="s">
        <v>21</v>
      </c>
      <c r="E2672" s="2" t="s">
        <v>33</v>
      </c>
      <c r="F2672">
        <v>219</v>
      </c>
      <c r="G2672">
        <v>270</v>
      </c>
      <c r="H2672">
        <v>59130</v>
      </c>
      <c r="I2672">
        <v>10437.5916</v>
      </c>
      <c r="J2672" s="2" t="s">
        <v>39</v>
      </c>
    </row>
    <row r="2673" spans="1:10" x14ac:dyDescent="0.35">
      <c r="A2673" s="1">
        <v>45773</v>
      </c>
      <c r="B2673" s="2" t="s">
        <v>19</v>
      </c>
      <c r="C2673" s="2" t="s">
        <v>20</v>
      </c>
      <c r="D2673" s="2" t="s">
        <v>12</v>
      </c>
      <c r="E2673" s="2" t="s">
        <v>33</v>
      </c>
      <c r="F2673">
        <v>193</v>
      </c>
      <c r="G2673">
        <v>341</v>
      </c>
      <c r="H2673">
        <v>65813</v>
      </c>
      <c r="I2673">
        <v>9554.0586000000003</v>
      </c>
      <c r="J2673" s="2" t="s">
        <v>39</v>
      </c>
    </row>
    <row r="2674" spans="1:10" x14ac:dyDescent="0.35">
      <c r="A2674" s="1">
        <v>45773</v>
      </c>
      <c r="B2674" s="2" t="s">
        <v>26</v>
      </c>
      <c r="C2674" s="2" t="s">
        <v>27</v>
      </c>
      <c r="D2674" s="2" t="s">
        <v>12</v>
      </c>
      <c r="E2674" s="2" t="s">
        <v>22</v>
      </c>
      <c r="F2674">
        <v>51</v>
      </c>
      <c r="G2674">
        <v>422</v>
      </c>
      <c r="H2674">
        <v>21522</v>
      </c>
      <c r="I2674">
        <v>5181.67</v>
      </c>
      <c r="J2674" s="2" t="s">
        <v>39</v>
      </c>
    </row>
    <row r="2675" spans="1:10" x14ac:dyDescent="0.35">
      <c r="A2675" s="1">
        <v>45773</v>
      </c>
      <c r="B2675" s="2" t="s">
        <v>36</v>
      </c>
      <c r="C2675" s="2" t="s">
        <v>23</v>
      </c>
      <c r="D2675" s="2" t="s">
        <v>12</v>
      </c>
      <c r="E2675" s="2" t="s">
        <v>18</v>
      </c>
      <c r="F2675">
        <v>873</v>
      </c>
      <c r="G2675">
        <v>443</v>
      </c>
      <c r="H2675">
        <v>386739</v>
      </c>
      <c r="I2675">
        <v>93535.635299999994</v>
      </c>
      <c r="J2675" s="2" t="s">
        <v>39</v>
      </c>
    </row>
    <row r="2676" spans="1:10" x14ac:dyDescent="0.35">
      <c r="A2676" s="1">
        <v>45774</v>
      </c>
      <c r="B2676" s="2" t="s">
        <v>36</v>
      </c>
      <c r="C2676" s="2" t="s">
        <v>16</v>
      </c>
      <c r="D2676" s="2" t="s">
        <v>17</v>
      </c>
      <c r="E2676" s="2" t="s">
        <v>28</v>
      </c>
      <c r="F2676">
        <v>714</v>
      </c>
      <c r="G2676">
        <v>236</v>
      </c>
      <c r="H2676">
        <v>168504</v>
      </c>
      <c r="I2676">
        <v>39956.706299999998</v>
      </c>
      <c r="J2676" s="2" t="s">
        <v>39</v>
      </c>
    </row>
    <row r="2677" spans="1:10" x14ac:dyDescent="0.35">
      <c r="A2677" s="1">
        <v>45774</v>
      </c>
      <c r="B2677" s="2" t="s">
        <v>26</v>
      </c>
      <c r="C2677" s="2" t="s">
        <v>11</v>
      </c>
      <c r="D2677" s="2" t="s">
        <v>12</v>
      </c>
      <c r="E2677" s="2" t="s">
        <v>35</v>
      </c>
      <c r="F2677">
        <v>826</v>
      </c>
      <c r="G2677">
        <v>388</v>
      </c>
      <c r="H2677">
        <v>320488</v>
      </c>
      <c r="I2677">
        <v>37521.344700000001</v>
      </c>
      <c r="J2677" s="2" t="s">
        <v>39</v>
      </c>
    </row>
    <row r="2678" spans="1:10" x14ac:dyDescent="0.35">
      <c r="A2678" s="1">
        <v>45774</v>
      </c>
      <c r="B2678" s="2" t="s">
        <v>19</v>
      </c>
      <c r="C2678" s="2" t="s">
        <v>11</v>
      </c>
      <c r="D2678" s="2" t="s">
        <v>21</v>
      </c>
      <c r="E2678" s="2" t="s">
        <v>24</v>
      </c>
      <c r="F2678">
        <v>420</v>
      </c>
      <c r="G2678">
        <v>311</v>
      </c>
      <c r="H2678">
        <v>130620</v>
      </c>
      <c r="I2678">
        <v>13858.0623</v>
      </c>
      <c r="J2678" s="2" t="s">
        <v>39</v>
      </c>
    </row>
    <row r="2679" spans="1:10" x14ac:dyDescent="0.35">
      <c r="A2679" s="1">
        <v>45774</v>
      </c>
      <c r="B2679" s="2" t="s">
        <v>34</v>
      </c>
      <c r="C2679" s="2" t="s">
        <v>16</v>
      </c>
      <c r="D2679" s="2" t="s">
        <v>30</v>
      </c>
      <c r="E2679" s="2" t="s">
        <v>32</v>
      </c>
      <c r="F2679">
        <v>723</v>
      </c>
      <c r="G2679">
        <v>151</v>
      </c>
      <c r="H2679">
        <v>109173</v>
      </c>
      <c r="I2679">
        <v>25934.492999999999</v>
      </c>
      <c r="J2679" s="2" t="s">
        <v>39</v>
      </c>
    </row>
    <row r="2680" spans="1:10" x14ac:dyDescent="0.35">
      <c r="A2680" s="1">
        <v>45775</v>
      </c>
      <c r="B2680" s="2" t="s">
        <v>19</v>
      </c>
      <c r="C2680" s="2" t="s">
        <v>20</v>
      </c>
      <c r="D2680" s="2" t="s">
        <v>17</v>
      </c>
      <c r="E2680" s="2" t="s">
        <v>22</v>
      </c>
      <c r="F2680">
        <v>296</v>
      </c>
      <c r="G2680">
        <v>397</v>
      </c>
      <c r="H2680">
        <v>117512</v>
      </c>
      <c r="I2680">
        <v>17021.5828</v>
      </c>
      <c r="J2680" s="2" t="s">
        <v>39</v>
      </c>
    </row>
    <row r="2681" spans="1:10" x14ac:dyDescent="0.35">
      <c r="A2681" s="1">
        <v>45775</v>
      </c>
      <c r="B2681" s="2" t="s">
        <v>10</v>
      </c>
      <c r="C2681" s="2" t="s">
        <v>23</v>
      </c>
      <c r="D2681" s="2" t="s">
        <v>30</v>
      </c>
      <c r="E2681" s="2" t="s">
        <v>22</v>
      </c>
      <c r="F2681">
        <v>735</v>
      </c>
      <c r="G2681">
        <v>242</v>
      </c>
      <c r="H2681">
        <v>177870</v>
      </c>
      <c r="I2681">
        <v>15214.7019</v>
      </c>
      <c r="J2681" s="2" t="s">
        <v>39</v>
      </c>
    </row>
    <row r="2682" spans="1:10" x14ac:dyDescent="0.35">
      <c r="A2682" s="1">
        <v>45775</v>
      </c>
      <c r="B2682" s="2" t="s">
        <v>34</v>
      </c>
      <c r="C2682" s="2" t="s">
        <v>23</v>
      </c>
      <c r="D2682" s="2" t="s">
        <v>12</v>
      </c>
      <c r="E2682" s="2" t="s">
        <v>32</v>
      </c>
      <c r="F2682">
        <v>260</v>
      </c>
      <c r="G2682">
        <v>229</v>
      </c>
      <c r="H2682">
        <v>59540</v>
      </c>
      <c r="I2682">
        <v>11863.8429</v>
      </c>
      <c r="J2682" s="2" t="s">
        <v>39</v>
      </c>
    </row>
    <row r="2683" spans="1:10" x14ac:dyDescent="0.35">
      <c r="A2683" s="1">
        <v>45776</v>
      </c>
      <c r="B2683" s="2" t="s">
        <v>34</v>
      </c>
      <c r="C2683" s="2" t="s">
        <v>27</v>
      </c>
      <c r="D2683" s="2" t="s">
        <v>30</v>
      </c>
      <c r="E2683" s="2" t="s">
        <v>35</v>
      </c>
      <c r="F2683">
        <v>722</v>
      </c>
      <c r="G2683">
        <v>293</v>
      </c>
      <c r="H2683">
        <v>211546</v>
      </c>
      <c r="I2683">
        <v>47856.036599999999</v>
      </c>
      <c r="J2683" s="2" t="s">
        <v>39</v>
      </c>
    </row>
    <row r="2684" spans="1:10" x14ac:dyDescent="0.35">
      <c r="A2684" s="1">
        <v>45776</v>
      </c>
      <c r="B2684" s="2" t="s">
        <v>10</v>
      </c>
      <c r="C2684" s="2" t="s">
        <v>23</v>
      </c>
      <c r="D2684" s="2" t="s">
        <v>17</v>
      </c>
      <c r="E2684" s="2" t="s">
        <v>18</v>
      </c>
      <c r="F2684">
        <v>271</v>
      </c>
      <c r="G2684">
        <v>143</v>
      </c>
      <c r="H2684">
        <v>38753</v>
      </c>
      <c r="I2684">
        <v>5083.5331999999999</v>
      </c>
      <c r="J2684" s="2" t="s">
        <v>39</v>
      </c>
    </row>
    <row r="2685" spans="1:10" x14ac:dyDescent="0.35">
      <c r="A2685" s="1">
        <v>45776</v>
      </c>
      <c r="B2685" s="2" t="s">
        <v>26</v>
      </c>
      <c r="C2685" s="2" t="s">
        <v>20</v>
      </c>
      <c r="D2685" s="2" t="s">
        <v>17</v>
      </c>
      <c r="E2685" s="2" t="s">
        <v>24</v>
      </c>
      <c r="F2685">
        <v>751</v>
      </c>
      <c r="G2685">
        <v>292</v>
      </c>
      <c r="H2685">
        <v>219292</v>
      </c>
      <c r="I2685">
        <v>39426.671199999997</v>
      </c>
      <c r="J2685" s="2" t="s">
        <v>39</v>
      </c>
    </row>
    <row r="2686" spans="1:10" x14ac:dyDescent="0.35">
      <c r="A2686" s="1">
        <v>45777</v>
      </c>
      <c r="B2686" s="2" t="s">
        <v>31</v>
      </c>
      <c r="C2686" s="2" t="s">
        <v>16</v>
      </c>
      <c r="D2686" s="2" t="s">
        <v>12</v>
      </c>
      <c r="E2686" s="2" t="s">
        <v>24</v>
      </c>
      <c r="F2686">
        <v>712</v>
      </c>
      <c r="G2686">
        <v>345</v>
      </c>
      <c r="H2686">
        <v>245640</v>
      </c>
      <c r="I2686">
        <v>23913.1777</v>
      </c>
      <c r="J2686" s="2" t="s">
        <v>39</v>
      </c>
    </row>
    <row r="2687" spans="1:10" x14ac:dyDescent="0.35">
      <c r="A2687" s="1">
        <v>45777</v>
      </c>
      <c r="B2687" s="2" t="s">
        <v>15</v>
      </c>
      <c r="C2687" s="2" t="s">
        <v>11</v>
      </c>
      <c r="D2687" s="2" t="s">
        <v>12</v>
      </c>
      <c r="E2687" s="2" t="s">
        <v>24</v>
      </c>
      <c r="F2687">
        <v>628</v>
      </c>
      <c r="G2687">
        <v>454</v>
      </c>
      <c r="H2687">
        <v>285112</v>
      </c>
      <c r="I2687">
        <v>45133.481699999997</v>
      </c>
      <c r="J2687" s="2" t="s">
        <v>39</v>
      </c>
    </row>
    <row r="2688" spans="1:10" x14ac:dyDescent="0.35">
      <c r="A2688" s="1">
        <v>45777</v>
      </c>
      <c r="B2688" s="2" t="s">
        <v>34</v>
      </c>
      <c r="C2688" s="2" t="s">
        <v>11</v>
      </c>
      <c r="D2688" s="2" t="s">
        <v>12</v>
      </c>
      <c r="E2688" s="2" t="s">
        <v>32</v>
      </c>
      <c r="F2688">
        <v>766</v>
      </c>
      <c r="G2688">
        <v>383</v>
      </c>
      <c r="H2688">
        <v>293378</v>
      </c>
      <c r="I2688">
        <v>31222.361000000001</v>
      </c>
      <c r="J2688" s="2" t="s">
        <v>39</v>
      </c>
    </row>
    <row r="2689" spans="1:10" x14ac:dyDescent="0.35">
      <c r="A2689" s="1">
        <v>45777</v>
      </c>
      <c r="B2689" s="2" t="s">
        <v>10</v>
      </c>
      <c r="C2689" s="2" t="s">
        <v>23</v>
      </c>
      <c r="D2689" s="2" t="s">
        <v>12</v>
      </c>
      <c r="E2689" s="2" t="s">
        <v>28</v>
      </c>
      <c r="F2689">
        <v>767</v>
      </c>
      <c r="G2689">
        <v>202</v>
      </c>
      <c r="H2689">
        <v>154934</v>
      </c>
      <c r="I2689">
        <v>31651.2117</v>
      </c>
      <c r="J2689" s="2" t="s">
        <v>39</v>
      </c>
    </row>
    <row r="2690" spans="1:10" x14ac:dyDescent="0.35">
      <c r="A2690" s="1">
        <v>45778</v>
      </c>
      <c r="B2690" s="2" t="s">
        <v>31</v>
      </c>
      <c r="C2690" s="2" t="s">
        <v>29</v>
      </c>
      <c r="D2690" s="2" t="s">
        <v>21</v>
      </c>
      <c r="E2690" s="2" t="s">
        <v>22</v>
      </c>
      <c r="F2690">
        <v>831</v>
      </c>
      <c r="G2690">
        <v>307</v>
      </c>
      <c r="H2690">
        <v>255117</v>
      </c>
      <c r="I2690">
        <v>48346.1054</v>
      </c>
      <c r="J2690" s="2" t="s">
        <v>40</v>
      </c>
    </row>
    <row r="2691" spans="1:10" x14ac:dyDescent="0.35">
      <c r="A2691" s="1">
        <v>45779</v>
      </c>
      <c r="B2691" s="2" t="s">
        <v>34</v>
      </c>
      <c r="C2691" s="2" t="s">
        <v>23</v>
      </c>
      <c r="D2691" s="2" t="s">
        <v>21</v>
      </c>
      <c r="E2691" s="2" t="s">
        <v>18</v>
      </c>
      <c r="F2691">
        <v>816</v>
      </c>
      <c r="G2691">
        <v>434</v>
      </c>
      <c r="H2691">
        <v>354144</v>
      </c>
      <c r="I2691">
        <v>67475.221999999994</v>
      </c>
      <c r="J2691" s="2" t="s">
        <v>40</v>
      </c>
    </row>
    <row r="2692" spans="1:10" x14ac:dyDescent="0.35">
      <c r="A2692" s="1">
        <v>45779</v>
      </c>
      <c r="B2692" s="2" t="s">
        <v>26</v>
      </c>
      <c r="C2692" s="2" t="s">
        <v>29</v>
      </c>
      <c r="D2692" s="2" t="s">
        <v>12</v>
      </c>
      <c r="E2692" s="2" t="s">
        <v>32</v>
      </c>
      <c r="F2692">
        <v>872</v>
      </c>
      <c r="G2692">
        <v>453</v>
      </c>
      <c r="H2692">
        <v>395016</v>
      </c>
      <c r="I2692">
        <v>51271.034599999999</v>
      </c>
      <c r="J2692" s="2" t="s">
        <v>40</v>
      </c>
    </row>
    <row r="2693" spans="1:10" x14ac:dyDescent="0.35">
      <c r="A2693" s="1">
        <v>45779</v>
      </c>
      <c r="B2693" s="2" t="s">
        <v>19</v>
      </c>
      <c r="C2693" s="2" t="s">
        <v>20</v>
      </c>
      <c r="D2693" s="2" t="s">
        <v>30</v>
      </c>
      <c r="E2693" s="2" t="s">
        <v>33</v>
      </c>
      <c r="F2693">
        <v>988</v>
      </c>
      <c r="G2693">
        <v>179</v>
      </c>
      <c r="H2693">
        <v>176852</v>
      </c>
      <c r="I2693">
        <v>24868.252400000001</v>
      </c>
      <c r="J2693" s="2" t="s">
        <v>40</v>
      </c>
    </row>
    <row r="2694" spans="1:10" x14ac:dyDescent="0.35">
      <c r="A2694" s="1">
        <v>45779</v>
      </c>
      <c r="B2694" s="2" t="s">
        <v>34</v>
      </c>
      <c r="C2694" s="2" t="s">
        <v>16</v>
      </c>
      <c r="D2694" s="2" t="s">
        <v>17</v>
      </c>
      <c r="E2694" s="2" t="s">
        <v>28</v>
      </c>
      <c r="F2694">
        <v>470</v>
      </c>
      <c r="G2694">
        <v>324</v>
      </c>
      <c r="H2694">
        <v>152280</v>
      </c>
      <c r="I2694">
        <v>23980.873100000001</v>
      </c>
      <c r="J2694" s="2" t="s">
        <v>40</v>
      </c>
    </row>
    <row r="2695" spans="1:10" x14ac:dyDescent="0.35">
      <c r="A2695" s="1">
        <v>45779</v>
      </c>
      <c r="B2695" s="2" t="s">
        <v>10</v>
      </c>
      <c r="C2695" s="2" t="s">
        <v>29</v>
      </c>
      <c r="D2695" s="2" t="s">
        <v>21</v>
      </c>
      <c r="E2695" s="2" t="s">
        <v>18</v>
      </c>
      <c r="F2695">
        <v>100</v>
      </c>
      <c r="G2695">
        <v>400</v>
      </c>
      <c r="H2695">
        <v>40000</v>
      </c>
      <c r="I2695">
        <v>7941.7389000000003</v>
      </c>
      <c r="J2695" s="2" t="s">
        <v>40</v>
      </c>
    </row>
    <row r="2696" spans="1:10" x14ac:dyDescent="0.35">
      <c r="A2696" s="1">
        <v>45780</v>
      </c>
      <c r="B2696" s="2" t="s">
        <v>15</v>
      </c>
      <c r="C2696" s="2" t="s">
        <v>11</v>
      </c>
      <c r="D2696" s="2" t="s">
        <v>17</v>
      </c>
      <c r="E2696" s="2" t="s">
        <v>35</v>
      </c>
      <c r="F2696">
        <v>827</v>
      </c>
      <c r="G2696">
        <v>163</v>
      </c>
      <c r="H2696">
        <v>134801</v>
      </c>
      <c r="I2696">
        <v>27704.339599999999</v>
      </c>
      <c r="J2696" s="2" t="s">
        <v>40</v>
      </c>
    </row>
    <row r="2697" spans="1:10" x14ac:dyDescent="0.35">
      <c r="A2697" s="1">
        <v>45780</v>
      </c>
      <c r="B2697" s="2" t="s">
        <v>31</v>
      </c>
      <c r="C2697" s="2" t="s">
        <v>11</v>
      </c>
      <c r="D2697" s="2" t="s">
        <v>12</v>
      </c>
      <c r="E2697" s="2" t="s">
        <v>33</v>
      </c>
      <c r="F2697">
        <v>218</v>
      </c>
      <c r="G2697">
        <v>363</v>
      </c>
      <c r="H2697">
        <v>79134</v>
      </c>
      <c r="I2697">
        <v>14604.817999999999</v>
      </c>
      <c r="J2697" s="2" t="s">
        <v>40</v>
      </c>
    </row>
    <row r="2698" spans="1:10" x14ac:dyDescent="0.35">
      <c r="A2698" s="1">
        <v>45780</v>
      </c>
      <c r="B2698" s="2" t="s">
        <v>34</v>
      </c>
      <c r="C2698" s="2" t="s">
        <v>16</v>
      </c>
      <c r="D2698" s="2" t="s">
        <v>30</v>
      </c>
      <c r="E2698" s="2" t="s">
        <v>13</v>
      </c>
      <c r="F2698">
        <v>712</v>
      </c>
      <c r="G2698">
        <v>199</v>
      </c>
      <c r="H2698">
        <v>141688</v>
      </c>
      <c r="I2698">
        <v>34391.935899999997</v>
      </c>
      <c r="J2698" s="2" t="s">
        <v>40</v>
      </c>
    </row>
    <row r="2699" spans="1:10" x14ac:dyDescent="0.35">
      <c r="A2699" s="1">
        <v>45780</v>
      </c>
      <c r="B2699" s="2" t="s">
        <v>34</v>
      </c>
      <c r="C2699" s="2" t="s">
        <v>20</v>
      </c>
      <c r="D2699" s="2" t="s">
        <v>21</v>
      </c>
      <c r="E2699" s="2" t="s">
        <v>33</v>
      </c>
      <c r="F2699">
        <v>772</v>
      </c>
      <c r="G2699">
        <v>491</v>
      </c>
      <c r="H2699">
        <v>379052</v>
      </c>
      <c r="I2699">
        <v>87950.701000000001</v>
      </c>
      <c r="J2699" s="2" t="s">
        <v>40</v>
      </c>
    </row>
    <row r="2700" spans="1:10" x14ac:dyDescent="0.35">
      <c r="A2700" s="1">
        <v>45781</v>
      </c>
      <c r="B2700" s="2" t="s">
        <v>34</v>
      </c>
      <c r="C2700" s="2" t="s">
        <v>23</v>
      </c>
      <c r="D2700" s="2" t="s">
        <v>12</v>
      </c>
      <c r="E2700" s="2" t="s">
        <v>13</v>
      </c>
      <c r="F2700">
        <v>627</v>
      </c>
      <c r="G2700">
        <v>161</v>
      </c>
      <c r="H2700">
        <v>100947</v>
      </c>
      <c r="I2700">
        <v>12607.413500000001</v>
      </c>
      <c r="J2700" s="2" t="s">
        <v>40</v>
      </c>
    </row>
    <row r="2701" spans="1:10" x14ac:dyDescent="0.35">
      <c r="A2701" s="1">
        <v>45781</v>
      </c>
      <c r="B2701" s="2" t="s">
        <v>10</v>
      </c>
      <c r="C2701" s="2" t="s">
        <v>11</v>
      </c>
      <c r="D2701" s="2" t="s">
        <v>30</v>
      </c>
      <c r="E2701" s="2" t="s">
        <v>24</v>
      </c>
      <c r="F2701">
        <v>141</v>
      </c>
      <c r="G2701">
        <v>245</v>
      </c>
      <c r="H2701">
        <v>34545</v>
      </c>
      <c r="I2701">
        <v>6267.4531999999999</v>
      </c>
      <c r="J2701" s="2" t="s">
        <v>40</v>
      </c>
    </row>
    <row r="2702" spans="1:10" x14ac:dyDescent="0.35">
      <c r="A2702" s="1">
        <v>45782</v>
      </c>
      <c r="B2702" s="2" t="s">
        <v>19</v>
      </c>
      <c r="C2702" s="2" t="s">
        <v>27</v>
      </c>
      <c r="D2702" s="2" t="s">
        <v>12</v>
      </c>
      <c r="E2702" s="2" t="s">
        <v>24</v>
      </c>
      <c r="F2702">
        <v>686</v>
      </c>
      <c r="G2702">
        <v>168</v>
      </c>
      <c r="H2702">
        <v>115248</v>
      </c>
      <c r="I2702">
        <v>25298.890599999999</v>
      </c>
      <c r="J2702" s="2" t="s">
        <v>40</v>
      </c>
    </row>
    <row r="2703" spans="1:10" x14ac:dyDescent="0.35">
      <c r="A2703" s="1">
        <v>45782</v>
      </c>
      <c r="B2703" s="2" t="s">
        <v>26</v>
      </c>
      <c r="C2703" s="2" t="s">
        <v>27</v>
      </c>
      <c r="D2703" s="2" t="s">
        <v>21</v>
      </c>
      <c r="E2703" s="2" t="s">
        <v>35</v>
      </c>
      <c r="F2703">
        <v>483</v>
      </c>
      <c r="G2703">
        <v>462</v>
      </c>
      <c r="H2703">
        <v>223146</v>
      </c>
      <c r="I2703">
        <v>24296.107400000001</v>
      </c>
      <c r="J2703" s="2" t="s">
        <v>40</v>
      </c>
    </row>
    <row r="2704" spans="1:10" x14ac:dyDescent="0.35">
      <c r="A2704" s="1">
        <v>45782</v>
      </c>
      <c r="B2704" s="2" t="s">
        <v>19</v>
      </c>
      <c r="C2704" s="2" t="s">
        <v>16</v>
      </c>
      <c r="D2704" s="2" t="s">
        <v>17</v>
      </c>
      <c r="E2704" s="2" t="s">
        <v>13</v>
      </c>
      <c r="F2704">
        <v>312</v>
      </c>
      <c r="G2704">
        <v>328</v>
      </c>
      <c r="H2704">
        <v>102336</v>
      </c>
      <c r="I2704">
        <v>23851.4493</v>
      </c>
      <c r="J2704" s="2" t="s">
        <v>40</v>
      </c>
    </row>
    <row r="2705" spans="1:10" x14ac:dyDescent="0.35">
      <c r="A2705" s="1">
        <v>45782</v>
      </c>
      <c r="B2705" s="2" t="s">
        <v>36</v>
      </c>
      <c r="C2705" s="2" t="s">
        <v>16</v>
      </c>
      <c r="D2705" s="2" t="s">
        <v>21</v>
      </c>
      <c r="E2705" s="2" t="s">
        <v>13</v>
      </c>
      <c r="F2705">
        <v>356</v>
      </c>
      <c r="G2705">
        <v>306</v>
      </c>
      <c r="H2705">
        <v>108936</v>
      </c>
      <c r="I2705">
        <v>18379.1188</v>
      </c>
      <c r="J2705" s="2" t="s">
        <v>40</v>
      </c>
    </row>
    <row r="2706" spans="1:10" x14ac:dyDescent="0.35">
      <c r="A2706" s="1">
        <v>45782</v>
      </c>
      <c r="B2706" s="2" t="s">
        <v>15</v>
      </c>
      <c r="C2706" s="2" t="s">
        <v>16</v>
      </c>
      <c r="D2706" s="2" t="s">
        <v>17</v>
      </c>
      <c r="E2706" s="2" t="s">
        <v>13</v>
      </c>
      <c r="F2706">
        <v>633</v>
      </c>
      <c r="G2706">
        <v>106</v>
      </c>
      <c r="H2706">
        <v>67098</v>
      </c>
      <c r="I2706">
        <v>8992.2783999999992</v>
      </c>
      <c r="J2706" s="2" t="s">
        <v>40</v>
      </c>
    </row>
    <row r="2707" spans="1:10" x14ac:dyDescent="0.35">
      <c r="A2707" s="1">
        <v>45783</v>
      </c>
      <c r="B2707" s="2" t="s">
        <v>15</v>
      </c>
      <c r="C2707" s="2" t="s">
        <v>29</v>
      </c>
      <c r="D2707" s="2" t="s">
        <v>17</v>
      </c>
      <c r="E2707" s="2" t="s">
        <v>13</v>
      </c>
      <c r="F2707">
        <v>221</v>
      </c>
      <c r="G2707">
        <v>250</v>
      </c>
      <c r="H2707">
        <v>55250</v>
      </c>
      <c r="I2707">
        <v>6122.4684999999999</v>
      </c>
      <c r="J2707" s="2" t="s">
        <v>40</v>
      </c>
    </row>
    <row r="2708" spans="1:10" x14ac:dyDescent="0.35">
      <c r="A2708" s="1">
        <v>45783</v>
      </c>
      <c r="B2708" s="2" t="s">
        <v>15</v>
      </c>
      <c r="C2708" s="2" t="s">
        <v>29</v>
      </c>
      <c r="D2708" s="2" t="s">
        <v>17</v>
      </c>
      <c r="E2708" s="2" t="s">
        <v>22</v>
      </c>
      <c r="F2708">
        <v>898</v>
      </c>
      <c r="G2708">
        <v>479</v>
      </c>
      <c r="H2708">
        <v>430142</v>
      </c>
      <c r="I2708">
        <v>36628.2356</v>
      </c>
      <c r="J2708" s="2" t="s">
        <v>40</v>
      </c>
    </row>
    <row r="2709" spans="1:10" x14ac:dyDescent="0.35">
      <c r="A2709" s="1">
        <v>45784</v>
      </c>
      <c r="B2709" s="2" t="s">
        <v>26</v>
      </c>
      <c r="C2709" s="2" t="s">
        <v>20</v>
      </c>
      <c r="D2709" s="2" t="s">
        <v>12</v>
      </c>
      <c r="E2709" s="2" t="s">
        <v>22</v>
      </c>
      <c r="F2709">
        <v>61</v>
      </c>
      <c r="G2709">
        <v>412</v>
      </c>
      <c r="H2709">
        <v>25132</v>
      </c>
      <c r="I2709">
        <v>4617.0878000000002</v>
      </c>
      <c r="J2709" s="2" t="s">
        <v>40</v>
      </c>
    </row>
    <row r="2710" spans="1:10" x14ac:dyDescent="0.35">
      <c r="A2710" s="1">
        <v>45785</v>
      </c>
      <c r="B2710" s="2" t="s">
        <v>10</v>
      </c>
      <c r="C2710" s="2" t="s">
        <v>27</v>
      </c>
      <c r="D2710" s="2" t="s">
        <v>30</v>
      </c>
      <c r="E2710" s="2" t="s">
        <v>35</v>
      </c>
      <c r="F2710">
        <v>194</v>
      </c>
      <c r="G2710">
        <v>152</v>
      </c>
      <c r="H2710">
        <v>29488</v>
      </c>
      <c r="I2710">
        <v>5448.5655999999999</v>
      </c>
      <c r="J2710" s="2" t="s">
        <v>40</v>
      </c>
    </row>
    <row r="2711" spans="1:10" x14ac:dyDescent="0.35">
      <c r="A2711" s="1">
        <v>45785</v>
      </c>
      <c r="B2711" s="2" t="s">
        <v>10</v>
      </c>
      <c r="C2711" s="2" t="s">
        <v>27</v>
      </c>
      <c r="D2711" s="2" t="s">
        <v>17</v>
      </c>
      <c r="E2711" s="2" t="s">
        <v>24</v>
      </c>
      <c r="F2711">
        <v>87</v>
      </c>
      <c r="G2711">
        <v>441</v>
      </c>
      <c r="H2711">
        <v>38367</v>
      </c>
      <c r="I2711">
        <v>3977.9672</v>
      </c>
      <c r="J2711" s="2" t="s">
        <v>40</v>
      </c>
    </row>
    <row r="2712" spans="1:10" x14ac:dyDescent="0.35">
      <c r="A2712" s="1">
        <v>45785</v>
      </c>
      <c r="B2712" s="2" t="s">
        <v>15</v>
      </c>
      <c r="C2712" s="2" t="s">
        <v>11</v>
      </c>
      <c r="D2712" s="2" t="s">
        <v>17</v>
      </c>
      <c r="E2712" s="2" t="s">
        <v>28</v>
      </c>
      <c r="F2712">
        <v>73</v>
      </c>
      <c r="G2712">
        <v>233</v>
      </c>
      <c r="H2712">
        <v>17009</v>
      </c>
      <c r="I2712">
        <v>2217.6758</v>
      </c>
      <c r="J2712" s="2" t="s">
        <v>40</v>
      </c>
    </row>
    <row r="2713" spans="1:10" x14ac:dyDescent="0.35">
      <c r="A2713" s="1">
        <v>45785</v>
      </c>
      <c r="B2713" s="2" t="s">
        <v>15</v>
      </c>
      <c r="C2713" s="2" t="s">
        <v>23</v>
      </c>
      <c r="D2713" s="2" t="s">
        <v>21</v>
      </c>
      <c r="E2713" s="2" t="s">
        <v>33</v>
      </c>
      <c r="F2713">
        <v>715</v>
      </c>
      <c r="G2713">
        <v>311</v>
      </c>
      <c r="H2713">
        <v>222365</v>
      </c>
      <c r="I2713">
        <v>31541.665499999999</v>
      </c>
      <c r="J2713" s="2" t="s">
        <v>40</v>
      </c>
    </row>
    <row r="2714" spans="1:10" x14ac:dyDescent="0.35">
      <c r="A2714" s="1">
        <v>45786</v>
      </c>
      <c r="B2714" s="2" t="s">
        <v>34</v>
      </c>
      <c r="C2714" s="2" t="s">
        <v>23</v>
      </c>
      <c r="D2714" s="2" t="s">
        <v>12</v>
      </c>
      <c r="E2714" s="2" t="s">
        <v>28</v>
      </c>
      <c r="F2714">
        <v>839</v>
      </c>
      <c r="G2714">
        <v>199</v>
      </c>
      <c r="H2714">
        <v>166961</v>
      </c>
      <c r="I2714">
        <v>16748.1656</v>
      </c>
      <c r="J2714" s="2" t="s">
        <v>40</v>
      </c>
    </row>
    <row r="2715" spans="1:10" x14ac:dyDescent="0.35">
      <c r="A2715" s="1">
        <v>45786</v>
      </c>
      <c r="B2715" s="2" t="s">
        <v>19</v>
      </c>
      <c r="C2715" s="2" t="s">
        <v>23</v>
      </c>
      <c r="D2715" s="2" t="s">
        <v>30</v>
      </c>
      <c r="E2715" s="2" t="s">
        <v>24</v>
      </c>
      <c r="F2715">
        <v>353</v>
      </c>
      <c r="G2715">
        <v>461</v>
      </c>
      <c r="H2715">
        <v>162733</v>
      </c>
      <c r="I2715">
        <v>31034.650699999998</v>
      </c>
      <c r="J2715" s="2" t="s">
        <v>40</v>
      </c>
    </row>
    <row r="2716" spans="1:10" x14ac:dyDescent="0.35">
      <c r="A2716" s="1">
        <v>45786</v>
      </c>
      <c r="B2716" s="2" t="s">
        <v>15</v>
      </c>
      <c r="C2716" s="2" t="s">
        <v>27</v>
      </c>
      <c r="D2716" s="2" t="s">
        <v>12</v>
      </c>
      <c r="E2716" s="2" t="s">
        <v>13</v>
      </c>
      <c r="F2716">
        <v>969</v>
      </c>
      <c r="G2716">
        <v>177</v>
      </c>
      <c r="H2716">
        <v>171513</v>
      </c>
      <c r="I2716">
        <v>18747.536700000001</v>
      </c>
      <c r="J2716" s="2" t="s">
        <v>40</v>
      </c>
    </row>
    <row r="2717" spans="1:10" x14ac:dyDescent="0.35">
      <c r="A2717" s="1">
        <v>45787</v>
      </c>
      <c r="B2717" s="2" t="s">
        <v>15</v>
      </c>
      <c r="C2717" s="2" t="s">
        <v>20</v>
      </c>
      <c r="D2717" s="2" t="s">
        <v>21</v>
      </c>
      <c r="E2717" s="2" t="s">
        <v>33</v>
      </c>
      <c r="F2717">
        <v>807</v>
      </c>
      <c r="G2717">
        <v>465</v>
      </c>
      <c r="H2717">
        <v>375255</v>
      </c>
      <c r="I2717">
        <v>30298.1047</v>
      </c>
      <c r="J2717" s="2" t="s">
        <v>40</v>
      </c>
    </row>
    <row r="2718" spans="1:10" x14ac:dyDescent="0.35">
      <c r="A2718" s="1">
        <v>45787</v>
      </c>
      <c r="B2718" s="2" t="s">
        <v>25</v>
      </c>
      <c r="C2718" s="2" t="s">
        <v>11</v>
      </c>
      <c r="D2718" s="2" t="s">
        <v>21</v>
      </c>
      <c r="E2718" s="2" t="s">
        <v>35</v>
      </c>
      <c r="F2718">
        <v>530</v>
      </c>
      <c r="G2718">
        <v>230</v>
      </c>
      <c r="H2718">
        <v>121900</v>
      </c>
      <c r="I2718">
        <v>16737.129799999999</v>
      </c>
      <c r="J2718" s="2" t="s">
        <v>40</v>
      </c>
    </row>
    <row r="2719" spans="1:10" x14ac:dyDescent="0.35">
      <c r="A2719" s="1">
        <v>45787</v>
      </c>
      <c r="B2719" s="2" t="s">
        <v>26</v>
      </c>
      <c r="C2719" s="2" t="s">
        <v>20</v>
      </c>
      <c r="D2719" s="2" t="s">
        <v>21</v>
      </c>
      <c r="E2719" s="2" t="s">
        <v>28</v>
      </c>
      <c r="F2719">
        <v>893</v>
      </c>
      <c r="G2719">
        <v>372</v>
      </c>
      <c r="H2719">
        <v>332196</v>
      </c>
      <c r="I2719">
        <v>78574.4715</v>
      </c>
      <c r="J2719" s="2" t="s">
        <v>40</v>
      </c>
    </row>
    <row r="2720" spans="1:10" x14ac:dyDescent="0.35">
      <c r="A2720" s="1">
        <v>45788</v>
      </c>
      <c r="B2720" s="2" t="s">
        <v>26</v>
      </c>
      <c r="C2720" s="2" t="s">
        <v>27</v>
      </c>
      <c r="D2720" s="2" t="s">
        <v>30</v>
      </c>
      <c r="E2720" s="2" t="s">
        <v>32</v>
      </c>
      <c r="F2720">
        <v>780</v>
      </c>
      <c r="G2720">
        <v>392</v>
      </c>
      <c r="H2720">
        <v>305760</v>
      </c>
      <c r="I2720">
        <v>32258.936799999999</v>
      </c>
      <c r="J2720" s="2" t="s">
        <v>40</v>
      </c>
    </row>
    <row r="2721" spans="1:10" x14ac:dyDescent="0.35">
      <c r="A2721" s="1">
        <v>45788</v>
      </c>
      <c r="B2721" s="2" t="s">
        <v>31</v>
      </c>
      <c r="C2721" s="2" t="s">
        <v>11</v>
      </c>
      <c r="D2721" s="2" t="s">
        <v>30</v>
      </c>
      <c r="E2721" s="2" t="s">
        <v>35</v>
      </c>
      <c r="F2721">
        <v>964</v>
      </c>
      <c r="G2721">
        <v>139</v>
      </c>
      <c r="H2721">
        <v>133996</v>
      </c>
      <c r="I2721">
        <v>14064.1394</v>
      </c>
      <c r="J2721" s="2" t="s">
        <v>40</v>
      </c>
    </row>
    <row r="2722" spans="1:10" x14ac:dyDescent="0.35">
      <c r="A2722" s="1">
        <v>45788</v>
      </c>
      <c r="B2722" s="2" t="s">
        <v>31</v>
      </c>
      <c r="C2722" s="2" t="s">
        <v>20</v>
      </c>
      <c r="D2722" s="2" t="s">
        <v>30</v>
      </c>
      <c r="E2722" s="2" t="s">
        <v>28</v>
      </c>
      <c r="F2722">
        <v>167</v>
      </c>
      <c r="G2722">
        <v>208</v>
      </c>
      <c r="H2722">
        <v>34736</v>
      </c>
      <c r="I2722">
        <v>5951.1310999999996</v>
      </c>
      <c r="J2722" s="2" t="s">
        <v>40</v>
      </c>
    </row>
    <row r="2723" spans="1:10" x14ac:dyDescent="0.35">
      <c r="A2723" s="1">
        <v>45789</v>
      </c>
      <c r="B2723" s="2" t="s">
        <v>26</v>
      </c>
      <c r="C2723" s="2" t="s">
        <v>16</v>
      </c>
      <c r="D2723" s="2" t="s">
        <v>30</v>
      </c>
      <c r="E2723" s="2" t="s">
        <v>24</v>
      </c>
      <c r="F2723">
        <v>830</v>
      </c>
      <c r="G2723">
        <v>414</v>
      </c>
      <c r="H2723">
        <v>343620</v>
      </c>
      <c r="I2723">
        <v>32640.673500000001</v>
      </c>
      <c r="J2723" s="2" t="s">
        <v>40</v>
      </c>
    </row>
    <row r="2724" spans="1:10" x14ac:dyDescent="0.35">
      <c r="A2724" s="1">
        <v>45789</v>
      </c>
      <c r="B2724" s="2" t="s">
        <v>34</v>
      </c>
      <c r="C2724" s="2" t="s">
        <v>23</v>
      </c>
      <c r="D2724" s="2" t="s">
        <v>17</v>
      </c>
      <c r="E2724" s="2" t="s">
        <v>22</v>
      </c>
      <c r="F2724">
        <v>399</v>
      </c>
      <c r="G2724">
        <v>279</v>
      </c>
      <c r="H2724">
        <v>111321</v>
      </c>
      <c r="I2724">
        <v>21857.7012</v>
      </c>
      <c r="J2724" s="2" t="s">
        <v>40</v>
      </c>
    </row>
    <row r="2725" spans="1:10" x14ac:dyDescent="0.35">
      <c r="A2725" s="1">
        <v>45789</v>
      </c>
      <c r="B2725" s="2" t="s">
        <v>25</v>
      </c>
      <c r="C2725" s="2" t="s">
        <v>23</v>
      </c>
      <c r="D2725" s="2" t="s">
        <v>12</v>
      </c>
      <c r="E2725" s="2" t="s">
        <v>13</v>
      </c>
      <c r="F2725">
        <v>654</v>
      </c>
      <c r="G2725">
        <v>106</v>
      </c>
      <c r="H2725">
        <v>69324</v>
      </c>
      <c r="I2725">
        <v>14582.3722</v>
      </c>
      <c r="J2725" s="2" t="s">
        <v>40</v>
      </c>
    </row>
    <row r="2726" spans="1:10" x14ac:dyDescent="0.35">
      <c r="A2726" s="1">
        <v>45790</v>
      </c>
      <c r="B2726" s="2" t="s">
        <v>25</v>
      </c>
      <c r="C2726" s="2" t="s">
        <v>11</v>
      </c>
      <c r="D2726" s="2" t="s">
        <v>21</v>
      </c>
      <c r="E2726" s="2" t="s">
        <v>13</v>
      </c>
      <c r="F2726">
        <v>396</v>
      </c>
      <c r="G2726">
        <v>131</v>
      </c>
      <c r="H2726">
        <v>51876</v>
      </c>
      <c r="I2726">
        <v>5463.9470000000001</v>
      </c>
      <c r="J2726" s="2" t="s">
        <v>40</v>
      </c>
    </row>
    <row r="2727" spans="1:10" x14ac:dyDescent="0.35">
      <c r="A2727" s="1">
        <v>45790</v>
      </c>
      <c r="B2727" s="2" t="s">
        <v>10</v>
      </c>
      <c r="C2727" s="2" t="s">
        <v>16</v>
      </c>
      <c r="D2727" s="2" t="s">
        <v>12</v>
      </c>
      <c r="E2727" s="2" t="s">
        <v>33</v>
      </c>
      <c r="F2727">
        <v>704</v>
      </c>
      <c r="G2727">
        <v>209</v>
      </c>
      <c r="H2727">
        <v>147136</v>
      </c>
      <c r="I2727">
        <v>26425.875599999999</v>
      </c>
      <c r="J2727" s="2" t="s">
        <v>40</v>
      </c>
    </row>
    <row r="2728" spans="1:10" x14ac:dyDescent="0.35">
      <c r="A2728" s="1">
        <v>45790</v>
      </c>
      <c r="B2728" s="2" t="s">
        <v>26</v>
      </c>
      <c r="C2728" s="2" t="s">
        <v>29</v>
      </c>
      <c r="D2728" s="2" t="s">
        <v>21</v>
      </c>
      <c r="E2728" s="2" t="s">
        <v>13</v>
      </c>
      <c r="F2728">
        <v>739</v>
      </c>
      <c r="G2728">
        <v>472</v>
      </c>
      <c r="H2728">
        <v>348808</v>
      </c>
      <c r="I2728">
        <v>32938.692600000002</v>
      </c>
      <c r="J2728" s="2" t="s">
        <v>40</v>
      </c>
    </row>
    <row r="2729" spans="1:10" x14ac:dyDescent="0.35">
      <c r="A2729" s="1">
        <v>45790</v>
      </c>
      <c r="B2729" s="2" t="s">
        <v>26</v>
      </c>
      <c r="C2729" s="2" t="s">
        <v>29</v>
      </c>
      <c r="D2729" s="2" t="s">
        <v>30</v>
      </c>
      <c r="E2729" s="2" t="s">
        <v>22</v>
      </c>
      <c r="F2729">
        <v>568</v>
      </c>
      <c r="G2729">
        <v>278</v>
      </c>
      <c r="H2729">
        <v>157904</v>
      </c>
      <c r="I2729">
        <v>23847.403699999999</v>
      </c>
      <c r="J2729" s="2" t="s">
        <v>40</v>
      </c>
    </row>
    <row r="2730" spans="1:10" x14ac:dyDescent="0.35">
      <c r="A2730" s="1">
        <v>45791</v>
      </c>
      <c r="B2730" s="2" t="s">
        <v>26</v>
      </c>
      <c r="C2730" s="2" t="s">
        <v>29</v>
      </c>
      <c r="D2730" s="2" t="s">
        <v>21</v>
      </c>
      <c r="E2730" s="2" t="s">
        <v>35</v>
      </c>
      <c r="F2730">
        <v>84</v>
      </c>
      <c r="G2730">
        <v>162</v>
      </c>
      <c r="H2730">
        <v>13608</v>
      </c>
      <c r="I2730">
        <v>2733.4915000000001</v>
      </c>
      <c r="J2730" s="2" t="s">
        <v>40</v>
      </c>
    </row>
    <row r="2731" spans="1:10" x14ac:dyDescent="0.35">
      <c r="A2731" s="1">
        <v>45791</v>
      </c>
      <c r="B2731" s="2" t="s">
        <v>19</v>
      </c>
      <c r="C2731" s="2" t="s">
        <v>23</v>
      </c>
      <c r="D2731" s="2" t="s">
        <v>30</v>
      </c>
      <c r="E2731" s="2" t="s">
        <v>28</v>
      </c>
      <c r="F2731">
        <v>80</v>
      </c>
      <c r="G2731">
        <v>103</v>
      </c>
      <c r="H2731">
        <v>8240</v>
      </c>
      <c r="I2731">
        <v>812.26</v>
      </c>
      <c r="J2731" s="2" t="s">
        <v>40</v>
      </c>
    </row>
    <row r="2732" spans="1:10" x14ac:dyDescent="0.35">
      <c r="A2732" s="1">
        <v>45791</v>
      </c>
      <c r="B2732" s="2" t="s">
        <v>26</v>
      </c>
      <c r="C2732" s="2" t="s">
        <v>20</v>
      </c>
      <c r="D2732" s="2" t="s">
        <v>12</v>
      </c>
      <c r="E2732" s="2" t="s">
        <v>32</v>
      </c>
      <c r="F2732">
        <v>717</v>
      </c>
      <c r="G2732">
        <v>220</v>
      </c>
      <c r="H2732">
        <v>157740</v>
      </c>
      <c r="I2732">
        <v>16234.8856</v>
      </c>
      <c r="J2732" s="2" t="s">
        <v>40</v>
      </c>
    </row>
    <row r="2733" spans="1:10" x14ac:dyDescent="0.35">
      <c r="A2733" s="1">
        <v>45792</v>
      </c>
      <c r="B2733" s="2" t="s">
        <v>31</v>
      </c>
      <c r="C2733" s="2" t="s">
        <v>23</v>
      </c>
      <c r="D2733" s="2" t="s">
        <v>30</v>
      </c>
      <c r="E2733" s="2" t="s">
        <v>24</v>
      </c>
      <c r="F2733">
        <v>948</v>
      </c>
      <c r="G2733">
        <v>335</v>
      </c>
      <c r="H2733">
        <v>317580</v>
      </c>
      <c r="I2733">
        <v>69704.012700000007</v>
      </c>
      <c r="J2733" s="2" t="s">
        <v>40</v>
      </c>
    </row>
    <row r="2734" spans="1:10" x14ac:dyDescent="0.35">
      <c r="A2734" s="1">
        <v>45792</v>
      </c>
      <c r="B2734" s="2" t="s">
        <v>10</v>
      </c>
      <c r="C2734" s="2" t="s">
        <v>11</v>
      </c>
      <c r="D2734" s="2" t="s">
        <v>17</v>
      </c>
      <c r="E2734" s="2" t="s">
        <v>35</v>
      </c>
      <c r="F2734">
        <v>813</v>
      </c>
      <c r="G2734">
        <v>433</v>
      </c>
      <c r="H2734">
        <v>352029</v>
      </c>
      <c r="I2734">
        <v>58079.276700000002</v>
      </c>
      <c r="J2734" s="2" t="s">
        <v>40</v>
      </c>
    </row>
    <row r="2735" spans="1:10" x14ac:dyDescent="0.35">
      <c r="A2735" s="1">
        <v>45792</v>
      </c>
      <c r="B2735" s="2" t="s">
        <v>15</v>
      </c>
      <c r="C2735" s="2" t="s">
        <v>23</v>
      </c>
      <c r="D2735" s="2" t="s">
        <v>21</v>
      </c>
      <c r="E2735" s="2" t="s">
        <v>28</v>
      </c>
      <c r="F2735">
        <v>61</v>
      </c>
      <c r="G2735">
        <v>356</v>
      </c>
      <c r="H2735">
        <v>21716</v>
      </c>
      <c r="I2735">
        <v>4634.2923000000001</v>
      </c>
      <c r="J2735" s="2" t="s">
        <v>40</v>
      </c>
    </row>
    <row r="2736" spans="1:10" x14ac:dyDescent="0.35">
      <c r="A2736" s="1">
        <v>45792</v>
      </c>
      <c r="B2736" s="2" t="s">
        <v>25</v>
      </c>
      <c r="C2736" s="2" t="s">
        <v>11</v>
      </c>
      <c r="D2736" s="2" t="s">
        <v>17</v>
      </c>
      <c r="E2736" s="2" t="s">
        <v>18</v>
      </c>
      <c r="F2736">
        <v>241</v>
      </c>
      <c r="G2736">
        <v>176</v>
      </c>
      <c r="H2736">
        <v>42416</v>
      </c>
      <c r="I2736">
        <v>8689.6991999999991</v>
      </c>
      <c r="J2736" s="2" t="s">
        <v>40</v>
      </c>
    </row>
    <row r="2737" spans="1:10" x14ac:dyDescent="0.35">
      <c r="A2737" s="1">
        <v>45793</v>
      </c>
      <c r="B2737" s="2" t="s">
        <v>25</v>
      </c>
      <c r="C2737" s="2" t="s">
        <v>16</v>
      </c>
      <c r="D2737" s="2" t="s">
        <v>21</v>
      </c>
      <c r="E2737" s="2" t="s">
        <v>13</v>
      </c>
      <c r="F2737">
        <v>976</v>
      </c>
      <c r="G2737">
        <v>321</v>
      </c>
      <c r="H2737">
        <v>313296</v>
      </c>
      <c r="I2737">
        <v>47299.482900000003</v>
      </c>
      <c r="J2737" s="2" t="s">
        <v>40</v>
      </c>
    </row>
    <row r="2738" spans="1:10" x14ac:dyDescent="0.35">
      <c r="A2738" s="1">
        <v>45793</v>
      </c>
      <c r="B2738" s="2" t="s">
        <v>36</v>
      </c>
      <c r="C2738" s="2" t="s">
        <v>29</v>
      </c>
      <c r="D2738" s="2" t="s">
        <v>21</v>
      </c>
      <c r="E2738" s="2" t="s">
        <v>32</v>
      </c>
      <c r="F2738">
        <v>645</v>
      </c>
      <c r="G2738">
        <v>406</v>
      </c>
      <c r="H2738">
        <v>261870</v>
      </c>
      <c r="I2738">
        <v>44287.398500000003</v>
      </c>
      <c r="J2738" s="2" t="s">
        <v>40</v>
      </c>
    </row>
    <row r="2739" spans="1:10" x14ac:dyDescent="0.35">
      <c r="A2739" s="1">
        <v>45793</v>
      </c>
      <c r="B2739" s="2" t="s">
        <v>10</v>
      </c>
      <c r="C2739" s="2" t="s">
        <v>16</v>
      </c>
      <c r="D2739" s="2" t="s">
        <v>30</v>
      </c>
      <c r="E2739" s="2" t="s">
        <v>13</v>
      </c>
      <c r="F2739">
        <v>118</v>
      </c>
      <c r="G2739">
        <v>238</v>
      </c>
      <c r="H2739">
        <v>28084</v>
      </c>
      <c r="I2739">
        <v>2345.7809000000002</v>
      </c>
      <c r="J2739" s="2" t="s">
        <v>40</v>
      </c>
    </row>
    <row r="2740" spans="1:10" x14ac:dyDescent="0.35">
      <c r="A2740" s="1">
        <v>45793</v>
      </c>
      <c r="B2740" s="2" t="s">
        <v>25</v>
      </c>
      <c r="C2740" s="2" t="s">
        <v>27</v>
      </c>
      <c r="D2740" s="2" t="s">
        <v>12</v>
      </c>
      <c r="E2740" s="2" t="s">
        <v>33</v>
      </c>
      <c r="F2740">
        <v>154</v>
      </c>
      <c r="G2740">
        <v>115</v>
      </c>
      <c r="H2740">
        <v>17710</v>
      </c>
      <c r="I2740">
        <v>3640.9486999999999</v>
      </c>
      <c r="J2740" s="2" t="s">
        <v>40</v>
      </c>
    </row>
    <row r="2741" spans="1:10" x14ac:dyDescent="0.35">
      <c r="A2741" s="1">
        <v>45793</v>
      </c>
      <c r="B2741" s="2" t="s">
        <v>10</v>
      </c>
      <c r="C2741" s="2" t="s">
        <v>11</v>
      </c>
      <c r="D2741" s="2" t="s">
        <v>21</v>
      </c>
      <c r="E2741" s="2" t="s">
        <v>22</v>
      </c>
      <c r="F2741">
        <v>654</v>
      </c>
      <c r="G2741">
        <v>229</v>
      </c>
      <c r="H2741">
        <v>149766</v>
      </c>
      <c r="I2741">
        <v>24766.3855</v>
      </c>
      <c r="J2741" s="2" t="s">
        <v>40</v>
      </c>
    </row>
    <row r="2742" spans="1:10" x14ac:dyDescent="0.35">
      <c r="A2742" s="1">
        <v>45794</v>
      </c>
      <c r="B2742" s="2" t="s">
        <v>15</v>
      </c>
      <c r="C2742" s="2" t="s">
        <v>27</v>
      </c>
      <c r="D2742" s="2" t="s">
        <v>30</v>
      </c>
      <c r="E2742" s="2" t="s">
        <v>33</v>
      </c>
      <c r="F2742">
        <v>995</v>
      </c>
      <c r="G2742">
        <v>164</v>
      </c>
      <c r="H2742">
        <v>163180</v>
      </c>
      <c r="I2742">
        <v>30229.0609</v>
      </c>
      <c r="J2742" s="2" t="s">
        <v>40</v>
      </c>
    </row>
    <row r="2743" spans="1:10" x14ac:dyDescent="0.35">
      <c r="A2743" s="1">
        <v>45794</v>
      </c>
      <c r="B2743" s="2" t="s">
        <v>31</v>
      </c>
      <c r="C2743" s="2" t="s">
        <v>23</v>
      </c>
      <c r="D2743" s="2" t="s">
        <v>12</v>
      </c>
      <c r="E2743" s="2" t="s">
        <v>28</v>
      </c>
      <c r="F2743">
        <v>85</v>
      </c>
      <c r="G2743">
        <v>373</v>
      </c>
      <c r="H2743">
        <v>31705</v>
      </c>
      <c r="I2743">
        <v>4858.0797000000002</v>
      </c>
      <c r="J2743" s="2" t="s">
        <v>40</v>
      </c>
    </row>
    <row r="2744" spans="1:10" x14ac:dyDescent="0.35">
      <c r="A2744" s="1">
        <v>45794</v>
      </c>
      <c r="B2744" s="2" t="s">
        <v>19</v>
      </c>
      <c r="C2744" s="2" t="s">
        <v>11</v>
      </c>
      <c r="D2744" s="2" t="s">
        <v>12</v>
      </c>
      <c r="E2744" s="2" t="s">
        <v>28</v>
      </c>
      <c r="F2744">
        <v>446</v>
      </c>
      <c r="G2744">
        <v>467</v>
      </c>
      <c r="H2744">
        <v>208282</v>
      </c>
      <c r="I2744">
        <v>45542.020499999999</v>
      </c>
      <c r="J2744" s="2" t="s">
        <v>40</v>
      </c>
    </row>
    <row r="2745" spans="1:10" x14ac:dyDescent="0.35">
      <c r="A2745" s="1">
        <v>45795</v>
      </c>
      <c r="B2745" s="2" t="s">
        <v>26</v>
      </c>
      <c r="C2745" s="2" t="s">
        <v>16</v>
      </c>
      <c r="D2745" s="2" t="s">
        <v>17</v>
      </c>
      <c r="E2745" s="2" t="s">
        <v>18</v>
      </c>
      <c r="F2745">
        <v>944</v>
      </c>
      <c r="G2745">
        <v>236</v>
      </c>
      <c r="H2745">
        <v>222784</v>
      </c>
      <c r="I2745">
        <v>51835.4954</v>
      </c>
      <c r="J2745" s="2" t="s">
        <v>40</v>
      </c>
    </row>
    <row r="2746" spans="1:10" x14ac:dyDescent="0.35">
      <c r="A2746" s="1">
        <v>45795</v>
      </c>
      <c r="B2746" s="2" t="s">
        <v>31</v>
      </c>
      <c r="C2746" s="2" t="s">
        <v>20</v>
      </c>
      <c r="D2746" s="2" t="s">
        <v>21</v>
      </c>
      <c r="E2746" s="2" t="s">
        <v>35</v>
      </c>
      <c r="F2746">
        <v>294</v>
      </c>
      <c r="G2746">
        <v>235</v>
      </c>
      <c r="H2746">
        <v>69090</v>
      </c>
      <c r="I2746">
        <v>16324.6098</v>
      </c>
      <c r="J2746" s="2" t="s">
        <v>40</v>
      </c>
    </row>
    <row r="2747" spans="1:10" x14ac:dyDescent="0.35">
      <c r="A2747" s="1">
        <v>45795</v>
      </c>
      <c r="B2747" s="2" t="s">
        <v>36</v>
      </c>
      <c r="C2747" s="2" t="s">
        <v>23</v>
      </c>
      <c r="D2747" s="2" t="s">
        <v>30</v>
      </c>
      <c r="E2747" s="2" t="s">
        <v>18</v>
      </c>
      <c r="F2747">
        <v>852</v>
      </c>
      <c r="G2747">
        <v>209</v>
      </c>
      <c r="H2747">
        <v>178068</v>
      </c>
      <c r="I2747">
        <v>20986.735100000002</v>
      </c>
      <c r="J2747" s="2" t="s">
        <v>40</v>
      </c>
    </row>
    <row r="2748" spans="1:10" x14ac:dyDescent="0.35">
      <c r="A2748" s="1">
        <v>45795</v>
      </c>
      <c r="B2748" s="2" t="s">
        <v>25</v>
      </c>
      <c r="C2748" s="2" t="s">
        <v>20</v>
      </c>
      <c r="D2748" s="2" t="s">
        <v>17</v>
      </c>
      <c r="E2748" s="2" t="s">
        <v>28</v>
      </c>
      <c r="F2748">
        <v>348</v>
      </c>
      <c r="G2748">
        <v>119</v>
      </c>
      <c r="H2748">
        <v>41412</v>
      </c>
      <c r="I2748">
        <v>3557.4104000000002</v>
      </c>
      <c r="J2748" s="2" t="s">
        <v>40</v>
      </c>
    </row>
    <row r="2749" spans="1:10" x14ac:dyDescent="0.35">
      <c r="A2749" s="1">
        <v>45796</v>
      </c>
      <c r="B2749" s="2" t="s">
        <v>36</v>
      </c>
      <c r="C2749" s="2" t="s">
        <v>16</v>
      </c>
      <c r="D2749" s="2" t="s">
        <v>17</v>
      </c>
      <c r="E2749" s="2" t="s">
        <v>13</v>
      </c>
      <c r="F2749">
        <v>331</v>
      </c>
      <c r="G2749">
        <v>392</v>
      </c>
      <c r="H2749">
        <v>129752</v>
      </c>
      <c r="I2749">
        <v>32241.423999999999</v>
      </c>
      <c r="J2749" s="2" t="s">
        <v>40</v>
      </c>
    </row>
    <row r="2750" spans="1:10" x14ac:dyDescent="0.35">
      <c r="A2750" s="1">
        <v>45796</v>
      </c>
      <c r="B2750" s="2" t="s">
        <v>25</v>
      </c>
      <c r="C2750" s="2" t="s">
        <v>16</v>
      </c>
      <c r="D2750" s="2" t="s">
        <v>30</v>
      </c>
      <c r="E2750" s="2" t="s">
        <v>28</v>
      </c>
      <c r="F2750">
        <v>785</v>
      </c>
      <c r="G2750">
        <v>384</v>
      </c>
      <c r="H2750">
        <v>301440</v>
      </c>
      <c r="I2750">
        <v>65719.142600000006</v>
      </c>
      <c r="J2750" s="2" t="s">
        <v>40</v>
      </c>
    </row>
    <row r="2751" spans="1:10" x14ac:dyDescent="0.35">
      <c r="A2751" s="1">
        <v>45797</v>
      </c>
      <c r="B2751" s="2" t="s">
        <v>34</v>
      </c>
      <c r="C2751" s="2" t="s">
        <v>29</v>
      </c>
      <c r="D2751" s="2" t="s">
        <v>17</v>
      </c>
      <c r="E2751" s="2" t="s">
        <v>24</v>
      </c>
      <c r="F2751">
        <v>916</v>
      </c>
      <c r="G2751">
        <v>317</v>
      </c>
      <c r="H2751">
        <v>290372</v>
      </c>
      <c r="I2751">
        <v>69883.823399999994</v>
      </c>
      <c r="J2751" s="2" t="s">
        <v>40</v>
      </c>
    </row>
    <row r="2752" spans="1:10" x14ac:dyDescent="0.35">
      <c r="A2752" s="1">
        <v>45797</v>
      </c>
      <c r="B2752" s="2" t="s">
        <v>25</v>
      </c>
      <c r="C2752" s="2" t="s">
        <v>29</v>
      </c>
      <c r="D2752" s="2" t="s">
        <v>17</v>
      </c>
      <c r="E2752" s="2" t="s">
        <v>33</v>
      </c>
      <c r="F2752">
        <v>525</v>
      </c>
      <c r="G2752">
        <v>234</v>
      </c>
      <c r="H2752">
        <v>122850</v>
      </c>
      <c r="I2752">
        <v>29256.994699999999</v>
      </c>
      <c r="J2752" s="2" t="s">
        <v>40</v>
      </c>
    </row>
    <row r="2753" spans="1:10" x14ac:dyDescent="0.35">
      <c r="A2753" s="1">
        <v>45797</v>
      </c>
      <c r="B2753" s="2" t="s">
        <v>26</v>
      </c>
      <c r="C2753" s="2" t="s">
        <v>27</v>
      </c>
      <c r="D2753" s="2" t="s">
        <v>12</v>
      </c>
      <c r="E2753" s="2" t="s">
        <v>18</v>
      </c>
      <c r="F2753">
        <v>569</v>
      </c>
      <c r="G2753">
        <v>166</v>
      </c>
      <c r="H2753">
        <v>94454</v>
      </c>
      <c r="I2753">
        <v>14716.6013</v>
      </c>
      <c r="J2753" s="2" t="s">
        <v>40</v>
      </c>
    </row>
    <row r="2754" spans="1:10" x14ac:dyDescent="0.35">
      <c r="A2754" s="1">
        <v>45797</v>
      </c>
      <c r="B2754" s="2" t="s">
        <v>34</v>
      </c>
      <c r="C2754" s="2" t="s">
        <v>20</v>
      </c>
      <c r="D2754" s="2" t="s">
        <v>30</v>
      </c>
      <c r="E2754" s="2" t="s">
        <v>18</v>
      </c>
      <c r="F2754">
        <v>610</v>
      </c>
      <c r="G2754">
        <v>100</v>
      </c>
      <c r="H2754">
        <v>61000</v>
      </c>
      <c r="I2754">
        <v>14394.901</v>
      </c>
      <c r="J2754" s="2" t="s">
        <v>40</v>
      </c>
    </row>
    <row r="2755" spans="1:10" x14ac:dyDescent="0.35">
      <c r="A2755" s="1">
        <v>45798</v>
      </c>
      <c r="B2755" s="2" t="s">
        <v>36</v>
      </c>
      <c r="C2755" s="2" t="s">
        <v>27</v>
      </c>
      <c r="D2755" s="2" t="s">
        <v>17</v>
      </c>
      <c r="E2755" s="2" t="s">
        <v>18</v>
      </c>
      <c r="F2755">
        <v>659</v>
      </c>
      <c r="G2755">
        <v>235</v>
      </c>
      <c r="H2755">
        <v>154865</v>
      </c>
      <c r="I2755">
        <v>18864.0013</v>
      </c>
      <c r="J2755" s="2" t="s">
        <v>40</v>
      </c>
    </row>
    <row r="2756" spans="1:10" x14ac:dyDescent="0.35">
      <c r="A2756" s="1">
        <v>45798</v>
      </c>
      <c r="B2756" s="2" t="s">
        <v>26</v>
      </c>
      <c r="C2756" s="2" t="s">
        <v>27</v>
      </c>
      <c r="D2756" s="2" t="s">
        <v>30</v>
      </c>
      <c r="E2756" s="2" t="s">
        <v>18</v>
      </c>
      <c r="F2756">
        <v>583</v>
      </c>
      <c r="G2756">
        <v>338</v>
      </c>
      <c r="H2756">
        <v>197054</v>
      </c>
      <c r="I2756">
        <v>40939.677300000003</v>
      </c>
      <c r="J2756" s="2" t="s">
        <v>40</v>
      </c>
    </row>
    <row r="2757" spans="1:10" x14ac:dyDescent="0.35">
      <c r="A2757" s="1">
        <v>45798</v>
      </c>
      <c r="B2757" s="2" t="s">
        <v>36</v>
      </c>
      <c r="C2757" s="2" t="s">
        <v>23</v>
      </c>
      <c r="D2757" s="2" t="s">
        <v>21</v>
      </c>
      <c r="E2757" s="2" t="s">
        <v>33</v>
      </c>
      <c r="F2757">
        <v>93</v>
      </c>
      <c r="G2757">
        <v>462</v>
      </c>
      <c r="H2757">
        <v>42966</v>
      </c>
      <c r="I2757">
        <v>9058.8776999999991</v>
      </c>
      <c r="J2757" s="2" t="s">
        <v>40</v>
      </c>
    </row>
    <row r="2758" spans="1:10" x14ac:dyDescent="0.35">
      <c r="A2758" s="1">
        <v>45798</v>
      </c>
      <c r="B2758" s="2" t="s">
        <v>34</v>
      </c>
      <c r="C2758" s="2" t="s">
        <v>11</v>
      </c>
      <c r="D2758" s="2" t="s">
        <v>17</v>
      </c>
      <c r="E2758" s="2" t="s">
        <v>28</v>
      </c>
      <c r="F2758">
        <v>519</v>
      </c>
      <c r="G2758">
        <v>435</v>
      </c>
      <c r="H2758">
        <v>225765</v>
      </c>
      <c r="I2758">
        <v>24440.551599999999</v>
      </c>
      <c r="J2758" s="2" t="s">
        <v>40</v>
      </c>
    </row>
    <row r="2759" spans="1:10" x14ac:dyDescent="0.35">
      <c r="A2759" s="1">
        <v>45799</v>
      </c>
      <c r="B2759" s="2" t="s">
        <v>36</v>
      </c>
      <c r="C2759" s="2" t="s">
        <v>20</v>
      </c>
      <c r="D2759" s="2" t="s">
        <v>17</v>
      </c>
      <c r="E2759" s="2" t="s">
        <v>35</v>
      </c>
      <c r="F2759">
        <v>115</v>
      </c>
      <c r="G2759">
        <v>330</v>
      </c>
      <c r="H2759">
        <v>37950</v>
      </c>
      <c r="I2759">
        <v>8012.9436999999998</v>
      </c>
      <c r="J2759" s="2" t="s">
        <v>40</v>
      </c>
    </row>
    <row r="2760" spans="1:10" x14ac:dyDescent="0.35">
      <c r="A2760" s="1">
        <v>45799</v>
      </c>
      <c r="B2760" s="2" t="s">
        <v>34</v>
      </c>
      <c r="C2760" s="2" t="s">
        <v>11</v>
      </c>
      <c r="D2760" s="2" t="s">
        <v>21</v>
      </c>
      <c r="E2760" s="2" t="s">
        <v>24</v>
      </c>
      <c r="F2760">
        <v>589</v>
      </c>
      <c r="G2760">
        <v>162</v>
      </c>
      <c r="H2760">
        <v>95418</v>
      </c>
      <c r="I2760">
        <v>17871.1495</v>
      </c>
      <c r="J2760" s="2" t="s">
        <v>40</v>
      </c>
    </row>
    <row r="2761" spans="1:10" x14ac:dyDescent="0.35">
      <c r="A2761" s="1">
        <v>45799</v>
      </c>
      <c r="B2761" s="2" t="s">
        <v>34</v>
      </c>
      <c r="C2761" s="2" t="s">
        <v>23</v>
      </c>
      <c r="D2761" s="2" t="s">
        <v>17</v>
      </c>
      <c r="E2761" s="2" t="s">
        <v>18</v>
      </c>
      <c r="F2761">
        <v>509</v>
      </c>
      <c r="G2761">
        <v>128</v>
      </c>
      <c r="H2761">
        <v>65152</v>
      </c>
      <c r="I2761">
        <v>9700.7193000000007</v>
      </c>
      <c r="J2761" s="2" t="s">
        <v>40</v>
      </c>
    </row>
    <row r="2762" spans="1:10" x14ac:dyDescent="0.35">
      <c r="A2762" s="1">
        <v>45799</v>
      </c>
      <c r="B2762" s="2" t="s">
        <v>31</v>
      </c>
      <c r="C2762" s="2" t="s">
        <v>11</v>
      </c>
      <c r="D2762" s="2" t="s">
        <v>12</v>
      </c>
      <c r="E2762" s="2" t="s">
        <v>33</v>
      </c>
      <c r="F2762">
        <v>751</v>
      </c>
      <c r="G2762">
        <v>185</v>
      </c>
      <c r="H2762">
        <v>138935</v>
      </c>
      <c r="I2762">
        <v>13558.0887</v>
      </c>
      <c r="J2762" s="2" t="s">
        <v>40</v>
      </c>
    </row>
    <row r="2763" spans="1:10" x14ac:dyDescent="0.35">
      <c r="A2763" s="1">
        <v>45799</v>
      </c>
      <c r="B2763" s="2" t="s">
        <v>19</v>
      </c>
      <c r="C2763" s="2" t="s">
        <v>27</v>
      </c>
      <c r="D2763" s="2" t="s">
        <v>30</v>
      </c>
      <c r="E2763" s="2" t="s">
        <v>13</v>
      </c>
      <c r="F2763">
        <v>666</v>
      </c>
      <c r="G2763">
        <v>176</v>
      </c>
      <c r="H2763">
        <v>117216</v>
      </c>
      <c r="I2763">
        <v>17439.604299999999</v>
      </c>
      <c r="J2763" s="2" t="s">
        <v>40</v>
      </c>
    </row>
    <row r="2764" spans="1:10" x14ac:dyDescent="0.35">
      <c r="A2764" s="1">
        <v>45800</v>
      </c>
      <c r="B2764" s="2" t="s">
        <v>15</v>
      </c>
      <c r="C2764" s="2" t="s">
        <v>29</v>
      </c>
      <c r="D2764" s="2" t="s">
        <v>30</v>
      </c>
      <c r="E2764" s="2" t="s">
        <v>32</v>
      </c>
      <c r="F2764">
        <v>298</v>
      </c>
      <c r="G2764">
        <v>399</v>
      </c>
      <c r="H2764">
        <v>118902</v>
      </c>
      <c r="I2764">
        <v>17761.732100000001</v>
      </c>
      <c r="J2764" s="2" t="s">
        <v>40</v>
      </c>
    </row>
    <row r="2765" spans="1:10" x14ac:dyDescent="0.35">
      <c r="A2765" s="1">
        <v>45800</v>
      </c>
      <c r="B2765" s="2" t="s">
        <v>31</v>
      </c>
      <c r="C2765" s="2" t="s">
        <v>20</v>
      </c>
      <c r="D2765" s="2" t="s">
        <v>30</v>
      </c>
      <c r="E2765" s="2" t="s">
        <v>32</v>
      </c>
      <c r="F2765">
        <v>117</v>
      </c>
      <c r="G2765">
        <v>252</v>
      </c>
      <c r="H2765">
        <v>29484</v>
      </c>
      <c r="I2765">
        <v>5651.7924000000003</v>
      </c>
      <c r="J2765" s="2" t="s">
        <v>40</v>
      </c>
    </row>
    <row r="2766" spans="1:10" x14ac:dyDescent="0.35">
      <c r="A2766" s="1">
        <v>45800</v>
      </c>
      <c r="B2766" s="2" t="s">
        <v>36</v>
      </c>
      <c r="C2766" s="2" t="s">
        <v>29</v>
      </c>
      <c r="D2766" s="2" t="s">
        <v>17</v>
      </c>
      <c r="E2766" s="2" t="s">
        <v>28</v>
      </c>
      <c r="F2766">
        <v>699</v>
      </c>
      <c r="G2766">
        <v>334</v>
      </c>
      <c r="H2766">
        <v>233466</v>
      </c>
      <c r="I2766">
        <v>33994.200599999996</v>
      </c>
      <c r="J2766" s="2" t="s">
        <v>40</v>
      </c>
    </row>
    <row r="2767" spans="1:10" x14ac:dyDescent="0.35">
      <c r="A2767" s="1">
        <v>45801</v>
      </c>
      <c r="B2767" s="2" t="s">
        <v>36</v>
      </c>
      <c r="C2767" s="2" t="s">
        <v>16</v>
      </c>
      <c r="D2767" s="2" t="s">
        <v>12</v>
      </c>
      <c r="E2767" s="2" t="s">
        <v>28</v>
      </c>
      <c r="F2767">
        <v>598</v>
      </c>
      <c r="G2767">
        <v>317</v>
      </c>
      <c r="H2767">
        <v>189566</v>
      </c>
      <c r="I2767">
        <v>33569.436099999999</v>
      </c>
      <c r="J2767" s="2" t="s">
        <v>40</v>
      </c>
    </row>
    <row r="2768" spans="1:10" x14ac:dyDescent="0.35">
      <c r="A2768" s="1">
        <v>45801</v>
      </c>
      <c r="B2768" s="2" t="s">
        <v>19</v>
      </c>
      <c r="C2768" s="2" t="s">
        <v>29</v>
      </c>
      <c r="D2768" s="2" t="s">
        <v>17</v>
      </c>
      <c r="E2768" s="2" t="s">
        <v>24</v>
      </c>
      <c r="F2768">
        <v>294</v>
      </c>
      <c r="G2768">
        <v>451</v>
      </c>
      <c r="H2768">
        <v>132594</v>
      </c>
      <c r="I2768">
        <v>18914.324000000001</v>
      </c>
      <c r="J2768" s="2" t="s">
        <v>40</v>
      </c>
    </row>
    <row r="2769" spans="1:10" x14ac:dyDescent="0.35">
      <c r="A2769" s="1">
        <v>45802</v>
      </c>
      <c r="B2769" s="2" t="s">
        <v>19</v>
      </c>
      <c r="C2769" s="2" t="s">
        <v>11</v>
      </c>
      <c r="D2769" s="2" t="s">
        <v>30</v>
      </c>
      <c r="E2769" s="2" t="s">
        <v>28</v>
      </c>
      <c r="F2769">
        <v>115</v>
      </c>
      <c r="G2769">
        <v>429</v>
      </c>
      <c r="H2769">
        <v>49335</v>
      </c>
      <c r="I2769">
        <v>6404.0802000000003</v>
      </c>
      <c r="J2769" s="2" t="s">
        <v>40</v>
      </c>
    </row>
    <row r="2770" spans="1:10" x14ac:dyDescent="0.35">
      <c r="A2770" s="1">
        <v>45802</v>
      </c>
      <c r="B2770" s="2" t="s">
        <v>25</v>
      </c>
      <c r="C2770" s="2" t="s">
        <v>29</v>
      </c>
      <c r="D2770" s="2" t="s">
        <v>12</v>
      </c>
      <c r="E2770" s="2" t="s">
        <v>13</v>
      </c>
      <c r="F2770">
        <v>753</v>
      </c>
      <c r="G2770">
        <v>219</v>
      </c>
      <c r="H2770">
        <v>164907</v>
      </c>
      <c r="I2770">
        <v>22965.030500000001</v>
      </c>
      <c r="J2770" s="2" t="s">
        <v>40</v>
      </c>
    </row>
    <row r="2771" spans="1:10" x14ac:dyDescent="0.35">
      <c r="A2771" s="1">
        <v>45802</v>
      </c>
      <c r="B2771" s="2" t="s">
        <v>31</v>
      </c>
      <c r="C2771" s="2" t="s">
        <v>11</v>
      </c>
      <c r="D2771" s="2" t="s">
        <v>21</v>
      </c>
      <c r="E2771" s="2" t="s">
        <v>24</v>
      </c>
      <c r="F2771">
        <v>122</v>
      </c>
      <c r="G2771">
        <v>403</v>
      </c>
      <c r="H2771">
        <v>49166</v>
      </c>
      <c r="I2771">
        <v>10206.937900000001</v>
      </c>
      <c r="J2771" s="2" t="s">
        <v>40</v>
      </c>
    </row>
    <row r="2772" spans="1:10" x14ac:dyDescent="0.35">
      <c r="A2772" s="1">
        <v>45803</v>
      </c>
      <c r="B2772" s="2" t="s">
        <v>31</v>
      </c>
      <c r="C2772" s="2" t="s">
        <v>20</v>
      </c>
      <c r="D2772" s="2" t="s">
        <v>21</v>
      </c>
      <c r="E2772" s="2" t="s">
        <v>22</v>
      </c>
      <c r="F2772">
        <v>556</v>
      </c>
      <c r="G2772">
        <v>462</v>
      </c>
      <c r="H2772">
        <v>256872</v>
      </c>
      <c r="I2772">
        <v>25239.660100000001</v>
      </c>
      <c r="J2772" s="2" t="s">
        <v>40</v>
      </c>
    </row>
    <row r="2773" spans="1:10" x14ac:dyDescent="0.35">
      <c r="A2773" s="1">
        <v>45803</v>
      </c>
      <c r="B2773" s="2" t="s">
        <v>26</v>
      </c>
      <c r="C2773" s="2" t="s">
        <v>16</v>
      </c>
      <c r="D2773" s="2" t="s">
        <v>30</v>
      </c>
      <c r="E2773" s="2" t="s">
        <v>32</v>
      </c>
      <c r="F2773">
        <v>868</v>
      </c>
      <c r="G2773">
        <v>196</v>
      </c>
      <c r="H2773">
        <v>170128</v>
      </c>
      <c r="I2773">
        <v>24671.592199999999</v>
      </c>
      <c r="J2773" s="2" t="s">
        <v>40</v>
      </c>
    </row>
    <row r="2774" spans="1:10" x14ac:dyDescent="0.35">
      <c r="A2774" s="1">
        <v>45803</v>
      </c>
      <c r="B2774" s="2" t="s">
        <v>19</v>
      </c>
      <c r="C2774" s="2" t="s">
        <v>11</v>
      </c>
      <c r="D2774" s="2" t="s">
        <v>17</v>
      </c>
      <c r="E2774" s="2" t="s">
        <v>35</v>
      </c>
      <c r="F2774">
        <v>848</v>
      </c>
      <c r="G2774">
        <v>427</v>
      </c>
      <c r="H2774">
        <v>362096</v>
      </c>
      <c r="I2774">
        <v>41858.4715</v>
      </c>
      <c r="J2774" s="2" t="s">
        <v>40</v>
      </c>
    </row>
    <row r="2775" spans="1:10" x14ac:dyDescent="0.35">
      <c r="A2775" s="1">
        <v>45803</v>
      </c>
      <c r="B2775" s="2" t="s">
        <v>19</v>
      </c>
      <c r="C2775" s="2" t="s">
        <v>29</v>
      </c>
      <c r="D2775" s="2" t="s">
        <v>30</v>
      </c>
      <c r="E2775" s="2" t="s">
        <v>35</v>
      </c>
      <c r="F2775">
        <v>913</v>
      </c>
      <c r="G2775">
        <v>131</v>
      </c>
      <c r="H2775">
        <v>119603</v>
      </c>
      <c r="I2775">
        <v>18846.945199999998</v>
      </c>
      <c r="J2775" s="2" t="s">
        <v>40</v>
      </c>
    </row>
    <row r="2776" spans="1:10" x14ac:dyDescent="0.35">
      <c r="A2776" s="1">
        <v>45803</v>
      </c>
      <c r="B2776" s="2" t="s">
        <v>25</v>
      </c>
      <c r="C2776" s="2" t="s">
        <v>27</v>
      </c>
      <c r="D2776" s="2" t="s">
        <v>17</v>
      </c>
      <c r="E2776" s="2" t="s">
        <v>32</v>
      </c>
      <c r="F2776">
        <v>561</v>
      </c>
      <c r="G2776">
        <v>434</v>
      </c>
      <c r="H2776">
        <v>243474</v>
      </c>
      <c r="I2776">
        <v>27423.421699999999</v>
      </c>
      <c r="J2776" s="2" t="s">
        <v>40</v>
      </c>
    </row>
    <row r="2777" spans="1:10" x14ac:dyDescent="0.35">
      <c r="A2777" s="1">
        <v>45804</v>
      </c>
      <c r="B2777" s="2" t="s">
        <v>15</v>
      </c>
      <c r="C2777" s="2" t="s">
        <v>11</v>
      </c>
      <c r="D2777" s="2" t="s">
        <v>21</v>
      </c>
      <c r="E2777" s="2" t="s">
        <v>13</v>
      </c>
      <c r="F2777">
        <v>458</v>
      </c>
      <c r="G2777">
        <v>306</v>
      </c>
      <c r="H2777">
        <v>140148</v>
      </c>
      <c r="I2777">
        <v>33470.172700000003</v>
      </c>
      <c r="J2777" s="2" t="s">
        <v>40</v>
      </c>
    </row>
    <row r="2778" spans="1:10" x14ac:dyDescent="0.35">
      <c r="A2778" s="1">
        <v>45805</v>
      </c>
      <c r="B2778" s="2" t="s">
        <v>10</v>
      </c>
      <c r="C2778" s="2" t="s">
        <v>29</v>
      </c>
      <c r="D2778" s="2" t="s">
        <v>12</v>
      </c>
      <c r="E2778" s="2" t="s">
        <v>22</v>
      </c>
      <c r="F2778">
        <v>348</v>
      </c>
      <c r="G2778">
        <v>335</v>
      </c>
      <c r="H2778">
        <v>116580</v>
      </c>
      <c r="I2778">
        <v>25254.7163</v>
      </c>
      <c r="J2778" s="2" t="s">
        <v>40</v>
      </c>
    </row>
    <row r="2779" spans="1:10" x14ac:dyDescent="0.35">
      <c r="A2779" s="1">
        <v>45805</v>
      </c>
      <c r="B2779" s="2" t="s">
        <v>34</v>
      </c>
      <c r="C2779" s="2" t="s">
        <v>27</v>
      </c>
      <c r="D2779" s="2" t="s">
        <v>30</v>
      </c>
      <c r="E2779" s="2" t="s">
        <v>24</v>
      </c>
      <c r="F2779">
        <v>539</v>
      </c>
      <c r="G2779">
        <v>237</v>
      </c>
      <c r="H2779">
        <v>127743</v>
      </c>
      <c r="I2779">
        <v>31105.000700000001</v>
      </c>
      <c r="J2779" s="2" t="s">
        <v>40</v>
      </c>
    </row>
    <row r="2780" spans="1:10" x14ac:dyDescent="0.35">
      <c r="A2780" s="1">
        <v>45805</v>
      </c>
      <c r="B2780" s="2" t="s">
        <v>31</v>
      </c>
      <c r="C2780" s="2" t="s">
        <v>23</v>
      </c>
      <c r="D2780" s="2" t="s">
        <v>30</v>
      </c>
      <c r="E2780" s="2" t="s">
        <v>28</v>
      </c>
      <c r="F2780">
        <v>488</v>
      </c>
      <c r="G2780">
        <v>216</v>
      </c>
      <c r="H2780">
        <v>105408</v>
      </c>
      <c r="I2780">
        <v>17167.787</v>
      </c>
      <c r="J2780" s="2" t="s">
        <v>40</v>
      </c>
    </row>
    <row r="2781" spans="1:10" x14ac:dyDescent="0.35">
      <c r="A2781" s="1">
        <v>45807</v>
      </c>
      <c r="B2781" s="2" t="s">
        <v>19</v>
      </c>
      <c r="C2781" s="2" t="s">
        <v>20</v>
      </c>
      <c r="D2781" s="2" t="s">
        <v>21</v>
      </c>
      <c r="E2781" s="2" t="s">
        <v>24</v>
      </c>
      <c r="F2781">
        <v>729</v>
      </c>
      <c r="G2781">
        <v>446</v>
      </c>
      <c r="H2781">
        <v>325134</v>
      </c>
      <c r="I2781">
        <v>61519.279000000002</v>
      </c>
      <c r="J2781" s="2" t="s">
        <v>40</v>
      </c>
    </row>
    <row r="2782" spans="1:10" x14ac:dyDescent="0.35">
      <c r="A2782" s="1">
        <v>45807</v>
      </c>
      <c r="B2782" s="2" t="s">
        <v>34</v>
      </c>
      <c r="C2782" s="2" t="s">
        <v>27</v>
      </c>
      <c r="D2782" s="2" t="s">
        <v>21</v>
      </c>
      <c r="E2782" s="2" t="s">
        <v>24</v>
      </c>
      <c r="F2782">
        <v>810</v>
      </c>
      <c r="G2782">
        <v>284</v>
      </c>
      <c r="H2782">
        <v>230040</v>
      </c>
      <c r="I2782">
        <v>41035.003400000001</v>
      </c>
      <c r="J2782" s="2" t="s">
        <v>40</v>
      </c>
    </row>
    <row r="2783" spans="1:10" x14ac:dyDescent="0.35">
      <c r="A2783" s="1">
        <v>45807</v>
      </c>
      <c r="B2783" s="2" t="s">
        <v>34</v>
      </c>
      <c r="C2783" s="2" t="s">
        <v>11</v>
      </c>
      <c r="D2783" s="2" t="s">
        <v>17</v>
      </c>
      <c r="E2783" s="2" t="s">
        <v>35</v>
      </c>
      <c r="F2783">
        <v>967</v>
      </c>
      <c r="G2783">
        <v>309</v>
      </c>
      <c r="H2783">
        <v>298803</v>
      </c>
      <c r="I2783">
        <v>32936.023999999998</v>
      </c>
      <c r="J2783" s="2" t="s">
        <v>40</v>
      </c>
    </row>
    <row r="2784" spans="1:10" x14ac:dyDescent="0.35">
      <c r="A2784" s="1">
        <v>45807</v>
      </c>
      <c r="B2784" s="2" t="s">
        <v>19</v>
      </c>
      <c r="C2784" s="2" t="s">
        <v>11</v>
      </c>
      <c r="D2784" s="2" t="s">
        <v>17</v>
      </c>
      <c r="E2784" s="2" t="s">
        <v>18</v>
      </c>
      <c r="F2784">
        <v>591</v>
      </c>
      <c r="G2784">
        <v>255</v>
      </c>
      <c r="H2784">
        <v>150705</v>
      </c>
      <c r="I2784">
        <v>26776.7179</v>
      </c>
      <c r="J2784" s="2" t="s">
        <v>40</v>
      </c>
    </row>
    <row r="2785" spans="1:10" x14ac:dyDescent="0.35">
      <c r="A2785" s="1">
        <v>45807</v>
      </c>
      <c r="B2785" s="2" t="s">
        <v>31</v>
      </c>
      <c r="C2785" s="2" t="s">
        <v>11</v>
      </c>
      <c r="D2785" s="2" t="s">
        <v>30</v>
      </c>
      <c r="E2785" s="2" t="s">
        <v>32</v>
      </c>
      <c r="F2785">
        <v>743</v>
      </c>
      <c r="G2785">
        <v>139</v>
      </c>
      <c r="H2785">
        <v>103277</v>
      </c>
      <c r="I2785">
        <v>8982.0830000000005</v>
      </c>
      <c r="J2785" s="2" t="s">
        <v>40</v>
      </c>
    </row>
    <row r="2786" spans="1:10" x14ac:dyDescent="0.35">
      <c r="A2786" s="1">
        <v>45807</v>
      </c>
      <c r="B2786" s="2" t="s">
        <v>36</v>
      </c>
      <c r="C2786" s="2" t="s">
        <v>23</v>
      </c>
      <c r="D2786" s="2" t="s">
        <v>12</v>
      </c>
      <c r="E2786" s="2" t="s">
        <v>28</v>
      </c>
      <c r="F2786">
        <v>712</v>
      </c>
      <c r="G2786">
        <v>408</v>
      </c>
      <c r="H2786">
        <v>290496</v>
      </c>
      <c r="I2786">
        <v>70131.147500000006</v>
      </c>
      <c r="J2786" s="2" t="s">
        <v>40</v>
      </c>
    </row>
    <row r="2787" spans="1:10" x14ac:dyDescent="0.35">
      <c r="A2787" s="1">
        <v>45807</v>
      </c>
      <c r="B2787" s="2" t="s">
        <v>26</v>
      </c>
      <c r="C2787" s="2" t="s">
        <v>20</v>
      </c>
      <c r="D2787" s="2" t="s">
        <v>17</v>
      </c>
      <c r="E2787" s="2" t="s">
        <v>32</v>
      </c>
      <c r="F2787">
        <v>464</v>
      </c>
      <c r="G2787">
        <v>428</v>
      </c>
      <c r="H2787">
        <v>198592</v>
      </c>
      <c r="I2787">
        <v>19979.260200000001</v>
      </c>
      <c r="J2787" s="2" t="s">
        <v>40</v>
      </c>
    </row>
    <row r="2788" spans="1:10" x14ac:dyDescent="0.35">
      <c r="A2788" s="1">
        <v>45807</v>
      </c>
      <c r="B2788" s="2" t="s">
        <v>10</v>
      </c>
      <c r="C2788" s="2" t="s">
        <v>20</v>
      </c>
      <c r="D2788" s="2" t="s">
        <v>17</v>
      </c>
      <c r="E2788" s="2" t="s">
        <v>24</v>
      </c>
      <c r="F2788">
        <v>342</v>
      </c>
      <c r="G2788">
        <v>324</v>
      </c>
      <c r="H2788">
        <v>110808</v>
      </c>
      <c r="I2788">
        <v>17281.365600000001</v>
      </c>
      <c r="J2788" s="2" t="s">
        <v>40</v>
      </c>
    </row>
    <row r="2789" spans="1:10" x14ac:dyDescent="0.35">
      <c r="A2789" s="1">
        <v>45807</v>
      </c>
      <c r="B2789" s="2" t="s">
        <v>26</v>
      </c>
      <c r="C2789" s="2" t="s">
        <v>23</v>
      </c>
      <c r="D2789" s="2" t="s">
        <v>21</v>
      </c>
      <c r="E2789" s="2" t="s">
        <v>32</v>
      </c>
      <c r="F2789">
        <v>617</v>
      </c>
      <c r="G2789">
        <v>266</v>
      </c>
      <c r="H2789">
        <v>164122</v>
      </c>
      <c r="I2789">
        <v>32302.414499999999</v>
      </c>
      <c r="J2789" s="2" t="s">
        <v>40</v>
      </c>
    </row>
    <row r="2790" spans="1:10" x14ac:dyDescent="0.35">
      <c r="A2790" s="1">
        <v>45807</v>
      </c>
      <c r="B2790" s="2" t="s">
        <v>34</v>
      </c>
      <c r="C2790" s="2" t="s">
        <v>27</v>
      </c>
      <c r="D2790" s="2" t="s">
        <v>12</v>
      </c>
      <c r="E2790" s="2" t="s">
        <v>22</v>
      </c>
      <c r="F2790">
        <v>811</v>
      </c>
      <c r="G2790">
        <v>372</v>
      </c>
      <c r="H2790">
        <v>301692</v>
      </c>
      <c r="I2790">
        <v>26486.0615</v>
      </c>
      <c r="J2790" s="2" t="s">
        <v>40</v>
      </c>
    </row>
    <row r="2791" spans="1:10" x14ac:dyDescent="0.35">
      <c r="A2791" s="1">
        <v>45809</v>
      </c>
      <c r="B2791" s="2" t="s">
        <v>10</v>
      </c>
      <c r="C2791" s="2" t="s">
        <v>23</v>
      </c>
      <c r="D2791" s="2" t="s">
        <v>12</v>
      </c>
      <c r="E2791" s="2" t="s">
        <v>33</v>
      </c>
      <c r="F2791">
        <v>708</v>
      </c>
      <c r="G2791">
        <v>331</v>
      </c>
      <c r="H2791">
        <v>234348</v>
      </c>
      <c r="I2791">
        <v>22364.272400000002</v>
      </c>
      <c r="J2791" s="2" t="s">
        <v>41</v>
      </c>
    </row>
    <row r="2792" spans="1:10" x14ac:dyDescent="0.35">
      <c r="A2792" s="1">
        <v>45809</v>
      </c>
      <c r="B2792" s="2" t="s">
        <v>25</v>
      </c>
      <c r="C2792" s="2" t="s">
        <v>27</v>
      </c>
      <c r="D2792" s="2" t="s">
        <v>21</v>
      </c>
      <c r="E2792" s="2" t="s">
        <v>24</v>
      </c>
      <c r="F2792">
        <v>824</v>
      </c>
      <c r="G2792">
        <v>418</v>
      </c>
      <c r="H2792">
        <v>344432</v>
      </c>
      <c r="I2792">
        <v>75173.33</v>
      </c>
      <c r="J2792" s="2" t="s">
        <v>41</v>
      </c>
    </row>
    <row r="2793" spans="1:10" x14ac:dyDescent="0.35">
      <c r="A2793" s="1">
        <v>45809</v>
      </c>
      <c r="B2793" s="2" t="s">
        <v>26</v>
      </c>
      <c r="C2793" s="2" t="s">
        <v>23</v>
      </c>
      <c r="D2793" s="2" t="s">
        <v>21</v>
      </c>
      <c r="E2793" s="2" t="s">
        <v>32</v>
      </c>
      <c r="F2793">
        <v>943</v>
      </c>
      <c r="G2793">
        <v>242</v>
      </c>
      <c r="H2793">
        <v>228206</v>
      </c>
      <c r="I2793">
        <v>29183.101699999999</v>
      </c>
      <c r="J2793" s="2" t="s">
        <v>41</v>
      </c>
    </row>
    <row r="2794" spans="1:10" x14ac:dyDescent="0.35">
      <c r="A2794" s="1">
        <v>45809</v>
      </c>
      <c r="B2794" s="2" t="s">
        <v>19</v>
      </c>
      <c r="C2794" s="2" t="s">
        <v>11</v>
      </c>
      <c r="D2794" s="2" t="s">
        <v>12</v>
      </c>
      <c r="E2794" s="2" t="s">
        <v>35</v>
      </c>
      <c r="F2794">
        <v>785</v>
      </c>
      <c r="G2794">
        <v>388</v>
      </c>
      <c r="H2794">
        <v>304580</v>
      </c>
      <c r="I2794">
        <v>27048.584999999999</v>
      </c>
      <c r="J2794" s="2" t="s">
        <v>41</v>
      </c>
    </row>
    <row r="2795" spans="1:10" x14ac:dyDescent="0.35">
      <c r="A2795" s="1">
        <v>45809</v>
      </c>
      <c r="B2795" s="2" t="s">
        <v>10</v>
      </c>
      <c r="C2795" s="2" t="s">
        <v>16</v>
      </c>
      <c r="D2795" s="2" t="s">
        <v>30</v>
      </c>
      <c r="E2795" s="2" t="s">
        <v>32</v>
      </c>
      <c r="F2795">
        <v>532</v>
      </c>
      <c r="G2795">
        <v>137</v>
      </c>
      <c r="H2795">
        <v>72884</v>
      </c>
      <c r="I2795">
        <v>13893.9845</v>
      </c>
      <c r="J2795" s="2" t="s">
        <v>41</v>
      </c>
    </row>
    <row r="2796" spans="1:10" x14ac:dyDescent="0.35">
      <c r="A2796" s="1">
        <v>45809</v>
      </c>
      <c r="B2796" s="2" t="s">
        <v>25</v>
      </c>
      <c r="C2796" s="2" t="s">
        <v>29</v>
      </c>
      <c r="D2796" s="2" t="s">
        <v>30</v>
      </c>
      <c r="E2796" s="2" t="s">
        <v>18</v>
      </c>
      <c r="F2796">
        <v>757</v>
      </c>
      <c r="G2796">
        <v>464</v>
      </c>
      <c r="H2796">
        <v>351248</v>
      </c>
      <c r="I2796">
        <v>41775.422200000001</v>
      </c>
      <c r="J2796" s="2" t="s">
        <v>41</v>
      </c>
    </row>
    <row r="2797" spans="1:10" x14ac:dyDescent="0.35">
      <c r="A2797" s="1">
        <v>45809</v>
      </c>
      <c r="B2797" s="2" t="s">
        <v>36</v>
      </c>
      <c r="C2797" s="2" t="s">
        <v>23</v>
      </c>
      <c r="D2797" s="2" t="s">
        <v>17</v>
      </c>
      <c r="E2797" s="2" t="s">
        <v>35</v>
      </c>
      <c r="F2797">
        <v>933</v>
      </c>
      <c r="G2797">
        <v>440</v>
      </c>
      <c r="H2797">
        <v>410520</v>
      </c>
      <c r="I2797">
        <v>82358.4283</v>
      </c>
      <c r="J2797" s="2" t="s">
        <v>41</v>
      </c>
    </row>
    <row r="2798" spans="1:10" x14ac:dyDescent="0.35">
      <c r="A2798" s="1">
        <v>45810</v>
      </c>
      <c r="B2798" s="2" t="s">
        <v>36</v>
      </c>
      <c r="C2798" s="2" t="s">
        <v>16</v>
      </c>
      <c r="D2798" s="2" t="s">
        <v>21</v>
      </c>
      <c r="E2798" s="2" t="s">
        <v>32</v>
      </c>
      <c r="F2798">
        <v>452</v>
      </c>
      <c r="G2798">
        <v>313</v>
      </c>
      <c r="H2798">
        <v>141476</v>
      </c>
      <c r="I2798">
        <v>25099.095499999999</v>
      </c>
      <c r="J2798" s="2" t="s">
        <v>41</v>
      </c>
    </row>
    <row r="2799" spans="1:10" x14ac:dyDescent="0.35">
      <c r="A2799" s="1">
        <v>45810</v>
      </c>
      <c r="B2799" s="2" t="s">
        <v>31</v>
      </c>
      <c r="C2799" s="2" t="s">
        <v>23</v>
      </c>
      <c r="D2799" s="2" t="s">
        <v>30</v>
      </c>
      <c r="E2799" s="2" t="s">
        <v>32</v>
      </c>
      <c r="F2799">
        <v>259</v>
      </c>
      <c r="G2799">
        <v>475</v>
      </c>
      <c r="H2799">
        <v>123025</v>
      </c>
      <c r="I2799">
        <v>25560.1685</v>
      </c>
      <c r="J2799" s="2" t="s">
        <v>41</v>
      </c>
    </row>
    <row r="2800" spans="1:10" x14ac:dyDescent="0.35">
      <c r="A2800" s="1">
        <v>45810</v>
      </c>
      <c r="B2800" s="2" t="s">
        <v>10</v>
      </c>
      <c r="C2800" s="2" t="s">
        <v>11</v>
      </c>
      <c r="D2800" s="2" t="s">
        <v>21</v>
      </c>
      <c r="E2800" s="2" t="s">
        <v>24</v>
      </c>
      <c r="F2800">
        <v>238</v>
      </c>
      <c r="G2800">
        <v>280</v>
      </c>
      <c r="H2800">
        <v>66640</v>
      </c>
      <c r="I2800">
        <v>8491.5436000000009</v>
      </c>
      <c r="J2800" s="2" t="s">
        <v>41</v>
      </c>
    </row>
    <row r="2801" spans="1:10" x14ac:dyDescent="0.35">
      <c r="A2801" s="1">
        <v>45810</v>
      </c>
      <c r="B2801" s="2" t="s">
        <v>15</v>
      </c>
      <c r="C2801" s="2" t="s">
        <v>27</v>
      </c>
      <c r="D2801" s="2" t="s">
        <v>30</v>
      </c>
      <c r="E2801" s="2" t="s">
        <v>32</v>
      </c>
      <c r="F2801">
        <v>760</v>
      </c>
      <c r="G2801">
        <v>350</v>
      </c>
      <c r="H2801">
        <v>266000</v>
      </c>
      <c r="I2801">
        <v>51261.919900000001</v>
      </c>
      <c r="J2801" s="2" t="s">
        <v>41</v>
      </c>
    </row>
    <row r="2802" spans="1:10" x14ac:dyDescent="0.35">
      <c r="A2802" s="1">
        <v>45810</v>
      </c>
      <c r="B2802" s="2" t="s">
        <v>31</v>
      </c>
      <c r="C2802" s="2" t="s">
        <v>16</v>
      </c>
      <c r="D2802" s="2" t="s">
        <v>12</v>
      </c>
      <c r="E2802" s="2" t="s">
        <v>33</v>
      </c>
      <c r="F2802">
        <v>579</v>
      </c>
      <c r="G2802">
        <v>398</v>
      </c>
      <c r="H2802">
        <v>230442</v>
      </c>
      <c r="I2802">
        <v>31373.6312</v>
      </c>
      <c r="J2802" s="2" t="s">
        <v>41</v>
      </c>
    </row>
    <row r="2803" spans="1:10" x14ac:dyDescent="0.35">
      <c r="A2803" s="1">
        <v>45811</v>
      </c>
      <c r="B2803" s="2" t="s">
        <v>15</v>
      </c>
      <c r="C2803" s="2" t="s">
        <v>27</v>
      </c>
      <c r="D2803" s="2" t="s">
        <v>17</v>
      </c>
      <c r="E2803" s="2" t="s">
        <v>13</v>
      </c>
      <c r="F2803">
        <v>461</v>
      </c>
      <c r="G2803">
        <v>407</v>
      </c>
      <c r="H2803">
        <v>187627</v>
      </c>
      <c r="I2803">
        <v>43088.655400000003</v>
      </c>
      <c r="J2803" s="2" t="s">
        <v>41</v>
      </c>
    </row>
    <row r="2804" spans="1:10" x14ac:dyDescent="0.35">
      <c r="A2804" s="1">
        <v>45811</v>
      </c>
      <c r="B2804" s="2" t="s">
        <v>25</v>
      </c>
      <c r="C2804" s="2" t="s">
        <v>11</v>
      </c>
      <c r="D2804" s="2" t="s">
        <v>30</v>
      </c>
      <c r="E2804" s="2" t="s">
        <v>33</v>
      </c>
      <c r="F2804">
        <v>582</v>
      </c>
      <c r="G2804">
        <v>162</v>
      </c>
      <c r="H2804">
        <v>94284</v>
      </c>
      <c r="I2804">
        <v>12781.0846</v>
      </c>
      <c r="J2804" s="2" t="s">
        <v>41</v>
      </c>
    </row>
    <row r="2805" spans="1:10" x14ac:dyDescent="0.35">
      <c r="A2805" s="1">
        <v>45812</v>
      </c>
      <c r="B2805" s="2" t="s">
        <v>36</v>
      </c>
      <c r="C2805" s="2" t="s">
        <v>27</v>
      </c>
      <c r="D2805" s="2" t="s">
        <v>12</v>
      </c>
      <c r="E2805" s="2" t="s">
        <v>28</v>
      </c>
      <c r="F2805">
        <v>295</v>
      </c>
      <c r="G2805">
        <v>494</v>
      </c>
      <c r="H2805">
        <v>145730</v>
      </c>
      <c r="I2805">
        <v>19355.8174</v>
      </c>
      <c r="J2805" s="2" t="s">
        <v>41</v>
      </c>
    </row>
    <row r="2806" spans="1:10" x14ac:dyDescent="0.35">
      <c r="A2806" s="1">
        <v>45812</v>
      </c>
      <c r="B2806" s="2" t="s">
        <v>36</v>
      </c>
      <c r="C2806" s="2" t="s">
        <v>29</v>
      </c>
      <c r="D2806" s="2" t="s">
        <v>12</v>
      </c>
      <c r="E2806" s="2" t="s">
        <v>22</v>
      </c>
      <c r="F2806">
        <v>86</v>
      </c>
      <c r="G2806">
        <v>464</v>
      </c>
      <c r="H2806">
        <v>39904</v>
      </c>
      <c r="I2806">
        <v>3624.4614999999999</v>
      </c>
      <c r="J2806" s="2" t="s">
        <v>41</v>
      </c>
    </row>
    <row r="2807" spans="1:10" x14ac:dyDescent="0.35">
      <c r="A2807" s="1">
        <v>45812</v>
      </c>
      <c r="B2807" s="2" t="s">
        <v>10</v>
      </c>
      <c r="C2807" s="2" t="s">
        <v>20</v>
      </c>
      <c r="D2807" s="2" t="s">
        <v>12</v>
      </c>
      <c r="E2807" s="2" t="s">
        <v>33</v>
      </c>
      <c r="F2807">
        <v>887</v>
      </c>
      <c r="G2807">
        <v>303</v>
      </c>
      <c r="H2807">
        <v>268761</v>
      </c>
      <c r="I2807">
        <v>55842.417399999998</v>
      </c>
      <c r="J2807" s="2" t="s">
        <v>41</v>
      </c>
    </row>
    <row r="2808" spans="1:10" x14ac:dyDescent="0.35">
      <c r="A2808" s="1">
        <v>45812</v>
      </c>
      <c r="B2808" s="2" t="s">
        <v>15</v>
      </c>
      <c r="C2808" s="2" t="s">
        <v>11</v>
      </c>
      <c r="D2808" s="2" t="s">
        <v>30</v>
      </c>
      <c r="E2808" s="2" t="s">
        <v>24</v>
      </c>
      <c r="F2808">
        <v>935</v>
      </c>
      <c r="G2808">
        <v>433</v>
      </c>
      <c r="H2808">
        <v>404855</v>
      </c>
      <c r="I2808">
        <v>41663.022799999999</v>
      </c>
      <c r="J2808" s="2" t="s">
        <v>41</v>
      </c>
    </row>
    <row r="2809" spans="1:10" x14ac:dyDescent="0.35">
      <c r="A2809" s="1">
        <v>45813</v>
      </c>
      <c r="B2809" s="2" t="s">
        <v>10</v>
      </c>
      <c r="C2809" s="2" t="s">
        <v>11</v>
      </c>
      <c r="D2809" s="2" t="s">
        <v>12</v>
      </c>
      <c r="E2809" s="2" t="s">
        <v>13</v>
      </c>
      <c r="F2809">
        <v>977</v>
      </c>
      <c r="G2809">
        <v>235</v>
      </c>
      <c r="H2809">
        <v>229595</v>
      </c>
      <c r="I2809">
        <v>27650.0134</v>
      </c>
      <c r="J2809" s="2" t="s">
        <v>41</v>
      </c>
    </row>
    <row r="2810" spans="1:10" x14ac:dyDescent="0.35">
      <c r="A2810" s="1">
        <v>45813</v>
      </c>
      <c r="B2810" s="2" t="s">
        <v>31</v>
      </c>
      <c r="C2810" s="2" t="s">
        <v>29</v>
      </c>
      <c r="D2810" s="2" t="s">
        <v>21</v>
      </c>
      <c r="E2810" s="2" t="s">
        <v>24</v>
      </c>
      <c r="F2810">
        <v>414</v>
      </c>
      <c r="G2810">
        <v>389</v>
      </c>
      <c r="H2810">
        <v>161046</v>
      </c>
      <c r="I2810">
        <v>25928.7137</v>
      </c>
      <c r="J2810" s="2" t="s">
        <v>41</v>
      </c>
    </row>
    <row r="2811" spans="1:10" x14ac:dyDescent="0.35">
      <c r="A2811" s="1">
        <v>45813</v>
      </c>
      <c r="B2811" s="2" t="s">
        <v>26</v>
      </c>
      <c r="C2811" s="2" t="s">
        <v>16</v>
      </c>
      <c r="D2811" s="2" t="s">
        <v>17</v>
      </c>
      <c r="E2811" s="2" t="s">
        <v>22</v>
      </c>
      <c r="F2811">
        <v>134</v>
      </c>
      <c r="G2811">
        <v>287</v>
      </c>
      <c r="H2811">
        <v>38458</v>
      </c>
      <c r="I2811">
        <v>8983.2284</v>
      </c>
      <c r="J2811" s="2" t="s">
        <v>41</v>
      </c>
    </row>
    <row r="2812" spans="1:10" x14ac:dyDescent="0.35">
      <c r="A2812" s="1">
        <v>45814</v>
      </c>
      <c r="B2812" s="2" t="s">
        <v>34</v>
      </c>
      <c r="C2812" s="2" t="s">
        <v>23</v>
      </c>
      <c r="D2812" s="2" t="s">
        <v>30</v>
      </c>
      <c r="E2812" s="2" t="s">
        <v>24</v>
      </c>
      <c r="F2812">
        <v>643</v>
      </c>
      <c r="G2812">
        <v>475</v>
      </c>
      <c r="H2812">
        <v>305425</v>
      </c>
      <c r="I2812">
        <v>52508.877500000002</v>
      </c>
      <c r="J2812" s="2" t="s">
        <v>41</v>
      </c>
    </row>
    <row r="2813" spans="1:10" x14ac:dyDescent="0.35">
      <c r="A2813" s="1">
        <v>45814</v>
      </c>
      <c r="B2813" s="2" t="s">
        <v>25</v>
      </c>
      <c r="C2813" s="2" t="s">
        <v>29</v>
      </c>
      <c r="D2813" s="2" t="s">
        <v>17</v>
      </c>
      <c r="E2813" s="2" t="s">
        <v>35</v>
      </c>
      <c r="F2813">
        <v>739</v>
      </c>
      <c r="G2813">
        <v>474</v>
      </c>
      <c r="H2813">
        <v>350286</v>
      </c>
      <c r="I2813">
        <v>52430.7091</v>
      </c>
      <c r="J2813" s="2" t="s">
        <v>41</v>
      </c>
    </row>
    <row r="2814" spans="1:10" x14ac:dyDescent="0.35">
      <c r="A2814" s="1">
        <v>45814</v>
      </c>
      <c r="B2814" s="2" t="s">
        <v>26</v>
      </c>
      <c r="C2814" s="2" t="s">
        <v>23</v>
      </c>
      <c r="D2814" s="2" t="s">
        <v>12</v>
      </c>
      <c r="E2814" s="2" t="s">
        <v>18</v>
      </c>
      <c r="F2814">
        <v>496</v>
      </c>
      <c r="G2814">
        <v>300</v>
      </c>
      <c r="H2814">
        <v>148800</v>
      </c>
      <c r="I2814">
        <v>31999.837299999999</v>
      </c>
      <c r="J2814" s="2" t="s">
        <v>41</v>
      </c>
    </row>
    <row r="2815" spans="1:10" x14ac:dyDescent="0.35">
      <c r="A2815" s="1">
        <v>45814</v>
      </c>
      <c r="B2815" s="2" t="s">
        <v>15</v>
      </c>
      <c r="C2815" s="2" t="s">
        <v>23</v>
      </c>
      <c r="D2815" s="2" t="s">
        <v>17</v>
      </c>
      <c r="E2815" s="2" t="s">
        <v>13</v>
      </c>
      <c r="F2815">
        <v>893</v>
      </c>
      <c r="G2815">
        <v>265</v>
      </c>
      <c r="H2815">
        <v>236645</v>
      </c>
      <c r="I2815">
        <v>52155.474499999997</v>
      </c>
      <c r="J2815" s="2" t="s">
        <v>41</v>
      </c>
    </row>
    <row r="2816" spans="1:10" x14ac:dyDescent="0.35">
      <c r="A2816" s="1">
        <v>45815</v>
      </c>
      <c r="B2816" s="2" t="s">
        <v>10</v>
      </c>
      <c r="C2816" s="2" t="s">
        <v>11</v>
      </c>
      <c r="D2816" s="2" t="s">
        <v>12</v>
      </c>
      <c r="E2816" s="2" t="s">
        <v>28</v>
      </c>
      <c r="F2816">
        <v>961</v>
      </c>
      <c r="G2816">
        <v>484</v>
      </c>
      <c r="H2816">
        <v>465124</v>
      </c>
      <c r="I2816">
        <v>76264.615699999995</v>
      </c>
      <c r="J2816" s="2" t="s">
        <v>41</v>
      </c>
    </row>
    <row r="2817" spans="1:10" x14ac:dyDescent="0.35">
      <c r="A2817" s="1">
        <v>45815</v>
      </c>
      <c r="B2817" s="2" t="s">
        <v>34</v>
      </c>
      <c r="C2817" s="2" t="s">
        <v>11</v>
      </c>
      <c r="D2817" s="2" t="s">
        <v>30</v>
      </c>
      <c r="E2817" s="2" t="s">
        <v>32</v>
      </c>
      <c r="F2817">
        <v>156</v>
      </c>
      <c r="G2817">
        <v>495</v>
      </c>
      <c r="H2817">
        <v>77220</v>
      </c>
      <c r="I2817">
        <v>9717.3752999999997</v>
      </c>
      <c r="J2817" s="2" t="s">
        <v>41</v>
      </c>
    </row>
    <row r="2818" spans="1:10" x14ac:dyDescent="0.35">
      <c r="A2818" s="1">
        <v>45815</v>
      </c>
      <c r="B2818" s="2" t="s">
        <v>15</v>
      </c>
      <c r="C2818" s="2" t="s">
        <v>27</v>
      </c>
      <c r="D2818" s="2" t="s">
        <v>21</v>
      </c>
      <c r="E2818" s="2" t="s">
        <v>13</v>
      </c>
      <c r="F2818">
        <v>90</v>
      </c>
      <c r="G2818">
        <v>482</v>
      </c>
      <c r="H2818">
        <v>43380</v>
      </c>
      <c r="I2818">
        <v>9622.5038999999997</v>
      </c>
      <c r="J2818" s="2" t="s">
        <v>41</v>
      </c>
    </row>
    <row r="2819" spans="1:10" x14ac:dyDescent="0.35">
      <c r="A2819" s="1">
        <v>45815</v>
      </c>
      <c r="B2819" s="2" t="s">
        <v>26</v>
      </c>
      <c r="C2819" s="2" t="s">
        <v>16</v>
      </c>
      <c r="D2819" s="2" t="s">
        <v>30</v>
      </c>
      <c r="E2819" s="2" t="s">
        <v>24</v>
      </c>
      <c r="F2819">
        <v>275</v>
      </c>
      <c r="G2819">
        <v>440</v>
      </c>
      <c r="H2819">
        <v>121000</v>
      </c>
      <c r="I2819">
        <v>25726.120900000002</v>
      </c>
      <c r="J2819" s="2" t="s">
        <v>41</v>
      </c>
    </row>
    <row r="2820" spans="1:10" x14ac:dyDescent="0.35">
      <c r="A2820" s="1">
        <v>45817</v>
      </c>
      <c r="B2820" s="2" t="s">
        <v>36</v>
      </c>
      <c r="C2820" s="2" t="s">
        <v>29</v>
      </c>
      <c r="D2820" s="2" t="s">
        <v>12</v>
      </c>
      <c r="E2820" s="2" t="s">
        <v>24</v>
      </c>
      <c r="F2820">
        <v>982</v>
      </c>
      <c r="G2820">
        <v>123</v>
      </c>
      <c r="H2820">
        <v>120786</v>
      </c>
      <c r="I2820">
        <v>15931.107099999999</v>
      </c>
      <c r="J2820" s="2" t="s">
        <v>41</v>
      </c>
    </row>
    <row r="2821" spans="1:10" x14ac:dyDescent="0.35">
      <c r="A2821" s="1">
        <v>45817</v>
      </c>
      <c r="B2821" s="2" t="s">
        <v>15</v>
      </c>
      <c r="C2821" s="2" t="s">
        <v>11</v>
      </c>
      <c r="D2821" s="2" t="s">
        <v>12</v>
      </c>
      <c r="E2821" s="2" t="s">
        <v>33</v>
      </c>
      <c r="F2821">
        <v>657</v>
      </c>
      <c r="G2821">
        <v>372</v>
      </c>
      <c r="H2821">
        <v>244404</v>
      </c>
      <c r="I2821">
        <v>58046.848599999998</v>
      </c>
      <c r="J2821" s="2" t="s">
        <v>41</v>
      </c>
    </row>
    <row r="2822" spans="1:10" x14ac:dyDescent="0.35">
      <c r="A2822" s="1">
        <v>45817</v>
      </c>
      <c r="B2822" s="2" t="s">
        <v>15</v>
      </c>
      <c r="C2822" s="2" t="s">
        <v>27</v>
      </c>
      <c r="D2822" s="2" t="s">
        <v>12</v>
      </c>
      <c r="E2822" s="2" t="s">
        <v>33</v>
      </c>
      <c r="F2822">
        <v>515</v>
      </c>
      <c r="G2822">
        <v>277</v>
      </c>
      <c r="H2822">
        <v>142655</v>
      </c>
      <c r="I2822">
        <v>12496.967199999999</v>
      </c>
      <c r="J2822" s="2" t="s">
        <v>41</v>
      </c>
    </row>
    <row r="2823" spans="1:10" x14ac:dyDescent="0.35">
      <c r="A2823" s="1">
        <v>45817</v>
      </c>
      <c r="B2823" s="2" t="s">
        <v>36</v>
      </c>
      <c r="C2823" s="2" t="s">
        <v>23</v>
      </c>
      <c r="D2823" s="2" t="s">
        <v>21</v>
      </c>
      <c r="E2823" s="2" t="s">
        <v>18</v>
      </c>
      <c r="F2823">
        <v>429</v>
      </c>
      <c r="G2823">
        <v>212</v>
      </c>
      <c r="H2823">
        <v>90948</v>
      </c>
      <c r="I2823">
        <v>9884.1535999999996</v>
      </c>
      <c r="J2823" s="2" t="s">
        <v>41</v>
      </c>
    </row>
    <row r="2824" spans="1:10" x14ac:dyDescent="0.35">
      <c r="A2824" s="1">
        <v>45817</v>
      </c>
      <c r="B2824" s="2" t="s">
        <v>26</v>
      </c>
      <c r="C2824" s="2" t="s">
        <v>23</v>
      </c>
      <c r="D2824" s="2" t="s">
        <v>21</v>
      </c>
      <c r="E2824" s="2" t="s">
        <v>24</v>
      </c>
      <c r="F2824">
        <v>385</v>
      </c>
      <c r="G2824">
        <v>430</v>
      </c>
      <c r="H2824">
        <v>165550</v>
      </c>
      <c r="I2824">
        <v>28520.218000000001</v>
      </c>
      <c r="J2824" s="2" t="s">
        <v>41</v>
      </c>
    </row>
    <row r="2825" spans="1:10" x14ac:dyDescent="0.35">
      <c r="A2825" s="1">
        <v>45817</v>
      </c>
      <c r="B2825" s="2" t="s">
        <v>10</v>
      </c>
      <c r="C2825" s="2" t="s">
        <v>20</v>
      </c>
      <c r="D2825" s="2" t="s">
        <v>17</v>
      </c>
      <c r="E2825" s="2" t="s">
        <v>33</v>
      </c>
      <c r="F2825">
        <v>115</v>
      </c>
      <c r="G2825">
        <v>241</v>
      </c>
      <c r="H2825">
        <v>27715</v>
      </c>
      <c r="I2825">
        <v>6472.7111999999997</v>
      </c>
      <c r="J2825" s="2" t="s">
        <v>41</v>
      </c>
    </row>
    <row r="2826" spans="1:10" x14ac:dyDescent="0.35">
      <c r="A2826" s="1">
        <v>45818</v>
      </c>
      <c r="B2826" s="2" t="s">
        <v>26</v>
      </c>
      <c r="C2826" s="2" t="s">
        <v>23</v>
      </c>
      <c r="D2826" s="2" t="s">
        <v>17</v>
      </c>
      <c r="E2826" s="2" t="s">
        <v>18</v>
      </c>
      <c r="F2826">
        <v>197</v>
      </c>
      <c r="G2826">
        <v>199</v>
      </c>
      <c r="H2826">
        <v>39203</v>
      </c>
      <c r="I2826">
        <v>9028.4130000000005</v>
      </c>
      <c r="J2826" s="2" t="s">
        <v>41</v>
      </c>
    </row>
    <row r="2827" spans="1:10" x14ac:dyDescent="0.35">
      <c r="A2827" s="1">
        <v>45818</v>
      </c>
      <c r="B2827" s="2" t="s">
        <v>19</v>
      </c>
      <c r="C2827" s="2" t="s">
        <v>16</v>
      </c>
      <c r="D2827" s="2" t="s">
        <v>17</v>
      </c>
      <c r="E2827" s="2" t="s">
        <v>28</v>
      </c>
      <c r="F2827">
        <v>457</v>
      </c>
      <c r="G2827">
        <v>149</v>
      </c>
      <c r="H2827">
        <v>68093</v>
      </c>
      <c r="I2827">
        <v>13529.180200000001</v>
      </c>
      <c r="J2827" s="2" t="s">
        <v>41</v>
      </c>
    </row>
    <row r="2828" spans="1:10" x14ac:dyDescent="0.35">
      <c r="A2828" s="1">
        <v>45818</v>
      </c>
      <c r="B2828" s="2" t="s">
        <v>25</v>
      </c>
      <c r="C2828" s="2" t="s">
        <v>29</v>
      </c>
      <c r="D2828" s="2" t="s">
        <v>12</v>
      </c>
      <c r="E2828" s="2" t="s">
        <v>22</v>
      </c>
      <c r="F2828">
        <v>405</v>
      </c>
      <c r="G2828">
        <v>365</v>
      </c>
      <c r="H2828">
        <v>147825</v>
      </c>
      <c r="I2828">
        <v>14923.2112</v>
      </c>
      <c r="J2828" s="2" t="s">
        <v>41</v>
      </c>
    </row>
    <row r="2829" spans="1:10" x14ac:dyDescent="0.35">
      <c r="A2829" s="1">
        <v>45818</v>
      </c>
      <c r="B2829" s="2" t="s">
        <v>26</v>
      </c>
      <c r="C2829" s="2" t="s">
        <v>16</v>
      </c>
      <c r="D2829" s="2" t="s">
        <v>21</v>
      </c>
      <c r="E2829" s="2" t="s">
        <v>33</v>
      </c>
      <c r="F2829">
        <v>54</v>
      </c>
      <c r="G2829">
        <v>482</v>
      </c>
      <c r="H2829">
        <v>26028</v>
      </c>
      <c r="I2829">
        <v>2698.6496999999999</v>
      </c>
      <c r="J2829" s="2" t="s">
        <v>41</v>
      </c>
    </row>
    <row r="2830" spans="1:10" x14ac:dyDescent="0.35">
      <c r="A2830" s="1">
        <v>45818</v>
      </c>
      <c r="B2830" s="2" t="s">
        <v>10</v>
      </c>
      <c r="C2830" s="2" t="s">
        <v>23</v>
      </c>
      <c r="D2830" s="2" t="s">
        <v>12</v>
      </c>
      <c r="E2830" s="2" t="s">
        <v>33</v>
      </c>
      <c r="F2830">
        <v>142</v>
      </c>
      <c r="G2830">
        <v>254</v>
      </c>
      <c r="H2830">
        <v>36068</v>
      </c>
      <c r="I2830">
        <v>8536.2955000000002</v>
      </c>
      <c r="J2830" s="2" t="s">
        <v>41</v>
      </c>
    </row>
    <row r="2831" spans="1:10" x14ac:dyDescent="0.35">
      <c r="A2831" s="1">
        <v>45819</v>
      </c>
      <c r="B2831" s="2" t="s">
        <v>34</v>
      </c>
      <c r="C2831" s="2" t="s">
        <v>20</v>
      </c>
      <c r="D2831" s="2" t="s">
        <v>30</v>
      </c>
      <c r="E2831" s="2" t="s">
        <v>35</v>
      </c>
      <c r="F2831">
        <v>148</v>
      </c>
      <c r="G2831">
        <v>359</v>
      </c>
      <c r="H2831">
        <v>53132</v>
      </c>
      <c r="I2831">
        <v>9893.8487999999998</v>
      </c>
      <c r="J2831" s="2" t="s">
        <v>41</v>
      </c>
    </row>
    <row r="2832" spans="1:10" x14ac:dyDescent="0.35">
      <c r="A2832" s="1">
        <v>45819</v>
      </c>
      <c r="B2832" s="2" t="s">
        <v>31</v>
      </c>
      <c r="C2832" s="2" t="s">
        <v>16</v>
      </c>
      <c r="D2832" s="2" t="s">
        <v>12</v>
      </c>
      <c r="E2832" s="2" t="s">
        <v>33</v>
      </c>
      <c r="F2832">
        <v>744</v>
      </c>
      <c r="G2832">
        <v>259</v>
      </c>
      <c r="H2832">
        <v>192696</v>
      </c>
      <c r="I2832">
        <v>41351.027699999999</v>
      </c>
      <c r="J2832" s="2" t="s">
        <v>41</v>
      </c>
    </row>
    <row r="2833" spans="1:10" x14ac:dyDescent="0.35">
      <c r="A2833" s="1">
        <v>45820</v>
      </c>
      <c r="B2833" s="2" t="s">
        <v>36</v>
      </c>
      <c r="C2833" s="2" t="s">
        <v>11</v>
      </c>
      <c r="D2833" s="2" t="s">
        <v>12</v>
      </c>
      <c r="E2833" s="2" t="s">
        <v>18</v>
      </c>
      <c r="F2833">
        <v>809</v>
      </c>
      <c r="G2833">
        <v>433</v>
      </c>
      <c r="H2833">
        <v>350297</v>
      </c>
      <c r="I2833">
        <v>50594.717499999999</v>
      </c>
      <c r="J2833" s="2" t="s">
        <v>41</v>
      </c>
    </row>
    <row r="2834" spans="1:10" x14ac:dyDescent="0.35">
      <c r="A2834" s="1">
        <v>45821</v>
      </c>
      <c r="B2834" s="2" t="s">
        <v>10</v>
      </c>
      <c r="C2834" s="2" t="s">
        <v>20</v>
      </c>
      <c r="D2834" s="2" t="s">
        <v>21</v>
      </c>
      <c r="E2834" s="2" t="s">
        <v>24</v>
      </c>
      <c r="F2834">
        <v>731</v>
      </c>
      <c r="G2834">
        <v>331</v>
      </c>
      <c r="H2834">
        <v>241961</v>
      </c>
      <c r="I2834">
        <v>50228.088199999998</v>
      </c>
      <c r="J2834" s="2" t="s">
        <v>41</v>
      </c>
    </row>
    <row r="2835" spans="1:10" x14ac:dyDescent="0.35">
      <c r="A2835" s="1">
        <v>45821</v>
      </c>
      <c r="B2835" s="2" t="s">
        <v>19</v>
      </c>
      <c r="C2835" s="2" t="s">
        <v>29</v>
      </c>
      <c r="D2835" s="2" t="s">
        <v>30</v>
      </c>
      <c r="E2835" s="2" t="s">
        <v>22</v>
      </c>
      <c r="F2835">
        <v>475</v>
      </c>
      <c r="G2835">
        <v>127</v>
      </c>
      <c r="H2835">
        <v>60325</v>
      </c>
      <c r="I2835">
        <v>8346.1002000000008</v>
      </c>
      <c r="J2835" s="2" t="s">
        <v>41</v>
      </c>
    </row>
    <row r="2836" spans="1:10" x14ac:dyDescent="0.35">
      <c r="A2836" s="1">
        <v>45821</v>
      </c>
      <c r="B2836" s="2" t="s">
        <v>31</v>
      </c>
      <c r="C2836" s="2" t="s">
        <v>23</v>
      </c>
      <c r="D2836" s="2" t="s">
        <v>21</v>
      </c>
      <c r="E2836" s="2" t="s">
        <v>33</v>
      </c>
      <c r="F2836">
        <v>491</v>
      </c>
      <c r="G2836">
        <v>169</v>
      </c>
      <c r="H2836">
        <v>82979</v>
      </c>
      <c r="I2836">
        <v>10609.775299999999</v>
      </c>
      <c r="J2836" s="2" t="s">
        <v>41</v>
      </c>
    </row>
    <row r="2837" spans="1:10" x14ac:dyDescent="0.35">
      <c r="A2837" s="1">
        <v>45821</v>
      </c>
      <c r="B2837" s="2" t="s">
        <v>10</v>
      </c>
      <c r="C2837" s="2" t="s">
        <v>11</v>
      </c>
      <c r="D2837" s="2" t="s">
        <v>12</v>
      </c>
      <c r="E2837" s="2" t="s">
        <v>28</v>
      </c>
      <c r="F2837">
        <v>604</v>
      </c>
      <c r="G2837">
        <v>381</v>
      </c>
      <c r="H2837">
        <v>230124</v>
      </c>
      <c r="I2837">
        <v>34082.252</v>
      </c>
      <c r="J2837" s="2" t="s">
        <v>41</v>
      </c>
    </row>
    <row r="2838" spans="1:10" x14ac:dyDescent="0.35">
      <c r="A2838" s="1">
        <v>45821</v>
      </c>
      <c r="B2838" s="2" t="s">
        <v>19</v>
      </c>
      <c r="C2838" s="2" t="s">
        <v>20</v>
      </c>
      <c r="D2838" s="2" t="s">
        <v>21</v>
      </c>
      <c r="E2838" s="2" t="s">
        <v>22</v>
      </c>
      <c r="F2838">
        <v>625</v>
      </c>
      <c r="G2838">
        <v>241</v>
      </c>
      <c r="H2838">
        <v>150625</v>
      </c>
      <c r="I2838">
        <v>24834.775600000001</v>
      </c>
      <c r="J2838" s="2" t="s">
        <v>41</v>
      </c>
    </row>
    <row r="2839" spans="1:10" x14ac:dyDescent="0.35">
      <c r="A2839" s="1">
        <v>45822</v>
      </c>
      <c r="B2839" s="2" t="s">
        <v>31</v>
      </c>
      <c r="C2839" s="2" t="s">
        <v>27</v>
      </c>
      <c r="D2839" s="2" t="s">
        <v>17</v>
      </c>
      <c r="E2839" s="2" t="s">
        <v>33</v>
      </c>
      <c r="F2839">
        <v>264</v>
      </c>
      <c r="G2839">
        <v>177</v>
      </c>
      <c r="H2839">
        <v>46728</v>
      </c>
      <c r="I2839">
        <v>4291.5091000000002</v>
      </c>
      <c r="J2839" s="2" t="s">
        <v>41</v>
      </c>
    </row>
    <row r="2840" spans="1:10" x14ac:dyDescent="0.35">
      <c r="A2840" s="1">
        <v>45822</v>
      </c>
      <c r="B2840" s="2" t="s">
        <v>19</v>
      </c>
      <c r="C2840" s="2" t="s">
        <v>11</v>
      </c>
      <c r="D2840" s="2" t="s">
        <v>21</v>
      </c>
      <c r="E2840" s="2" t="s">
        <v>32</v>
      </c>
      <c r="F2840">
        <v>267</v>
      </c>
      <c r="G2840">
        <v>236</v>
      </c>
      <c r="H2840">
        <v>63012</v>
      </c>
      <c r="I2840">
        <v>8041.5384999999997</v>
      </c>
      <c r="J2840" s="2" t="s">
        <v>41</v>
      </c>
    </row>
    <row r="2841" spans="1:10" x14ac:dyDescent="0.35">
      <c r="A2841" s="1">
        <v>45822</v>
      </c>
      <c r="B2841" s="2" t="s">
        <v>15</v>
      </c>
      <c r="C2841" s="2" t="s">
        <v>11</v>
      </c>
      <c r="D2841" s="2" t="s">
        <v>17</v>
      </c>
      <c r="E2841" s="2" t="s">
        <v>13</v>
      </c>
      <c r="F2841">
        <v>567</v>
      </c>
      <c r="G2841">
        <v>236</v>
      </c>
      <c r="H2841">
        <v>133812</v>
      </c>
      <c r="I2841">
        <v>20111.022300000001</v>
      </c>
      <c r="J2841" s="2" t="s">
        <v>41</v>
      </c>
    </row>
    <row r="2842" spans="1:10" x14ac:dyDescent="0.35">
      <c r="A2842" s="1">
        <v>45823</v>
      </c>
      <c r="B2842" s="2" t="s">
        <v>26</v>
      </c>
      <c r="C2842" s="2" t="s">
        <v>23</v>
      </c>
      <c r="D2842" s="2" t="s">
        <v>17</v>
      </c>
      <c r="E2842" s="2" t="s">
        <v>28</v>
      </c>
      <c r="F2842">
        <v>944</v>
      </c>
      <c r="G2842">
        <v>164</v>
      </c>
      <c r="H2842">
        <v>154816</v>
      </c>
      <c r="I2842">
        <v>12815.5033</v>
      </c>
      <c r="J2842" s="2" t="s">
        <v>41</v>
      </c>
    </row>
    <row r="2843" spans="1:10" x14ac:dyDescent="0.35">
      <c r="A2843" s="1">
        <v>45823</v>
      </c>
      <c r="B2843" s="2" t="s">
        <v>26</v>
      </c>
      <c r="C2843" s="2" t="s">
        <v>20</v>
      </c>
      <c r="D2843" s="2" t="s">
        <v>30</v>
      </c>
      <c r="E2843" s="2" t="s">
        <v>13</v>
      </c>
      <c r="F2843">
        <v>357</v>
      </c>
      <c r="G2843">
        <v>226</v>
      </c>
      <c r="H2843">
        <v>80682</v>
      </c>
      <c r="I2843">
        <v>14141.731900000001</v>
      </c>
      <c r="J2843" s="2" t="s">
        <v>41</v>
      </c>
    </row>
    <row r="2844" spans="1:10" x14ac:dyDescent="0.35">
      <c r="A2844" s="1">
        <v>45824</v>
      </c>
      <c r="B2844" s="2" t="s">
        <v>15</v>
      </c>
      <c r="C2844" s="2" t="s">
        <v>23</v>
      </c>
      <c r="D2844" s="2" t="s">
        <v>17</v>
      </c>
      <c r="E2844" s="2" t="s">
        <v>28</v>
      </c>
      <c r="F2844">
        <v>337</v>
      </c>
      <c r="G2844">
        <v>327</v>
      </c>
      <c r="H2844">
        <v>110199</v>
      </c>
      <c r="I2844">
        <v>21080.506700000002</v>
      </c>
      <c r="J2844" s="2" t="s">
        <v>41</v>
      </c>
    </row>
    <row r="2845" spans="1:10" x14ac:dyDescent="0.35">
      <c r="A2845" s="1">
        <v>45824</v>
      </c>
      <c r="B2845" s="2" t="s">
        <v>31</v>
      </c>
      <c r="C2845" s="2" t="s">
        <v>20</v>
      </c>
      <c r="D2845" s="2" t="s">
        <v>21</v>
      </c>
      <c r="E2845" s="2" t="s">
        <v>22</v>
      </c>
      <c r="F2845">
        <v>612</v>
      </c>
      <c r="G2845">
        <v>220</v>
      </c>
      <c r="H2845">
        <v>134640</v>
      </c>
      <c r="I2845">
        <v>26138.5344</v>
      </c>
      <c r="J2845" s="2" t="s">
        <v>41</v>
      </c>
    </row>
    <row r="2846" spans="1:10" x14ac:dyDescent="0.35">
      <c r="A2846" s="1">
        <v>45824</v>
      </c>
      <c r="B2846" s="2" t="s">
        <v>26</v>
      </c>
      <c r="C2846" s="2" t="s">
        <v>23</v>
      </c>
      <c r="D2846" s="2" t="s">
        <v>12</v>
      </c>
      <c r="E2846" s="2" t="s">
        <v>33</v>
      </c>
      <c r="F2846">
        <v>561</v>
      </c>
      <c r="G2846">
        <v>496</v>
      </c>
      <c r="H2846">
        <v>278256</v>
      </c>
      <c r="I2846">
        <v>54865.584499999997</v>
      </c>
      <c r="J2846" s="2" t="s">
        <v>41</v>
      </c>
    </row>
    <row r="2847" spans="1:10" x14ac:dyDescent="0.35">
      <c r="A2847" s="1">
        <v>45825</v>
      </c>
      <c r="B2847" s="2" t="s">
        <v>10</v>
      </c>
      <c r="C2847" s="2" t="s">
        <v>27</v>
      </c>
      <c r="D2847" s="2" t="s">
        <v>30</v>
      </c>
      <c r="E2847" s="2" t="s">
        <v>28</v>
      </c>
      <c r="F2847">
        <v>541</v>
      </c>
      <c r="G2847">
        <v>140</v>
      </c>
      <c r="H2847">
        <v>75740</v>
      </c>
      <c r="I2847">
        <v>12676.3465</v>
      </c>
      <c r="J2847" s="2" t="s">
        <v>41</v>
      </c>
    </row>
    <row r="2848" spans="1:10" x14ac:dyDescent="0.35">
      <c r="A2848" s="1">
        <v>45825</v>
      </c>
      <c r="B2848" s="2" t="s">
        <v>36</v>
      </c>
      <c r="C2848" s="2" t="s">
        <v>20</v>
      </c>
      <c r="D2848" s="2" t="s">
        <v>21</v>
      </c>
      <c r="E2848" s="2" t="s">
        <v>22</v>
      </c>
      <c r="F2848">
        <v>582</v>
      </c>
      <c r="G2848">
        <v>223</v>
      </c>
      <c r="H2848">
        <v>129786</v>
      </c>
      <c r="I2848">
        <v>15868.207399999999</v>
      </c>
      <c r="J2848" s="2" t="s">
        <v>41</v>
      </c>
    </row>
    <row r="2849" spans="1:10" x14ac:dyDescent="0.35">
      <c r="A2849" s="1">
        <v>45825</v>
      </c>
      <c r="B2849" s="2" t="s">
        <v>36</v>
      </c>
      <c r="C2849" s="2" t="s">
        <v>23</v>
      </c>
      <c r="D2849" s="2" t="s">
        <v>30</v>
      </c>
      <c r="E2849" s="2" t="s">
        <v>22</v>
      </c>
      <c r="F2849">
        <v>776</v>
      </c>
      <c r="G2849">
        <v>273</v>
      </c>
      <c r="H2849">
        <v>211848</v>
      </c>
      <c r="I2849">
        <v>47512.622799999997</v>
      </c>
      <c r="J2849" s="2" t="s">
        <v>41</v>
      </c>
    </row>
    <row r="2850" spans="1:10" x14ac:dyDescent="0.35">
      <c r="A2850" s="1">
        <v>45825</v>
      </c>
      <c r="B2850" s="2" t="s">
        <v>10</v>
      </c>
      <c r="C2850" s="2" t="s">
        <v>16</v>
      </c>
      <c r="D2850" s="2" t="s">
        <v>30</v>
      </c>
      <c r="E2850" s="2" t="s">
        <v>13</v>
      </c>
      <c r="F2850">
        <v>384</v>
      </c>
      <c r="G2850">
        <v>291</v>
      </c>
      <c r="H2850">
        <v>111744</v>
      </c>
      <c r="I2850">
        <v>20327.181700000001</v>
      </c>
      <c r="J2850" s="2" t="s">
        <v>41</v>
      </c>
    </row>
    <row r="2851" spans="1:10" x14ac:dyDescent="0.35">
      <c r="A2851" s="1">
        <v>45825</v>
      </c>
      <c r="B2851" s="2" t="s">
        <v>25</v>
      </c>
      <c r="C2851" s="2" t="s">
        <v>16</v>
      </c>
      <c r="D2851" s="2" t="s">
        <v>21</v>
      </c>
      <c r="E2851" s="2" t="s">
        <v>24</v>
      </c>
      <c r="F2851">
        <v>703</v>
      </c>
      <c r="G2851">
        <v>105</v>
      </c>
      <c r="H2851">
        <v>73815</v>
      </c>
      <c r="I2851">
        <v>11512.0862</v>
      </c>
      <c r="J2851" s="2" t="s">
        <v>41</v>
      </c>
    </row>
    <row r="2852" spans="1:10" x14ac:dyDescent="0.35">
      <c r="A2852" s="1">
        <v>45825</v>
      </c>
      <c r="B2852" s="2" t="s">
        <v>31</v>
      </c>
      <c r="C2852" s="2" t="s">
        <v>20</v>
      </c>
      <c r="D2852" s="2" t="s">
        <v>17</v>
      </c>
      <c r="E2852" s="2" t="s">
        <v>22</v>
      </c>
      <c r="F2852">
        <v>357</v>
      </c>
      <c r="G2852">
        <v>466</v>
      </c>
      <c r="H2852">
        <v>166362</v>
      </c>
      <c r="I2852">
        <v>34886.172400000003</v>
      </c>
      <c r="J2852" s="2" t="s">
        <v>41</v>
      </c>
    </row>
    <row r="2853" spans="1:10" x14ac:dyDescent="0.35">
      <c r="A2853" s="1">
        <v>45826</v>
      </c>
      <c r="B2853" s="2" t="s">
        <v>26</v>
      </c>
      <c r="C2853" s="2" t="s">
        <v>29</v>
      </c>
      <c r="D2853" s="2" t="s">
        <v>30</v>
      </c>
      <c r="E2853" s="2" t="s">
        <v>24</v>
      </c>
      <c r="F2853">
        <v>53</v>
      </c>
      <c r="G2853">
        <v>267</v>
      </c>
      <c r="H2853">
        <v>14151</v>
      </c>
      <c r="I2853">
        <v>1743.5509999999999</v>
      </c>
      <c r="J2853" s="2" t="s">
        <v>41</v>
      </c>
    </row>
    <row r="2854" spans="1:10" x14ac:dyDescent="0.35">
      <c r="A2854" s="1">
        <v>45826</v>
      </c>
      <c r="B2854" s="2" t="s">
        <v>34</v>
      </c>
      <c r="C2854" s="2" t="s">
        <v>16</v>
      </c>
      <c r="D2854" s="2" t="s">
        <v>30</v>
      </c>
      <c r="E2854" s="2" t="s">
        <v>22</v>
      </c>
      <c r="F2854">
        <v>80</v>
      </c>
      <c r="G2854">
        <v>423</v>
      </c>
      <c r="H2854">
        <v>33840</v>
      </c>
      <c r="I2854">
        <v>5450.9850999999999</v>
      </c>
      <c r="J2854" s="2" t="s">
        <v>41</v>
      </c>
    </row>
    <row r="2855" spans="1:10" x14ac:dyDescent="0.35">
      <c r="A2855" s="1">
        <v>45826</v>
      </c>
      <c r="B2855" s="2" t="s">
        <v>15</v>
      </c>
      <c r="C2855" s="2" t="s">
        <v>11</v>
      </c>
      <c r="D2855" s="2" t="s">
        <v>30</v>
      </c>
      <c r="E2855" s="2" t="s">
        <v>13</v>
      </c>
      <c r="F2855">
        <v>753</v>
      </c>
      <c r="G2855">
        <v>423</v>
      </c>
      <c r="H2855">
        <v>318519</v>
      </c>
      <c r="I2855">
        <v>71074.752699999997</v>
      </c>
      <c r="J2855" s="2" t="s">
        <v>41</v>
      </c>
    </row>
    <row r="2856" spans="1:10" x14ac:dyDescent="0.35">
      <c r="A2856" s="1">
        <v>45826</v>
      </c>
      <c r="B2856" s="2" t="s">
        <v>15</v>
      </c>
      <c r="C2856" s="2" t="s">
        <v>20</v>
      </c>
      <c r="D2856" s="2" t="s">
        <v>21</v>
      </c>
      <c r="E2856" s="2" t="s">
        <v>33</v>
      </c>
      <c r="F2856">
        <v>414</v>
      </c>
      <c r="G2856">
        <v>283</v>
      </c>
      <c r="H2856">
        <v>117162</v>
      </c>
      <c r="I2856">
        <v>23679.5353</v>
      </c>
      <c r="J2856" s="2" t="s">
        <v>41</v>
      </c>
    </row>
    <row r="2857" spans="1:10" x14ac:dyDescent="0.35">
      <c r="A2857" s="1">
        <v>45826</v>
      </c>
      <c r="B2857" s="2" t="s">
        <v>34</v>
      </c>
      <c r="C2857" s="2" t="s">
        <v>16</v>
      </c>
      <c r="D2857" s="2" t="s">
        <v>12</v>
      </c>
      <c r="E2857" s="2" t="s">
        <v>35</v>
      </c>
      <c r="F2857">
        <v>469</v>
      </c>
      <c r="G2857">
        <v>238</v>
      </c>
      <c r="H2857">
        <v>111622</v>
      </c>
      <c r="I2857">
        <v>12010.8362</v>
      </c>
      <c r="J2857" s="2" t="s">
        <v>41</v>
      </c>
    </row>
    <row r="2858" spans="1:10" x14ac:dyDescent="0.35">
      <c r="A2858" s="1">
        <v>45827</v>
      </c>
      <c r="B2858" s="2" t="s">
        <v>34</v>
      </c>
      <c r="C2858" s="2" t="s">
        <v>16</v>
      </c>
      <c r="D2858" s="2" t="s">
        <v>17</v>
      </c>
      <c r="E2858" s="2" t="s">
        <v>24</v>
      </c>
      <c r="F2858">
        <v>914</v>
      </c>
      <c r="G2858">
        <v>176</v>
      </c>
      <c r="H2858">
        <v>160864</v>
      </c>
      <c r="I2858">
        <v>22391.275799999999</v>
      </c>
      <c r="J2858" s="2" t="s">
        <v>41</v>
      </c>
    </row>
    <row r="2859" spans="1:10" x14ac:dyDescent="0.35">
      <c r="A2859" s="1">
        <v>45828</v>
      </c>
      <c r="B2859" s="2" t="s">
        <v>25</v>
      </c>
      <c r="C2859" s="2" t="s">
        <v>11</v>
      </c>
      <c r="D2859" s="2" t="s">
        <v>17</v>
      </c>
      <c r="E2859" s="2" t="s">
        <v>35</v>
      </c>
      <c r="F2859">
        <v>974</v>
      </c>
      <c r="G2859">
        <v>407</v>
      </c>
      <c r="H2859">
        <v>396418</v>
      </c>
      <c r="I2859">
        <v>36192.015700000004</v>
      </c>
      <c r="J2859" s="2" t="s">
        <v>41</v>
      </c>
    </row>
    <row r="2860" spans="1:10" x14ac:dyDescent="0.35">
      <c r="A2860" s="1">
        <v>45828</v>
      </c>
      <c r="B2860" s="2" t="s">
        <v>25</v>
      </c>
      <c r="C2860" s="2" t="s">
        <v>27</v>
      </c>
      <c r="D2860" s="2" t="s">
        <v>17</v>
      </c>
      <c r="E2860" s="2" t="s">
        <v>22</v>
      </c>
      <c r="F2860">
        <v>325</v>
      </c>
      <c r="G2860">
        <v>269</v>
      </c>
      <c r="H2860">
        <v>87425</v>
      </c>
      <c r="I2860">
        <v>16178.4699</v>
      </c>
      <c r="J2860" s="2" t="s">
        <v>41</v>
      </c>
    </row>
    <row r="2861" spans="1:10" x14ac:dyDescent="0.35">
      <c r="A2861" s="1">
        <v>45828</v>
      </c>
      <c r="B2861" s="2" t="s">
        <v>26</v>
      </c>
      <c r="C2861" s="2" t="s">
        <v>11</v>
      </c>
      <c r="D2861" s="2" t="s">
        <v>21</v>
      </c>
      <c r="E2861" s="2" t="s">
        <v>22</v>
      </c>
      <c r="F2861">
        <v>718</v>
      </c>
      <c r="G2861">
        <v>101</v>
      </c>
      <c r="H2861">
        <v>72518</v>
      </c>
      <c r="I2861">
        <v>7212.0249999999996</v>
      </c>
      <c r="J2861" s="2" t="s">
        <v>41</v>
      </c>
    </row>
    <row r="2862" spans="1:10" x14ac:dyDescent="0.35">
      <c r="A2862" s="1">
        <v>45828</v>
      </c>
      <c r="B2862" s="2" t="s">
        <v>31</v>
      </c>
      <c r="C2862" s="2" t="s">
        <v>29</v>
      </c>
      <c r="D2862" s="2" t="s">
        <v>21</v>
      </c>
      <c r="E2862" s="2" t="s">
        <v>35</v>
      </c>
      <c r="F2862">
        <v>682</v>
      </c>
      <c r="G2862">
        <v>320</v>
      </c>
      <c r="H2862">
        <v>218240</v>
      </c>
      <c r="I2862">
        <v>28116.992099999999</v>
      </c>
      <c r="J2862" s="2" t="s">
        <v>41</v>
      </c>
    </row>
    <row r="2863" spans="1:10" x14ac:dyDescent="0.35">
      <c r="A2863" s="1">
        <v>45829</v>
      </c>
      <c r="B2863" s="2" t="s">
        <v>26</v>
      </c>
      <c r="C2863" s="2" t="s">
        <v>27</v>
      </c>
      <c r="D2863" s="2" t="s">
        <v>17</v>
      </c>
      <c r="E2863" s="2" t="s">
        <v>13</v>
      </c>
      <c r="F2863">
        <v>885</v>
      </c>
      <c r="G2863">
        <v>480</v>
      </c>
      <c r="H2863">
        <v>424800</v>
      </c>
      <c r="I2863">
        <v>105379.3257</v>
      </c>
      <c r="J2863" s="2" t="s">
        <v>41</v>
      </c>
    </row>
    <row r="2864" spans="1:10" x14ac:dyDescent="0.35">
      <c r="A2864" s="1">
        <v>45829</v>
      </c>
      <c r="B2864" s="2" t="s">
        <v>10</v>
      </c>
      <c r="C2864" s="2" t="s">
        <v>16</v>
      </c>
      <c r="D2864" s="2" t="s">
        <v>30</v>
      </c>
      <c r="E2864" s="2" t="s">
        <v>22</v>
      </c>
      <c r="F2864">
        <v>885</v>
      </c>
      <c r="G2864">
        <v>146</v>
      </c>
      <c r="H2864">
        <v>129210</v>
      </c>
      <c r="I2864">
        <v>23852.321</v>
      </c>
      <c r="J2864" s="2" t="s">
        <v>41</v>
      </c>
    </row>
    <row r="2865" spans="1:10" x14ac:dyDescent="0.35">
      <c r="A2865" s="1">
        <v>45829</v>
      </c>
      <c r="B2865" s="2" t="s">
        <v>34</v>
      </c>
      <c r="C2865" s="2" t="s">
        <v>27</v>
      </c>
      <c r="D2865" s="2" t="s">
        <v>12</v>
      </c>
      <c r="E2865" s="2" t="s">
        <v>13</v>
      </c>
      <c r="F2865">
        <v>953</v>
      </c>
      <c r="G2865">
        <v>281</v>
      </c>
      <c r="H2865">
        <v>267793</v>
      </c>
      <c r="I2865">
        <v>24335.111099999998</v>
      </c>
      <c r="J2865" s="2" t="s">
        <v>41</v>
      </c>
    </row>
    <row r="2866" spans="1:10" x14ac:dyDescent="0.35">
      <c r="A2866" s="1">
        <v>45829</v>
      </c>
      <c r="B2866" s="2" t="s">
        <v>15</v>
      </c>
      <c r="C2866" s="2" t="s">
        <v>20</v>
      </c>
      <c r="D2866" s="2" t="s">
        <v>17</v>
      </c>
      <c r="E2866" s="2" t="s">
        <v>24</v>
      </c>
      <c r="F2866">
        <v>508</v>
      </c>
      <c r="G2866">
        <v>160</v>
      </c>
      <c r="H2866">
        <v>81280</v>
      </c>
      <c r="I2866">
        <v>19025.2412</v>
      </c>
      <c r="J2866" s="2" t="s">
        <v>41</v>
      </c>
    </row>
    <row r="2867" spans="1:10" x14ac:dyDescent="0.35">
      <c r="A2867" s="1">
        <v>45830</v>
      </c>
      <c r="B2867" s="2" t="s">
        <v>15</v>
      </c>
      <c r="C2867" s="2" t="s">
        <v>29</v>
      </c>
      <c r="D2867" s="2" t="s">
        <v>12</v>
      </c>
      <c r="E2867" s="2" t="s">
        <v>18</v>
      </c>
      <c r="F2867">
        <v>260</v>
      </c>
      <c r="G2867">
        <v>386</v>
      </c>
      <c r="H2867">
        <v>100360</v>
      </c>
      <c r="I2867">
        <v>21554.9797</v>
      </c>
      <c r="J2867" s="2" t="s">
        <v>41</v>
      </c>
    </row>
    <row r="2868" spans="1:10" x14ac:dyDescent="0.35">
      <c r="A2868" s="1">
        <v>45831</v>
      </c>
      <c r="B2868" s="2" t="s">
        <v>31</v>
      </c>
      <c r="C2868" s="2" t="s">
        <v>11</v>
      </c>
      <c r="D2868" s="2" t="s">
        <v>12</v>
      </c>
      <c r="E2868" s="2" t="s">
        <v>24</v>
      </c>
      <c r="F2868">
        <v>141</v>
      </c>
      <c r="G2868">
        <v>189</v>
      </c>
      <c r="H2868">
        <v>26649</v>
      </c>
      <c r="I2868">
        <v>6143.2592000000004</v>
      </c>
      <c r="J2868" s="2" t="s">
        <v>41</v>
      </c>
    </row>
    <row r="2869" spans="1:10" x14ac:dyDescent="0.35">
      <c r="A2869" s="1">
        <v>45831</v>
      </c>
      <c r="B2869" s="2" t="s">
        <v>31</v>
      </c>
      <c r="C2869" s="2" t="s">
        <v>16</v>
      </c>
      <c r="D2869" s="2" t="s">
        <v>30</v>
      </c>
      <c r="E2869" s="2" t="s">
        <v>33</v>
      </c>
      <c r="F2869">
        <v>169</v>
      </c>
      <c r="G2869">
        <v>460</v>
      </c>
      <c r="H2869">
        <v>77740</v>
      </c>
      <c r="I2869">
        <v>10092.907999999999</v>
      </c>
      <c r="J2869" s="2" t="s">
        <v>41</v>
      </c>
    </row>
    <row r="2870" spans="1:10" x14ac:dyDescent="0.35">
      <c r="A2870" s="1">
        <v>45832</v>
      </c>
      <c r="B2870" s="2" t="s">
        <v>25</v>
      </c>
      <c r="C2870" s="2" t="s">
        <v>20</v>
      </c>
      <c r="D2870" s="2" t="s">
        <v>21</v>
      </c>
      <c r="E2870" s="2" t="s">
        <v>22</v>
      </c>
      <c r="F2870">
        <v>620</v>
      </c>
      <c r="G2870">
        <v>114</v>
      </c>
      <c r="H2870">
        <v>70680</v>
      </c>
      <c r="I2870">
        <v>15657.5332</v>
      </c>
      <c r="J2870" s="2" t="s">
        <v>41</v>
      </c>
    </row>
    <row r="2871" spans="1:10" x14ac:dyDescent="0.35">
      <c r="A2871" s="1">
        <v>45832</v>
      </c>
      <c r="B2871" s="2" t="s">
        <v>26</v>
      </c>
      <c r="C2871" s="2" t="s">
        <v>23</v>
      </c>
      <c r="D2871" s="2" t="s">
        <v>21</v>
      </c>
      <c r="E2871" s="2" t="s">
        <v>18</v>
      </c>
      <c r="F2871">
        <v>759</v>
      </c>
      <c r="G2871">
        <v>147</v>
      </c>
      <c r="H2871">
        <v>111573</v>
      </c>
      <c r="I2871">
        <v>24563.740399999999</v>
      </c>
      <c r="J2871" s="2" t="s">
        <v>41</v>
      </c>
    </row>
    <row r="2872" spans="1:10" x14ac:dyDescent="0.35">
      <c r="A2872" s="1">
        <v>45832</v>
      </c>
      <c r="B2872" s="2" t="s">
        <v>15</v>
      </c>
      <c r="C2872" s="2" t="s">
        <v>23</v>
      </c>
      <c r="D2872" s="2" t="s">
        <v>21</v>
      </c>
      <c r="E2872" s="2" t="s">
        <v>28</v>
      </c>
      <c r="F2872">
        <v>968</v>
      </c>
      <c r="G2872">
        <v>287</v>
      </c>
      <c r="H2872">
        <v>277816</v>
      </c>
      <c r="I2872">
        <v>63342.643400000001</v>
      </c>
      <c r="J2872" s="2" t="s">
        <v>41</v>
      </c>
    </row>
    <row r="2873" spans="1:10" x14ac:dyDescent="0.35">
      <c r="A2873" s="1">
        <v>45832</v>
      </c>
      <c r="B2873" s="2" t="s">
        <v>34</v>
      </c>
      <c r="C2873" s="2" t="s">
        <v>20</v>
      </c>
      <c r="D2873" s="2" t="s">
        <v>17</v>
      </c>
      <c r="E2873" s="2" t="s">
        <v>33</v>
      </c>
      <c r="F2873">
        <v>208</v>
      </c>
      <c r="G2873">
        <v>398</v>
      </c>
      <c r="H2873">
        <v>82784</v>
      </c>
      <c r="I2873">
        <v>8666.3246999999992</v>
      </c>
      <c r="J2873" s="2" t="s">
        <v>41</v>
      </c>
    </row>
    <row r="2874" spans="1:10" x14ac:dyDescent="0.35">
      <c r="A2874" s="1">
        <v>45833</v>
      </c>
      <c r="B2874" s="2" t="s">
        <v>26</v>
      </c>
      <c r="C2874" s="2" t="s">
        <v>23</v>
      </c>
      <c r="D2874" s="2" t="s">
        <v>12</v>
      </c>
      <c r="E2874" s="2" t="s">
        <v>18</v>
      </c>
      <c r="F2874">
        <v>567</v>
      </c>
      <c r="G2874">
        <v>265</v>
      </c>
      <c r="H2874">
        <v>150255</v>
      </c>
      <c r="I2874">
        <v>26998.612300000001</v>
      </c>
      <c r="J2874" s="2" t="s">
        <v>41</v>
      </c>
    </row>
    <row r="2875" spans="1:10" x14ac:dyDescent="0.35">
      <c r="A2875" s="1">
        <v>45833</v>
      </c>
      <c r="B2875" s="2" t="s">
        <v>34</v>
      </c>
      <c r="C2875" s="2" t="s">
        <v>11</v>
      </c>
      <c r="D2875" s="2" t="s">
        <v>17</v>
      </c>
      <c r="E2875" s="2" t="s">
        <v>22</v>
      </c>
      <c r="F2875">
        <v>564</v>
      </c>
      <c r="G2875">
        <v>187</v>
      </c>
      <c r="H2875">
        <v>105468</v>
      </c>
      <c r="I2875">
        <v>21831.791000000001</v>
      </c>
      <c r="J2875" s="2" t="s">
        <v>41</v>
      </c>
    </row>
    <row r="2876" spans="1:10" x14ac:dyDescent="0.35">
      <c r="A2876" s="1">
        <v>45835</v>
      </c>
      <c r="B2876" s="2" t="s">
        <v>34</v>
      </c>
      <c r="C2876" s="2" t="s">
        <v>23</v>
      </c>
      <c r="D2876" s="2" t="s">
        <v>12</v>
      </c>
      <c r="E2876" s="2" t="s">
        <v>22</v>
      </c>
      <c r="F2876">
        <v>309</v>
      </c>
      <c r="G2876">
        <v>315</v>
      </c>
      <c r="H2876">
        <v>97335</v>
      </c>
      <c r="I2876">
        <v>13878.783299999999</v>
      </c>
      <c r="J2876" s="2" t="s">
        <v>41</v>
      </c>
    </row>
    <row r="2877" spans="1:10" x14ac:dyDescent="0.35">
      <c r="A2877" s="1">
        <v>45835</v>
      </c>
      <c r="B2877" s="2" t="s">
        <v>19</v>
      </c>
      <c r="C2877" s="2" t="s">
        <v>27</v>
      </c>
      <c r="D2877" s="2" t="s">
        <v>17</v>
      </c>
      <c r="E2877" s="2" t="s">
        <v>33</v>
      </c>
      <c r="F2877">
        <v>504</v>
      </c>
      <c r="G2877">
        <v>156</v>
      </c>
      <c r="H2877">
        <v>78624</v>
      </c>
      <c r="I2877">
        <v>11118.573200000001</v>
      </c>
      <c r="J2877" s="2" t="s">
        <v>41</v>
      </c>
    </row>
    <row r="2878" spans="1:10" x14ac:dyDescent="0.35">
      <c r="A2878" s="1">
        <v>45835</v>
      </c>
      <c r="B2878" s="2" t="s">
        <v>25</v>
      </c>
      <c r="C2878" s="2" t="s">
        <v>16</v>
      </c>
      <c r="D2878" s="2" t="s">
        <v>21</v>
      </c>
      <c r="E2878" s="2" t="s">
        <v>24</v>
      </c>
      <c r="F2878">
        <v>577</v>
      </c>
      <c r="G2878">
        <v>435</v>
      </c>
      <c r="H2878">
        <v>250995</v>
      </c>
      <c r="I2878">
        <v>35635.498699999996</v>
      </c>
      <c r="J2878" s="2" t="s">
        <v>41</v>
      </c>
    </row>
    <row r="2879" spans="1:10" x14ac:dyDescent="0.35">
      <c r="A2879" s="1">
        <v>45835</v>
      </c>
      <c r="B2879" s="2" t="s">
        <v>36</v>
      </c>
      <c r="C2879" s="2" t="s">
        <v>16</v>
      </c>
      <c r="D2879" s="2" t="s">
        <v>17</v>
      </c>
      <c r="E2879" s="2" t="s">
        <v>18</v>
      </c>
      <c r="F2879">
        <v>803</v>
      </c>
      <c r="G2879">
        <v>467</v>
      </c>
      <c r="H2879">
        <v>375001</v>
      </c>
      <c r="I2879">
        <v>87650.019899999999</v>
      </c>
      <c r="J2879" s="2" t="s">
        <v>41</v>
      </c>
    </row>
    <row r="2880" spans="1:10" x14ac:dyDescent="0.35">
      <c r="A2880" s="1">
        <v>45836</v>
      </c>
      <c r="B2880" s="2" t="s">
        <v>26</v>
      </c>
      <c r="C2880" s="2" t="s">
        <v>27</v>
      </c>
      <c r="D2880" s="2" t="s">
        <v>21</v>
      </c>
      <c r="E2880" s="2" t="s">
        <v>24</v>
      </c>
      <c r="F2880">
        <v>164</v>
      </c>
      <c r="G2880">
        <v>146</v>
      </c>
      <c r="H2880">
        <v>23944</v>
      </c>
      <c r="I2880">
        <v>4480.6813000000002</v>
      </c>
      <c r="J2880" s="2" t="s">
        <v>41</v>
      </c>
    </row>
    <row r="2881" spans="1:10" x14ac:dyDescent="0.35">
      <c r="A2881" s="1">
        <v>45836</v>
      </c>
      <c r="B2881" s="2" t="s">
        <v>36</v>
      </c>
      <c r="C2881" s="2" t="s">
        <v>23</v>
      </c>
      <c r="D2881" s="2" t="s">
        <v>30</v>
      </c>
      <c r="E2881" s="2" t="s">
        <v>33</v>
      </c>
      <c r="F2881">
        <v>336</v>
      </c>
      <c r="G2881">
        <v>373</v>
      </c>
      <c r="H2881">
        <v>125328</v>
      </c>
      <c r="I2881">
        <v>16017.908299999999</v>
      </c>
      <c r="J2881" s="2" t="s">
        <v>41</v>
      </c>
    </row>
    <row r="2882" spans="1:10" x14ac:dyDescent="0.35">
      <c r="A2882" s="1">
        <v>45836</v>
      </c>
      <c r="B2882" s="2" t="s">
        <v>19</v>
      </c>
      <c r="C2882" s="2" t="s">
        <v>11</v>
      </c>
      <c r="D2882" s="2" t="s">
        <v>12</v>
      </c>
      <c r="E2882" s="2" t="s">
        <v>13</v>
      </c>
      <c r="F2882">
        <v>402</v>
      </c>
      <c r="G2882">
        <v>287</v>
      </c>
      <c r="H2882">
        <v>115374</v>
      </c>
      <c r="I2882">
        <v>12226.625400000001</v>
      </c>
      <c r="J2882" s="2" t="s">
        <v>41</v>
      </c>
    </row>
    <row r="2883" spans="1:10" x14ac:dyDescent="0.35">
      <c r="A2883" s="1">
        <v>45837</v>
      </c>
      <c r="B2883" s="2" t="s">
        <v>19</v>
      </c>
      <c r="C2883" s="2" t="s">
        <v>11</v>
      </c>
      <c r="D2883" s="2" t="s">
        <v>12</v>
      </c>
      <c r="E2883" s="2" t="s">
        <v>18</v>
      </c>
      <c r="F2883">
        <v>947</v>
      </c>
      <c r="G2883">
        <v>253</v>
      </c>
      <c r="H2883">
        <v>239591</v>
      </c>
      <c r="I2883">
        <v>44007.609100000001</v>
      </c>
      <c r="J2883" s="2" t="s">
        <v>41</v>
      </c>
    </row>
    <row r="2884" spans="1:10" x14ac:dyDescent="0.35">
      <c r="A2884" s="1">
        <v>45837</v>
      </c>
      <c r="B2884" s="2" t="s">
        <v>15</v>
      </c>
      <c r="C2884" s="2" t="s">
        <v>27</v>
      </c>
      <c r="D2884" s="2" t="s">
        <v>12</v>
      </c>
      <c r="E2884" s="2" t="s">
        <v>22</v>
      </c>
      <c r="F2884">
        <v>392</v>
      </c>
      <c r="G2884">
        <v>136</v>
      </c>
      <c r="H2884">
        <v>53312</v>
      </c>
      <c r="I2884">
        <v>11597.741599999999</v>
      </c>
      <c r="J2884" s="2" t="s">
        <v>41</v>
      </c>
    </row>
    <row r="2885" spans="1:10" x14ac:dyDescent="0.35">
      <c r="A2885" s="1">
        <v>45837</v>
      </c>
      <c r="B2885" s="2" t="s">
        <v>25</v>
      </c>
      <c r="C2885" s="2" t="s">
        <v>29</v>
      </c>
      <c r="D2885" s="2" t="s">
        <v>12</v>
      </c>
      <c r="E2885" s="2" t="s">
        <v>24</v>
      </c>
      <c r="F2885">
        <v>99</v>
      </c>
      <c r="G2885">
        <v>401</v>
      </c>
      <c r="H2885">
        <v>39699</v>
      </c>
      <c r="I2885">
        <v>7674.7943999999998</v>
      </c>
      <c r="J2885" s="2" t="s">
        <v>41</v>
      </c>
    </row>
    <row r="2886" spans="1:10" x14ac:dyDescent="0.35">
      <c r="A2886" s="1">
        <v>45837</v>
      </c>
      <c r="B2886" s="2" t="s">
        <v>25</v>
      </c>
      <c r="C2886" s="2" t="s">
        <v>11</v>
      </c>
      <c r="D2886" s="2" t="s">
        <v>21</v>
      </c>
      <c r="E2886" s="2" t="s">
        <v>22</v>
      </c>
      <c r="F2886">
        <v>997</v>
      </c>
      <c r="G2886">
        <v>309</v>
      </c>
      <c r="H2886">
        <v>308073</v>
      </c>
      <c r="I2886">
        <v>27429.6476</v>
      </c>
      <c r="J2886" s="2" t="s">
        <v>41</v>
      </c>
    </row>
    <row r="2887" spans="1:10" x14ac:dyDescent="0.35">
      <c r="A2887" s="1">
        <v>45837</v>
      </c>
      <c r="B2887" s="2" t="s">
        <v>34</v>
      </c>
      <c r="C2887" s="2" t="s">
        <v>23</v>
      </c>
      <c r="D2887" s="2" t="s">
        <v>30</v>
      </c>
      <c r="E2887" s="2" t="s">
        <v>28</v>
      </c>
      <c r="F2887">
        <v>326</v>
      </c>
      <c r="G2887">
        <v>290</v>
      </c>
      <c r="H2887">
        <v>94540</v>
      </c>
      <c r="I2887">
        <v>14620.3989</v>
      </c>
      <c r="J2887" s="2" t="s">
        <v>41</v>
      </c>
    </row>
    <row r="2888" spans="1:10" x14ac:dyDescent="0.35">
      <c r="A2888" s="1">
        <v>45838</v>
      </c>
      <c r="B2888" s="2" t="s">
        <v>19</v>
      </c>
      <c r="C2888" s="2" t="s">
        <v>20</v>
      </c>
      <c r="D2888" s="2" t="s">
        <v>21</v>
      </c>
      <c r="E2888" s="2" t="s">
        <v>33</v>
      </c>
      <c r="F2888">
        <v>174</v>
      </c>
      <c r="G2888">
        <v>293</v>
      </c>
      <c r="H2888">
        <v>50982</v>
      </c>
      <c r="I2888">
        <v>5272.8901999999998</v>
      </c>
      <c r="J2888" s="2" t="s">
        <v>41</v>
      </c>
    </row>
    <row r="2889" spans="1:10" x14ac:dyDescent="0.35">
      <c r="A2889" s="1">
        <v>45838</v>
      </c>
      <c r="B2889" s="2" t="s">
        <v>25</v>
      </c>
      <c r="C2889" s="2" t="s">
        <v>16</v>
      </c>
      <c r="D2889" s="2" t="s">
        <v>21</v>
      </c>
      <c r="E2889" s="2" t="s">
        <v>18</v>
      </c>
      <c r="F2889">
        <v>908</v>
      </c>
      <c r="G2889">
        <v>140</v>
      </c>
      <c r="H2889">
        <v>127120</v>
      </c>
      <c r="I2889">
        <v>18323.804100000001</v>
      </c>
      <c r="J2889" s="2" t="s">
        <v>41</v>
      </c>
    </row>
    <row r="2890" spans="1:10" x14ac:dyDescent="0.35">
      <c r="A2890" s="1">
        <v>45839</v>
      </c>
      <c r="B2890" s="2" t="s">
        <v>19</v>
      </c>
      <c r="C2890" s="2" t="s">
        <v>23</v>
      </c>
      <c r="D2890" s="2" t="s">
        <v>21</v>
      </c>
      <c r="E2890" s="2" t="s">
        <v>33</v>
      </c>
      <c r="F2890">
        <v>978</v>
      </c>
      <c r="G2890">
        <v>292</v>
      </c>
      <c r="H2890">
        <v>285576</v>
      </c>
      <c r="I2890">
        <v>54001.3802</v>
      </c>
      <c r="J2890" s="2" t="s">
        <v>42</v>
      </c>
    </row>
    <row r="2891" spans="1:10" x14ac:dyDescent="0.35">
      <c r="A2891" s="1">
        <v>45839</v>
      </c>
      <c r="B2891" s="2" t="s">
        <v>15</v>
      </c>
      <c r="C2891" s="2" t="s">
        <v>11</v>
      </c>
      <c r="D2891" s="2" t="s">
        <v>17</v>
      </c>
      <c r="E2891" s="2" t="s">
        <v>33</v>
      </c>
      <c r="F2891">
        <v>873</v>
      </c>
      <c r="G2891">
        <v>323</v>
      </c>
      <c r="H2891">
        <v>281979</v>
      </c>
      <c r="I2891">
        <v>50649.353300000002</v>
      </c>
      <c r="J2891" s="2" t="s">
        <v>42</v>
      </c>
    </row>
    <row r="2892" spans="1:10" x14ac:dyDescent="0.35">
      <c r="A2892" s="1">
        <v>45839</v>
      </c>
      <c r="B2892" s="2" t="s">
        <v>25</v>
      </c>
      <c r="C2892" s="2" t="s">
        <v>16</v>
      </c>
      <c r="D2892" s="2" t="s">
        <v>17</v>
      </c>
      <c r="E2892" s="2" t="s">
        <v>28</v>
      </c>
      <c r="F2892">
        <v>198</v>
      </c>
      <c r="G2892">
        <v>478</v>
      </c>
      <c r="H2892">
        <v>94644</v>
      </c>
      <c r="I2892">
        <v>16788.6361</v>
      </c>
      <c r="J2892" s="2" t="s">
        <v>42</v>
      </c>
    </row>
    <row r="2893" spans="1:10" x14ac:dyDescent="0.35">
      <c r="A2893" s="1">
        <v>45840</v>
      </c>
      <c r="B2893" s="2" t="s">
        <v>10</v>
      </c>
      <c r="C2893" s="2" t="s">
        <v>23</v>
      </c>
      <c r="D2893" s="2" t="s">
        <v>17</v>
      </c>
      <c r="E2893" s="2" t="s">
        <v>33</v>
      </c>
      <c r="F2893">
        <v>719</v>
      </c>
      <c r="G2893">
        <v>298</v>
      </c>
      <c r="H2893">
        <v>214262</v>
      </c>
      <c r="I2893">
        <v>36410.319000000003</v>
      </c>
      <c r="J2893" s="2" t="s">
        <v>42</v>
      </c>
    </row>
    <row r="2894" spans="1:10" x14ac:dyDescent="0.35">
      <c r="A2894" s="1">
        <v>45840</v>
      </c>
      <c r="B2894" s="2" t="s">
        <v>19</v>
      </c>
      <c r="C2894" s="2" t="s">
        <v>23</v>
      </c>
      <c r="D2894" s="2" t="s">
        <v>30</v>
      </c>
      <c r="E2894" s="2" t="s">
        <v>28</v>
      </c>
      <c r="F2894">
        <v>277</v>
      </c>
      <c r="G2894">
        <v>316</v>
      </c>
      <c r="H2894">
        <v>87532</v>
      </c>
      <c r="I2894">
        <v>12190.5432</v>
      </c>
      <c r="J2894" s="2" t="s">
        <v>42</v>
      </c>
    </row>
    <row r="2895" spans="1:10" x14ac:dyDescent="0.35">
      <c r="A2895" s="1">
        <v>45840</v>
      </c>
      <c r="B2895" s="2" t="s">
        <v>26</v>
      </c>
      <c r="C2895" s="2" t="s">
        <v>11</v>
      </c>
      <c r="D2895" s="2" t="s">
        <v>12</v>
      </c>
      <c r="E2895" s="2" t="s">
        <v>22</v>
      </c>
      <c r="F2895">
        <v>235</v>
      </c>
      <c r="G2895">
        <v>102</v>
      </c>
      <c r="H2895">
        <v>23970</v>
      </c>
      <c r="I2895">
        <v>2405.4776000000002</v>
      </c>
      <c r="J2895" s="2" t="s">
        <v>42</v>
      </c>
    </row>
    <row r="2896" spans="1:10" x14ac:dyDescent="0.35">
      <c r="A2896" s="1">
        <v>45840</v>
      </c>
      <c r="B2896" s="2" t="s">
        <v>26</v>
      </c>
      <c r="C2896" s="2" t="s">
        <v>20</v>
      </c>
      <c r="D2896" s="2" t="s">
        <v>17</v>
      </c>
      <c r="E2896" s="2" t="s">
        <v>33</v>
      </c>
      <c r="F2896">
        <v>50</v>
      </c>
      <c r="G2896">
        <v>464</v>
      </c>
      <c r="H2896">
        <v>23200</v>
      </c>
      <c r="I2896">
        <v>3850.8092999999999</v>
      </c>
      <c r="J2896" s="2" t="s">
        <v>42</v>
      </c>
    </row>
    <row r="2897" spans="1:10" x14ac:dyDescent="0.35">
      <c r="A2897" s="1">
        <v>45841</v>
      </c>
      <c r="B2897" s="2" t="s">
        <v>19</v>
      </c>
      <c r="C2897" s="2" t="s">
        <v>16</v>
      </c>
      <c r="D2897" s="2" t="s">
        <v>17</v>
      </c>
      <c r="E2897" s="2" t="s">
        <v>35</v>
      </c>
      <c r="F2897">
        <v>374</v>
      </c>
      <c r="G2897">
        <v>166</v>
      </c>
      <c r="H2897">
        <v>62084</v>
      </c>
      <c r="I2897">
        <v>13784.060600000001</v>
      </c>
      <c r="J2897" s="2" t="s">
        <v>42</v>
      </c>
    </row>
    <row r="2898" spans="1:10" x14ac:dyDescent="0.35">
      <c r="A2898" s="1">
        <v>45841</v>
      </c>
      <c r="B2898" s="2" t="s">
        <v>25</v>
      </c>
      <c r="C2898" s="2" t="s">
        <v>16</v>
      </c>
      <c r="D2898" s="2" t="s">
        <v>12</v>
      </c>
      <c r="E2898" s="2" t="s">
        <v>13</v>
      </c>
      <c r="F2898">
        <v>199</v>
      </c>
      <c r="G2898">
        <v>311</v>
      </c>
      <c r="H2898">
        <v>61889</v>
      </c>
      <c r="I2898">
        <v>9432.8376000000007</v>
      </c>
      <c r="J2898" s="2" t="s">
        <v>42</v>
      </c>
    </row>
    <row r="2899" spans="1:10" x14ac:dyDescent="0.35">
      <c r="A2899" s="1">
        <v>45841</v>
      </c>
      <c r="B2899" s="2" t="s">
        <v>26</v>
      </c>
      <c r="C2899" s="2" t="s">
        <v>20</v>
      </c>
      <c r="D2899" s="2" t="s">
        <v>17</v>
      </c>
      <c r="E2899" s="2" t="s">
        <v>28</v>
      </c>
      <c r="F2899">
        <v>326</v>
      </c>
      <c r="G2899">
        <v>456</v>
      </c>
      <c r="H2899">
        <v>148656</v>
      </c>
      <c r="I2899">
        <v>15823.853999999999</v>
      </c>
      <c r="J2899" s="2" t="s">
        <v>42</v>
      </c>
    </row>
    <row r="2900" spans="1:10" x14ac:dyDescent="0.35">
      <c r="A2900" s="1">
        <v>45841</v>
      </c>
      <c r="B2900" s="2" t="s">
        <v>31</v>
      </c>
      <c r="C2900" s="2" t="s">
        <v>29</v>
      </c>
      <c r="D2900" s="2" t="s">
        <v>30</v>
      </c>
      <c r="E2900" s="2" t="s">
        <v>22</v>
      </c>
      <c r="F2900">
        <v>679</v>
      </c>
      <c r="G2900">
        <v>210</v>
      </c>
      <c r="H2900">
        <v>142590</v>
      </c>
      <c r="I2900">
        <v>19957.8449</v>
      </c>
      <c r="J2900" s="2" t="s">
        <v>42</v>
      </c>
    </row>
    <row r="2901" spans="1:10" x14ac:dyDescent="0.35">
      <c r="A2901" s="1">
        <v>45842</v>
      </c>
      <c r="B2901" s="2" t="s">
        <v>19</v>
      </c>
      <c r="C2901" s="2" t="s">
        <v>16</v>
      </c>
      <c r="D2901" s="2" t="s">
        <v>30</v>
      </c>
      <c r="E2901" s="2" t="s">
        <v>32</v>
      </c>
      <c r="F2901">
        <v>112</v>
      </c>
      <c r="G2901">
        <v>430</v>
      </c>
      <c r="H2901">
        <v>48160</v>
      </c>
      <c r="I2901">
        <v>10927.3261</v>
      </c>
      <c r="J2901" s="2" t="s">
        <v>42</v>
      </c>
    </row>
    <row r="2902" spans="1:10" x14ac:dyDescent="0.35">
      <c r="A2902" s="1">
        <v>45842</v>
      </c>
      <c r="B2902" s="2" t="s">
        <v>10</v>
      </c>
      <c r="C2902" s="2" t="s">
        <v>27</v>
      </c>
      <c r="D2902" s="2" t="s">
        <v>30</v>
      </c>
      <c r="E2902" s="2" t="s">
        <v>35</v>
      </c>
      <c r="F2902">
        <v>58</v>
      </c>
      <c r="G2902">
        <v>324</v>
      </c>
      <c r="H2902">
        <v>18792</v>
      </c>
      <c r="I2902">
        <v>2508.2566999999999</v>
      </c>
      <c r="J2902" s="2" t="s">
        <v>42</v>
      </c>
    </row>
    <row r="2903" spans="1:10" x14ac:dyDescent="0.35">
      <c r="A2903" s="1">
        <v>45843</v>
      </c>
      <c r="B2903" s="2" t="s">
        <v>15</v>
      </c>
      <c r="C2903" s="2" t="s">
        <v>16</v>
      </c>
      <c r="D2903" s="2" t="s">
        <v>30</v>
      </c>
      <c r="E2903" s="2" t="s">
        <v>18</v>
      </c>
      <c r="F2903">
        <v>345</v>
      </c>
      <c r="G2903">
        <v>296</v>
      </c>
      <c r="H2903">
        <v>102120</v>
      </c>
      <c r="I2903">
        <v>16965.718499999999</v>
      </c>
      <c r="J2903" s="2" t="s">
        <v>42</v>
      </c>
    </row>
    <row r="2904" spans="1:10" x14ac:dyDescent="0.35">
      <c r="A2904" s="1">
        <v>45843</v>
      </c>
      <c r="B2904" s="2" t="s">
        <v>10</v>
      </c>
      <c r="C2904" s="2" t="s">
        <v>29</v>
      </c>
      <c r="D2904" s="2" t="s">
        <v>30</v>
      </c>
      <c r="E2904" s="2" t="s">
        <v>33</v>
      </c>
      <c r="F2904">
        <v>924</v>
      </c>
      <c r="G2904">
        <v>434</v>
      </c>
      <c r="H2904">
        <v>401016</v>
      </c>
      <c r="I2904">
        <v>85061.270900000003</v>
      </c>
      <c r="J2904" s="2" t="s">
        <v>42</v>
      </c>
    </row>
    <row r="2905" spans="1:10" x14ac:dyDescent="0.35">
      <c r="A2905" s="1">
        <v>45843</v>
      </c>
      <c r="B2905" s="2" t="s">
        <v>31</v>
      </c>
      <c r="C2905" s="2" t="s">
        <v>27</v>
      </c>
      <c r="D2905" s="2" t="s">
        <v>12</v>
      </c>
      <c r="E2905" s="2" t="s">
        <v>24</v>
      </c>
      <c r="F2905">
        <v>164</v>
      </c>
      <c r="G2905">
        <v>150</v>
      </c>
      <c r="H2905">
        <v>24600</v>
      </c>
      <c r="I2905">
        <v>4210.8423000000003</v>
      </c>
      <c r="J2905" s="2" t="s">
        <v>42</v>
      </c>
    </row>
    <row r="2906" spans="1:10" x14ac:dyDescent="0.35">
      <c r="A2906" s="1">
        <v>45843</v>
      </c>
      <c r="B2906" s="2" t="s">
        <v>34</v>
      </c>
      <c r="C2906" s="2" t="s">
        <v>11</v>
      </c>
      <c r="D2906" s="2" t="s">
        <v>21</v>
      </c>
      <c r="E2906" s="2" t="s">
        <v>24</v>
      </c>
      <c r="F2906">
        <v>854</v>
      </c>
      <c r="G2906">
        <v>142</v>
      </c>
      <c r="H2906">
        <v>121268</v>
      </c>
      <c r="I2906">
        <v>29351.937099999999</v>
      </c>
      <c r="J2906" s="2" t="s">
        <v>42</v>
      </c>
    </row>
    <row r="2907" spans="1:10" x14ac:dyDescent="0.35">
      <c r="A2907" s="1">
        <v>45843</v>
      </c>
      <c r="B2907" s="2" t="s">
        <v>10</v>
      </c>
      <c r="C2907" s="2" t="s">
        <v>16</v>
      </c>
      <c r="D2907" s="2" t="s">
        <v>17</v>
      </c>
      <c r="E2907" s="2" t="s">
        <v>35</v>
      </c>
      <c r="F2907">
        <v>156</v>
      </c>
      <c r="G2907">
        <v>341</v>
      </c>
      <c r="H2907">
        <v>53196</v>
      </c>
      <c r="I2907">
        <v>5340.9956000000002</v>
      </c>
      <c r="J2907" s="2" t="s">
        <v>42</v>
      </c>
    </row>
    <row r="2908" spans="1:10" x14ac:dyDescent="0.35">
      <c r="A2908" s="1">
        <v>45844</v>
      </c>
      <c r="B2908" s="2" t="s">
        <v>19</v>
      </c>
      <c r="C2908" s="2" t="s">
        <v>27</v>
      </c>
      <c r="D2908" s="2" t="s">
        <v>12</v>
      </c>
      <c r="E2908" s="2" t="s">
        <v>35</v>
      </c>
      <c r="F2908">
        <v>847</v>
      </c>
      <c r="G2908">
        <v>234</v>
      </c>
      <c r="H2908">
        <v>198198</v>
      </c>
      <c r="I2908">
        <v>26980.847099999999</v>
      </c>
      <c r="J2908" s="2" t="s">
        <v>42</v>
      </c>
    </row>
    <row r="2909" spans="1:10" x14ac:dyDescent="0.35">
      <c r="A2909" s="1">
        <v>45844</v>
      </c>
      <c r="B2909" s="2" t="s">
        <v>10</v>
      </c>
      <c r="C2909" s="2" t="s">
        <v>11</v>
      </c>
      <c r="D2909" s="2" t="s">
        <v>30</v>
      </c>
      <c r="E2909" s="2" t="s">
        <v>13</v>
      </c>
      <c r="F2909">
        <v>442</v>
      </c>
      <c r="G2909">
        <v>259</v>
      </c>
      <c r="H2909">
        <v>114478</v>
      </c>
      <c r="I2909">
        <v>16423.225200000001</v>
      </c>
      <c r="J2909" s="2" t="s">
        <v>42</v>
      </c>
    </row>
    <row r="2910" spans="1:10" x14ac:dyDescent="0.35">
      <c r="A2910" s="1">
        <v>45844</v>
      </c>
      <c r="B2910" s="2" t="s">
        <v>10</v>
      </c>
      <c r="C2910" s="2" t="s">
        <v>27</v>
      </c>
      <c r="D2910" s="2" t="s">
        <v>17</v>
      </c>
      <c r="E2910" s="2" t="s">
        <v>13</v>
      </c>
      <c r="F2910">
        <v>262</v>
      </c>
      <c r="G2910">
        <v>222</v>
      </c>
      <c r="H2910">
        <v>58164</v>
      </c>
      <c r="I2910">
        <v>5478.2844999999998</v>
      </c>
      <c r="J2910" s="2" t="s">
        <v>42</v>
      </c>
    </row>
    <row r="2911" spans="1:10" x14ac:dyDescent="0.35">
      <c r="A2911" s="1">
        <v>45844</v>
      </c>
      <c r="B2911" s="2" t="s">
        <v>36</v>
      </c>
      <c r="C2911" s="2" t="s">
        <v>16</v>
      </c>
      <c r="D2911" s="2" t="s">
        <v>12</v>
      </c>
      <c r="E2911" s="2" t="s">
        <v>32</v>
      </c>
      <c r="F2911">
        <v>493</v>
      </c>
      <c r="G2911">
        <v>249</v>
      </c>
      <c r="H2911">
        <v>122757</v>
      </c>
      <c r="I2911">
        <v>24014.970300000001</v>
      </c>
      <c r="J2911" s="2" t="s">
        <v>42</v>
      </c>
    </row>
    <row r="2912" spans="1:10" x14ac:dyDescent="0.35">
      <c r="A2912" s="1">
        <v>45845</v>
      </c>
      <c r="B2912" s="2" t="s">
        <v>15</v>
      </c>
      <c r="C2912" s="2" t="s">
        <v>11</v>
      </c>
      <c r="D2912" s="2" t="s">
        <v>21</v>
      </c>
      <c r="E2912" s="2" t="s">
        <v>33</v>
      </c>
      <c r="F2912">
        <v>770</v>
      </c>
      <c r="G2912">
        <v>286</v>
      </c>
      <c r="H2912">
        <v>220220</v>
      </c>
      <c r="I2912">
        <v>52302.643600000003</v>
      </c>
      <c r="J2912" s="2" t="s">
        <v>42</v>
      </c>
    </row>
    <row r="2913" spans="1:10" x14ac:dyDescent="0.35">
      <c r="A2913" s="1">
        <v>45845</v>
      </c>
      <c r="B2913" s="2" t="s">
        <v>36</v>
      </c>
      <c r="C2913" s="2" t="s">
        <v>23</v>
      </c>
      <c r="D2913" s="2" t="s">
        <v>17</v>
      </c>
      <c r="E2913" s="2" t="s">
        <v>35</v>
      </c>
      <c r="F2913">
        <v>623</v>
      </c>
      <c r="G2913">
        <v>334</v>
      </c>
      <c r="H2913">
        <v>208082</v>
      </c>
      <c r="I2913">
        <v>51658.7808</v>
      </c>
      <c r="J2913" s="2" t="s">
        <v>42</v>
      </c>
    </row>
    <row r="2914" spans="1:10" x14ac:dyDescent="0.35">
      <c r="A2914" s="1">
        <v>45845</v>
      </c>
      <c r="B2914" s="2" t="s">
        <v>26</v>
      </c>
      <c r="C2914" s="2" t="s">
        <v>27</v>
      </c>
      <c r="D2914" s="2" t="s">
        <v>12</v>
      </c>
      <c r="E2914" s="2" t="s">
        <v>33</v>
      </c>
      <c r="F2914">
        <v>698</v>
      </c>
      <c r="G2914">
        <v>387</v>
      </c>
      <c r="H2914">
        <v>270126</v>
      </c>
      <c r="I2914">
        <v>65785.687900000004</v>
      </c>
      <c r="J2914" s="2" t="s">
        <v>42</v>
      </c>
    </row>
    <row r="2915" spans="1:10" x14ac:dyDescent="0.35">
      <c r="A2915" s="1">
        <v>45845</v>
      </c>
      <c r="B2915" s="2" t="s">
        <v>26</v>
      </c>
      <c r="C2915" s="2" t="s">
        <v>23</v>
      </c>
      <c r="D2915" s="2" t="s">
        <v>21</v>
      </c>
      <c r="E2915" s="2" t="s">
        <v>33</v>
      </c>
      <c r="F2915">
        <v>181</v>
      </c>
      <c r="G2915">
        <v>168</v>
      </c>
      <c r="H2915">
        <v>30408</v>
      </c>
      <c r="I2915">
        <v>5037.0636999999997</v>
      </c>
      <c r="J2915" s="2" t="s">
        <v>42</v>
      </c>
    </row>
    <row r="2916" spans="1:10" x14ac:dyDescent="0.35">
      <c r="A2916" s="1">
        <v>45846</v>
      </c>
      <c r="B2916" s="2" t="s">
        <v>19</v>
      </c>
      <c r="C2916" s="2" t="s">
        <v>27</v>
      </c>
      <c r="D2916" s="2" t="s">
        <v>12</v>
      </c>
      <c r="E2916" s="2" t="s">
        <v>22</v>
      </c>
      <c r="F2916">
        <v>302</v>
      </c>
      <c r="G2916">
        <v>291</v>
      </c>
      <c r="H2916">
        <v>87882</v>
      </c>
      <c r="I2916">
        <v>16783.622100000001</v>
      </c>
      <c r="J2916" s="2" t="s">
        <v>42</v>
      </c>
    </row>
    <row r="2917" spans="1:10" x14ac:dyDescent="0.35">
      <c r="A2917" s="1">
        <v>45846</v>
      </c>
      <c r="B2917" s="2" t="s">
        <v>31</v>
      </c>
      <c r="C2917" s="2" t="s">
        <v>29</v>
      </c>
      <c r="D2917" s="2" t="s">
        <v>12</v>
      </c>
      <c r="E2917" s="2" t="s">
        <v>35</v>
      </c>
      <c r="F2917">
        <v>93</v>
      </c>
      <c r="G2917">
        <v>261</v>
      </c>
      <c r="H2917">
        <v>24273</v>
      </c>
      <c r="I2917">
        <v>4859.3517000000002</v>
      </c>
      <c r="J2917" s="2" t="s">
        <v>42</v>
      </c>
    </row>
    <row r="2918" spans="1:10" x14ac:dyDescent="0.35">
      <c r="A2918" s="1">
        <v>45847</v>
      </c>
      <c r="B2918" s="2" t="s">
        <v>36</v>
      </c>
      <c r="C2918" s="2" t="s">
        <v>16</v>
      </c>
      <c r="D2918" s="2" t="s">
        <v>12</v>
      </c>
      <c r="E2918" s="2" t="s">
        <v>33</v>
      </c>
      <c r="F2918">
        <v>524</v>
      </c>
      <c r="G2918">
        <v>252</v>
      </c>
      <c r="H2918">
        <v>132048</v>
      </c>
      <c r="I2918">
        <v>25959.1286</v>
      </c>
      <c r="J2918" s="2" t="s">
        <v>42</v>
      </c>
    </row>
    <row r="2919" spans="1:10" x14ac:dyDescent="0.35">
      <c r="A2919" s="1">
        <v>45847</v>
      </c>
      <c r="B2919" s="2" t="s">
        <v>26</v>
      </c>
      <c r="C2919" s="2" t="s">
        <v>23</v>
      </c>
      <c r="D2919" s="2" t="s">
        <v>12</v>
      </c>
      <c r="E2919" s="2" t="s">
        <v>18</v>
      </c>
      <c r="F2919">
        <v>301</v>
      </c>
      <c r="G2919">
        <v>488</v>
      </c>
      <c r="H2919">
        <v>146888</v>
      </c>
      <c r="I2919">
        <v>15602.129800000001</v>
      </c>
      <c r="J2919" s="2" t="s">
        <v>42</v>
      </c>
    </row>
    <row r="2920" spans="1:10" x14ac:dyDescent="0.35">
      <c r="A2920" s="1">
        <v>45847</v>
      </c>
      <c r="B2920" s="2" t="s">
        <v>34</v>
      </c>
      <c r="C2920" s="2" t="s">
        <v>16</v>
      </c>
      <c r="D2920" s="2" t="s">
        <v>17</v>
      </c>
      <c r="E2920" s="2" t="s">
        <v>28</v>
      </c>
      <c r="F2920">
        <v>805</v>
      </c>
      <c r="G2920">
        <v>159</v>
      </c>
      <c r="H2920">
        <v>127995</v>
      </c>
      <c r="I2920">
        <v>28372.274799999999</v>
      </c>
      <c r="J2920" s="2" t="s">
        <v>42</v>
      </c>
    </row>
    <row r="2921" spans="1:10" x14ac:dyDescent="0.35">
      <c r="A2921" s="1">
        <v>45847</v>
      </c>
      <c r="B2921" s="2" t="s">
        <v>36</v>
      </c>
      <c r="C2921" s="2" t="s">
        <v>20</v>
      </c>
      <c r="D2921" s="2" t="s">
        <v>12</v>
      </c>
      <c r="E2921" s="2" t="s">
        <v>22</v>
      </c>
      <c r="F2921">
        <v>413</v>
      </c>
      <c r="G2921">
        <v>128</v>
      </c>
      <c r="H2921">
        <v>52864</v>
      </c>
      <c r="I2921">
        <v>11684.4961</v>
      </c>
      <c r="J2921" s="2" t="s">
        <v>42</v>
      </c>
    </row>
    <row r="2922" spans="1:10" x14ac:dyDescent="0.35">
      <c r="A2922" s="1">
        <v>45847</v>
      </c>
      <c r="B2922" s="2" t="s">
        <v>26</v>
      </c>
      <c r="C2922" s="2" t="s">
        <v>23</v>
      </c>
      <c r="D2922" s="2" t="s">
        <v>17</v>
      </c>
      <c r="E2922" s="2" t="s">
        <v>33</v>
      </c>
      <c r="F2922">
        <v>303</v>
      </c>
      <c r="G2922">
        <v>176</v>
      </c>
      <c r="H2922">
        <v>53328</v>
      </c>
      <c r="I2922">
        <v>5527.7843000000003</v>
      </c>
      <c r="J2922" s="2" t="s">
        <v>42</v>
      </c>
    </row>
    <row r="2923" spans="1:10" x14ac:dyDescent="0.35">
      <c r="A2923" s="1">
        <v>45847</v>
      </c>
      <c r="B2923" s="2" t="s">
        <v>31</v>
      </c>
      <c r="C2923" s="2" t="s">
        <v>11</v>
      </c>
      <c r="D2923" s="2" t="s">
        <v>30</v>
      </c>
      <c r="E2923" s="2" t="s">
        <v>28</v>
      </c>
      <c r="F2923">
        <v>65</v>
      </c>
      <c r="G2923">
        <v>300</v>
      </c>
      <c r="H2923">
        <v>19500</v>
      </c>
      <c r="I2923">
        <v>4176.7816999999995</v>
      </c>
      <c r="J2923" s="2" t="s">
        <v>42</v>
      </c>
    </row>
    <row r="2924" spans="1:10" x14ac:dyDescent="0.35">
      <c r="A2924" s="1">
        <v>45847</v>
      </c>
      <c r="B2924" s="2" t="s">
        <v>19</v>
      </c>
      <c r="C2924" s="2" t="s">
        <v>23</v>
      </c>
      <c r="D2924" s="2" t="s">
        <v>17</v>
      </c>
      <c r="E2924" s="2" t="s">
        <v>22</v>
      </c>
      <c r="F2924">
        <v>365</v>
      </c>
      <c r="G2924">
        <v>424</v>
      </c>
      <c r="H2924">
        <v>154760</v>
      </c>
      <c r="I2924">
        <v>13988.649299999999</v>
      </c>
      <c r="J2924" s="2" t="s">
        <v>42</v>
      </c>
    </row>
    <row r="2925" spans="1:10" x14ac:dyDescent="0.35">
      <c r="A2925" s="1">
        <v>45848</v>
      </c>
      <c r="B2925" s="2" t="s">
        <v>34</v>
      </c>
      <c r="C2925" s="2" t="s">
        <v>20</v>
      </c>
      <c r="D2925" s="2" t="s">
        <v>30</v>
      </c>
      <c r="E2925" s="2" t="s">
        <v>22</v>
      </c>
      <c r="F2925">
        <v>954</v>
      </c>
      <c r="G2925">
        <v>489</v>
      </c>
      <c r="H2925">
        <v>466506</v>
      </c>
      <c r="I2925">
        <v>49778.158900000002</v>
      </c>
      <c r="J2925" s="2" t="s">
        <v>42</v>
      </c>
    </row>
    <row r="2926" spans="1:10" x14ac:dyDescent="0.35">
      <c r="A2926" s="1">
        <v>45848</v>
      </c>
      <c r="B2926" s="2" t="s">
        <v>19</v>
      </c>
      <c r="C2926" s="2" t="s">
        <v>20</v>
      </c>
      <c r="D2926" s="2" t="s">
        <v>21</v>
      </c>
      <c r="E2926" s="2" t="s">
        <v>33</v>
      </c>
      <c r="F2926">
        <v>357</v>
      </c>
      <c r="G2926">
        <v>127</v>
      </c>
      <c r="H2926">
        <v>45339</v>
      </c>
      <c r="I2926">
        <v>8421.9171999999999</v>
      </c>
      <c r="J2926" s="2" t="s">
        <v>42</v>
      </c>
    </row>
    <row r="2927" spans="1:10" x14ac:dyDescent="0.35">
      <c r="A2927" s="1">
        <v>45849</v>
      </c>
      <c r="B2927" s="2" t="s">
        <v>10</v>
      </c>
      <c r="C2927" s="2" t="s">
        <v>23</v>
      </c>
      <c r="D2927" s="2" t="s">
        <v>30</v>
      </c>
      <c r="E2927" s="2" t="s">
        <v>24</v>
      </c>
      <c r="F2927">
        <v>477</v>
      </c>
      <c r="G2927">
        <v>353</v>
      </c>
      <c r="H2927">
        <v>168381</v>
      </c>
      <c r="I2927">
        <v>30708.558799999999</v>
      </c>
      <c r="J2927" s="2" t="s">
        <v>42</v>
      </c>
    </row>
    <row r="2928" spans="1:10" x14ac:dyDescent="0.35">
      <c r="A2928" s="1">
        <v>45849</v>
      </c>
      <c r="B2928" s="2" t="s">
        <v>34</v>
      </c>
      <c r="C2928" s="2" t="s">
        <v>27</v>
      </c>
      <c r="D2928" s="2" t="s">
        <v>21</v>
      </c>
      <c r="E2928" s="2" t="s">
        <v>28</v>
      </c>
      <c r="F2928">
        <v>465</v>
      </c>
      <c r="G2928">
        <v>398</v>
      </c>
      <c r="H2928">
        <v>185070</v>
      </c>
      <c r="I2928">
        <v>15666.734</v>
      </c>
      <c r="J2928" s="2" t="s">
        <v>42</v>
      </c>
    </row>
    <row r="2929" spans="1:10" x14ac:dyDescent="0.35">
      <c r="A2929" s="1">
        <v>45850</v>
      </c>
      <c r="B2929" s="2" t="s">
        <v>15</v>
      </c>
      <c r="C2929" s="2" t="s">
        <v>16</v>
      </c>
      <c r="D2929" s="2" t="s">
        <v>17</v>
      </c>
      <c r="E2929" s="2" t="s">
        <v>32</v>
      </c>
      <c r="F2929">
        <v>855</v>
      </c>
      <c r="G2929">
        <v>413</v>
      </c>
      <c r="H2929">
        <v>353115</v>
      </c>
      <c r="I2929">
        <v>85258.914300000004</v>
      </c>
      <c r="J2929" s="2" t="s">
        <v>42</v>
      </c>
    </row>
    <row r="2930" spans="1:10" x14ac:dyDescent="0.35">
      <c r="A2930" s="1">
        <v>45850</v>
      </c>
      <c r="B2930" s="2" t="s">
        <v>26</v>
      </c>
      <c r="C2930" s="2" t="s">
        <v>27</v>
      </c>
      <c r="D2930" s="2" t="s">
        <v>30</v>
      </c>
      <c r="E2930" s="2" t="s">
        <v>33</v>
      </c>
      <c r="F2930">
        <v>385</v>
      </c>
      <c r="G2930">
        <v>261</v>
      </c>
      <c r="H2930">
        <v>100485</v>
      </c>
      <c r="I2930">
        <v>21608.130499999999</v>
      </c>
      <c r="J2930" s="2" t="s">
        <v>42</v>
      </c>
    </row>
    <row r="2931" spans="1:10" x14ac:dyDescent="0.35">
      <c r="A2931" s="1">
        <v>45850</v>
      </c>
      <c r="B2931" s="2" t="s">
        <v>25</v>
      </c>
      <c r="C2931" s="2" t="s">
        <v>20</v>
      </c>
      <c r="D2931" s="2" t="s">
        <v>30</v>
      </c>
      <c r="E2931" s="2" t="s">
        <v>22</v>
      </c>
      <c r="F2931">
        <v>493</v>
      </c>
      <c r="G2931">
        <v>457</v>
      </c>
      <c r="H2931">
        <v>225301</v>
      </c>
      <c r="I2931">
        <v>27971.319100000001</v>
      </c>
      <c r="J2931" s="2" t="s">
        <v>42</v>
      </c>
    </row>
    <row r="2932" spans="1:10" x14ac:dyDescent="0.35">
      <c r="A2932" s="1">
        <v>45851</v>
      </c>
      <c r="B2932" s="2" t="s">
        <v>19</v>
      </c>
      <c r="C2932" s="2" t="s">
        <v>23</v>
      </c>
      <c r="D2932" s="2" t="s">
        <v>21</v>
      </c>
      <c r="E2932" s="2" t="s">
        <v>33</v>
      </c>
      <c r="F2932">
        <v>288</v>
      </c>
      <c r="G2932">
        <v>415</v>
      </c>
      <c r="H2932">
        <v>119520</v>
      </c>
      <c r="I2932">
        <v>26043.263299999999</v>
      </c>
      <c r="J2932" s="2" t="s">
        <v>42</v>
      </c>
    </row>
    <row r="2933" spans="1:10" x14ac:dyDescent="0.35">
      <c r="A2933" s="1">
        <v>45851</v>
      </c>
      <c r="B2933" s="2" t="s">
        <v>25</v>
      </c>
      <c r="C2933" s="2" t="s">
        <v>11</v>
      </c>
      <c r="D2933" s="2" t="s">
        <v>30</v>
      </c>
      <c r="E2933" s="2" t="s">
        <v>35</v>
      </c>
      <c r="F2933">
        <v>144</v>
      </c>
      <c r="G2933">
        <v>127</v>
      </c>
      <c r="H2933">
        <v>18288</v>
      </c>
      <c r="I2933">
        <v>2505.143</v>
      </c>
      <c r="J2933" s="2" t="s">
        <v>42</v>
      </c>
    </row>
    <row r="2934" spans="1:10" x14ac:dyDescent="0.35">
      <c r="A2934" s="1">
        <v>45851</v>
      </c>
      <c r="B2934" s="2" t="s">
        <v>10</v>
      </c>
      <c r="C2934" s="2" t="s">
        <v>27</v>
      </c>
      <c r="D2934" s="2" t="s">
        <v>12</v>
      </c>
      <c r="E2934" s="2" t="s">
        <v>22</v>
      </c>
      <c r="F2934">
        <v>284</v>
      </c>
      <c r="G2934">
        <v>361</v>
      </c>
      <c r="H2934">
        <v>102524</v>
      </c>
      <c r="I2934">
        <v>19944.5</v>
      </c>
      <c r="J2934" s="2" t="s">
        <v>42</v>
      </c>
    </row>
    <row r="2935" spans="1:10" x14ac:dyDescent="0.35">
      <c r="A2935" s="1">
        <v>45851</v>
      </c>
      <c r="B2935" s="2" t="s">
        <v>31</v>
      </c>
      <c r="C2935" s="2" t="s">
        <v>11</v>
      </c>
      <c r="D2935" s="2" t="s">
        <v>30</v>
      </c>
      <c r="E2935" s="2" t="s">
        <v>32</v>
      </c>
      <c r="F2935">
        <v>974</v>
      </c>
      <c r="G2935">
        <v>267</v>
      </c>
      <c r="H2935">
        <v>260058</v>
      </c>
      <c r="I2935">
        <v>23516.8069</v>
      </c>
      <c r="J2935" s="2" t="s">
        <v>42</v>
      </c>
    </row>
    <row r="2936" spans="1:10" x14ac:dyDescent="0.35">
      <c r="A2936" s="1">
        <v>45851</v>
      </c>
      <c r="B2936" s="2" t="s">
        <v>26</v>
      </c>
      <c r="C2936" s="2" t="s">
        <v>23</v>
      </c>
      <c r="D2936" s="2" t="s">
        <v>30</v>
      </c>
      <c r="E2936" s="2" t="s">
        <v>24</v>
      </c>
      <c r="F2936">
        <v>703</v>
      </c>
      <c r="G2936">
        <v>364</v>
      </c>
      <c r="H2936">
        <v>255892</v>
      </c>
      <c r="I2936">
        <v>22292.460299999999</v>
      </c>
      <c r="J2936" s="2" t="s">
        <v>42</v>
      </c>
    </row>
    <row r="2937" spans="1:10" x14ac:dyDescent="0.35">
      <c r="A2937" s="1">
        <v>45852</v>
      </c>
      <c r="B2937" s="2" t="s">
        <v>10</v>
      </c>
      <c r="C2937" s="2" t="s">
        <v>11</v>
      </c>
      <c r="D2937" s="2" t="s">
        <v>21</v>
      </c>
      <c r="E2937" s="2" t="s">
        <v>32</v>
      </c>
      <c r="F2937">
        <v>445</v>
      </c>
      <c r="G2937">
        <v>308</v>
      </c>
      <c r="H2937">
        <v>137060</v>
      </c>
      <c r="I2937">
        <v>23625.427</v>
      </c>
      <c r="J2937" s="2" t="s">
        <v>42</v>
      </c>
    </row>
    <row r="2938" spans="1:10" x14ac:dyDescent="0.35">
      <c r="A2938" s="1">
        <v>45852</v>
      </c>
      <c r="B2938" s="2" t="s">
        <v>31</v>
      </c>
      <c r="C2938" s="2" t="s">
        <v>29</v>
      </c>
      <c r="D2938" s="2" t="s">
        <v>12</v>
      </c>
      <c r="E2938" s="2" t="s">
        <v>35</v>
      </c>
      <c r="F2938">
        <v>357</v>
      </c>
      <c r="G2938">
        <v>216</v>
      </c>
      <c r="H2938">
        <v>77112</v>
      </c>
      <c r="I2938">
        <v>7631.8897999999999</v>
      </c>
      <c r="J2938" s="2" t="s">
        <v>42</v>
      </c>
    </row>
    <row r="2939" spans="1:10" x14ac:dyDescent="0.35">
      <c r="A2939" s="1">
        <v>45852</v>
      </c>
      <c r="B2939" s="2" t="s">
        <v>26</v>
      </c>
      <c r="C2939" s="2" t="s">
        <v>16</v>
      </c>
      <c r="D2939" s="2" t="s">
        <v>21</v>
      </c>
      <c r="E2939" s="2" t="s">
        <v>35</v>
      </c>
      <c r="F2939">
        <v>557</v>
      </c>
      <c r="G2939">
        <v>144</v>
      </c>
      <c r="H2939">
        <v>80208</v>
      </c>
      <c r="I2939">
        <v>7109.7617</v>
      </c>
      <c r="J2939" s="2" t="s">
        <v>42</v>
      </c>
    </row>
    <row r="2940" spans="1:10" x14ac:dyDescent="0.35">
      <c r="A2940" s="1">
        <v>45853</v>
      </c>
      <c r="B2940" s="2" t="s">
        <v>26</v>
      </c>
      <c r="C2940" s="2" t="s">
        <v>16</v>
      </c>
      <c r="D2940" s="2" t="s">
        <v>30</v>
      </c>
      <c r="E2940" s="2" t="s">
        <v>22</v>
      </c>
      <c r="F2940">
        <v>280</v>
      </c>
      <c r="G2940">
        <v>129</v>
      </c>
      <c r="H2940">
        <v>36120</v>
      </c>
      <c r="I2940">
        <v>8691.7173000000003</v>
      </c>
      <c r="J2940" s="2" t="s">
        <v>42</v>
      </c>
    </row>
    <row r="2941" spans="1:10" x14ac:dyDescent="0.35">
      <c r="A2941" s="1">
        <v>45854</v>
      </c>
      <c r="B2941" s="2" t="s">
        <v>31</v>
      </c>
      <c r="C2941" s="2" t="s">
        <v>16</v>
      </c>
      <c r="D2941" s="2" t="s">
        <v>17</v>
      </c>
      <c r="E2941" s="2" t="s">
        <v>18</v>
      </c>
      <c r="F2941">
        <v>710</v>
      </c>
      <c r="G2941">
        <v>146</v>
      </c>
      <c r="H2941">
        <v>103660</v>
      </c>
      <c r="I2941">
        <v>17085.9431</v>
      </c>
      <c r="J2941" s="2" t="s">
        <v>42</v>
      </c>
    </row>
    <row r="2942" spans="1:10" x14ac:dyDescent="0.35">
      <c r="A2942" s="1">
        <v>45854</v>
      </c>
      <c r="B2942" s="2" t="s">
        <v>10</v>
      </c>
      <c r="C2942" s="2" t="s">
        <v>27</v>
      </c>
      <c r="D2942" s="2" t="s">
        <v>17</v>
      </c>
      <c r="E2942" s="2" t="s">
        <v>33</v>
      </c>
      <c r="F2942">
        <v>763</v>
      </c>
      <c r="G2942">
        <v>377</v>
      </c>
      <c r="H2942">
        <v>287651</v>
      </c>
      <c r="I2942">
        <v>71390.304199999999</v>
      </c>
      <c r="J2942" s="2" t="s">
        <v>42</v>
      </c>
    </row>
    <row r="2943" spans="1:10" x14ac:dyDescent="0.35">
      <c r="A2943" s="1">
        <v>45854</v>
      </c>
      <c r="B2943" s="2" t="s">
        <v>25</v>
      </c>
      <c r="C2943" s="2" t="s">
        <v>20</v>
      </c>
      <c r="D2943" s="2" t="s">
        <v>21</v>
      </c>
      <c r="E2943" s="2" t="s">
        <v>35</v>
      </c>
      <c r="F2943">
        <v>218</v>
      </c>
      <c r="G2943">
        <v>402</v>
      </c>
      <c r="H2943">
        <v>87636</v>
      </c>
      <c r="I2943">
        <v>13415.460499999999</v>
      </c>
      <c r="J2943" s="2" t="s">
        <v>42</v>
      </c>
    </row>
    <row r="2944" spans="1:10" x14ac:dyDescent="0.35">
      <c r="A2944" s="1">
        <v>45855</v>
      </c>
      <c r="B2944" s="2" t="s">
        <v>10</v>
      </c>
      <c r="C2944" s="2" t="s">
        <v>27</v>
      </c>
      <c r="D2944" s="2" t="s">
        <v>17</v>
      </c>
      <c r="E2944" s="2" t="s">
        <v>32</v>
      </c>
      <c r="F2944">
        <v>88</v>
      </c>
      <c r="G2944">
        <v>200</v>
      </c>
      <c r="H2944">
        <v>17600</v>
      </c>
      <c r="I2944">
        <v>2866.3341999999998</v>
      </c>
      <c r="J2944" s="2" t="s">
        <v>42</v>
      </c>
    </row>
    <row r="2945" spans="1:10" x14ac:dyDescent="0.35">
      <c r="A2945" s="1">
        <v>45855</v>
      </c>
      <c r="B2945" s="2" t="s">
        <v>25</v>
      </c>
      <c r="C2945" s="2" t="s">
        <v>11</v>
      </c>
      <c r="D2945" s="2" t="s">
        <v>30</v>
      </c>
      <c r="E2945" s="2" t="s">
        <v>28</v>
      </c>
      <c r="F2945">
        <v>239</v>
      </c>
      <c r="G2945">
        <v>234</v>
      </c>
      <c r="H2945">
        <v>55926</v>
      </c>
      <c r="I2945">
        <v>7805.6945999999998</v>
      </c>
      <c r="J2945" s="2" t="s">
        <v>42</v>
      </c>
    </row>
    <row r="2946" spans="1:10" x14ac:dyDescent="0.35">
      <c r="A2946" s="1">
        <v>45855</v>
      </c>
      <c r="B2946" s="2" t="s">
        <v>10</v>
      </c>
      <c r="C2946" s="2" t="s">
        <v>27</v>
      </c>
      <c r="D2946" s="2" t="s">
        <v>21</v>
      </c>
      <c r="E2946" s="2" t="s">
        <v>35</v>
      </c>
      <c r="F2946">
        <v>998</v>
      </c>
      <c r="G2946">
        <v>498</v>
      </c>
      <c r="H2946">
        <v>497004</v>
      </c>
      <c r="I2946">
        <v>95251.689899999998</v>
      </c>
      <c r="J2946" s="2" t="s">
        <v>42</v>
      </c>
    </row>
    <row r="2947" spans="1:10" x14ac:dyDescent="0.35">
      <c r="A2947" s="1">
        <v>45855</v>
      </c>
      <c r="B2947" s="2" t="s">
        <v>34</v>
      </c>
      <c r="C2947" s="2" t="s">
        <v>20</v>
      </c>
      <c r="D2947" s="2" t="s">
        <v>21</v>
      </c>
      <c r="E2947" s="2" t="s">
        <v>35</v>
      </c>
      <c r="F2947">
        <v>744</v>
      </c>
      <c r="G2947">
        <v>175</v>
      </c>
      <c r="H2947">
        <v>130200</v>
      </c>
      <c r="I2947">
        <v>27409.336299999999</v>
      </c>
      <c r="J2947" s="2" t="s">
        <v>42</v>
      </c>
    </row>
    <row r="2948" spans="1:10" x14ac:dyDescent="0.35">
      <c r="A2948" s="1">
        <v>45855</v>
      </c>
      <c r="B2948" s="2" t="s">
        <v>36</v>
      </c>
      <c r="C2948" s="2" t="s">
        <v>20</v>
      </c>
      <c r="D2948" s="2" t="s">
        <v>21</v>
      </c>
      <c r="E2948" s="2" t="s">
        <v>33</v>
      </c>
      <c r="F2948">
        <v>307</v>
      </c>
      <c r="G2948">
        <v>402</v>
      </c>
      <c r="H2948">
        <v>123414</v>
      </c>
      <c r="I2948">
        <v>13875.135899999999</v>
      </c>
      <c r="J2948" s="2" t="s">
        <v>42</v>
      </c>
    </row>
    <row r="2949" spans="1:10" x14ac:dyDescent="0.35">
      <c r="A2949" s="1">
        <v>45855</v>
      </c>
      <c r="B2949" s="2" t="s">
        <v>26</v>
      </c>
      <c r="C2949" s="2" t="s">
        <v>23</v>
      </c>
      <c r="D2949" s="2" t="s">
        <v>17</v>
      </c>
      <c r="E2949" s="2" t="s">
        <v>22</v>
      </c>
      <c r="F2949">
        <v>865</v>
      </c>
      <c r="G2949">
        <v>288</v>
      </c>
      <c r="H2949">
        <v>249120</v>
      </c>
      <c r="I2949">
        <v>32213.363700000002</v>
      </c>
      <c r="J2949" s="2" t="s">
        <v>42</v>
      </c>
    </row>
    <row r="2950" spans="1:10" x14ac:dyDescent="0.35">
      <c r="A2950" s="1">
        <v>45856</v>
      </c>
      <c r="B2950" s="2" t="s">
        <v>34</v>
      </c>
      <c r="C2950" s="2" t="s">
        <v>27</v>
      </c>
      <c r="D2950" s="2" t="s">
        <v>17</v>
      </c>
      <c r="E2950" s="2" t="s">
        <v>18</v>
      </c>
      <c r="F2950">
        <v>390</v>
      </c>
      <c r="G2950">
        <v>457</v>
      </c>
      <c r="H2950">
        <v>178230</v>
      </c>
      <c r="I2950">
        <v>44164.311099999999</v>
      </c>
      <c r="J2950" s="2" t="s">
        <v>42</v>
      </c>
    </row>
    <row r="2951" spans="1:10" x14ac:dyDescent="0.35">
      <c r="A2951" s="1">
        <v>45856</v>
      </c>
      <c r="B2951" s="2" t="s">
        <v>10</v>
      </c>
      <c r="C2951" s="2" t="s">
        <v>23</v>
      </c>
      <c r="D2951" s="2" t="s">
        <v>21</v>
      </c>
      <c r="E2951" s="2" t="s">
        <v>35</v>
      </c>
      <c r="F2951">
        <v>748</v>
      </c>
      <c r="G2951">
        <v>326</v>
      </c>
      <c r="H2951">
        <v>243848</v>
      </c>
      <c r="I2951">
        <v>32691.5556</v>
      </c>
      <c r="J2951" s="2" t="s">
        <v>42</v>
      </c>
    </row>
    <row r="2952" spans="1:10" x14ac:dyDescent="0.35">
      <c r="A2952" s="1">
        <v>45856</v>
      </c>
      <c r="B2952" s="2" t="s">
        <v>34</v>
      </c>
      <c r="C2952" s="2" t="s">
        <v>23</v>
      </c>
      <c r="D2952" s="2" t="s">
        <v>21</v>
      </c>
      <c r="E2952" s="2" t="s">
        <v>32</v>
      </c>
      <c r="F2952">
        <v>264</v>
      </c>
      <c r="G2952">
        <v>394</v>
      </c>
      <c r="H2952">
        <v>104016</v>
      </c>
      <c r="I2952">
        <v>17654.559000000001</v>
      </c>
      <c r="J2952" s="2" t="s">
        <v>42</v>
      </c>
    </row>
    <row r="2953" spans="1:10" x14ac:dyDescent="0.35">
      <c r="A2953" s="1">
        <v>45856</v>
      </c>
      <c r="B2953" s="2" t="s">
        <v>36</v>
      </c>
      <c r="C2953" s="2" t="s">
        <v>11</v>
      </c>
      <c r="D2953" s="2" t="s">
        <v>12</v>
      </c>
      <c r="E2953" s="2" t="s">
        <v>33</v>
      </c>
      <c r="F2953">
        <v>621</v>
      </c>
      <c r="G2953">
        <v>479</v>
      </c>
      <c r="H2953">
        <v>297459</v>
      </c>
      <c r="I2953">
        <v>42169.745199999998</v>
      </c>
      <c r="J2953" s="2" t="s">
        <v>42</v>
      </c>
    </row>
    <row r="2954" spans="1:10" x14ac:dyDescent="0.35">
      <c r="A2954" s="1">
        <v>45856</v>
      </c>
      <c r="B2954" s="2" t="s">
        <v>15</v>
      </c>
      <c r="C2954" s="2" t="s">
        <v>11</v>
      </c>
      <c r="D2954" s="2" t="s">
        <v>12</v>
      </c>
      <c r="E2954" s="2" t="s">
        <v>28</v>
      </c>
      <c r="F2954">
        <v>382</v>
      </c>
      <c r="G2954">
        <v>140</v>
      </c>
      <c r="H2954">
        <v>53480</v>
      </c>
      <c r="I2954">
        <v>8719.0270999999993</v>
      </c>
      <c r="J2954" s="2" t="s">
        <v>42</v>
      </c>
    </row>
    <row r="2955" spans="1:10" x14ac:dyDescent="0.35">
      <c r="A2955" s="1">
        <v>45857</v>
      </c>
      <c r="B2955" s="2" t="s">
        <v>15</v>
      </c>
      <c r="C2955" s="2" t="s">
        <v>11</v>
      </c>
      <c r="D2955" s="2" t="s">
        <v>12</v>
      </c>
      <c r="E2955" s="2" t="s">
        <v>22</v>
      </c>
      <c r="F2955">
        <v>568</v>
      </c>
      <c r="G2955">
        <v>369</v>
      </c>
      <c r="H2955">
        <v>209592</v>
      </c>
      <c r="I2955">
        <v>23135.668300000001</v>
      </c>
      <c r="J2955" s="2" t="s">
        <v>42</v>
      </c>
    </row>
    <row r="2956" spans="1:10" x14ac:dyDescent="0.35">
      <c r="A2956" s="1">
        <v>45857</v>
      </c>
      <c r="B2956" s="2" t="s">
        <v>34</v>
      </c>
      <c r="C2956" s="2" t="s">
        <v>29</v>
      </c>
      <c r="D2956" s="2" t="s">
        <v>17</v>
      </c>
      <c r="E2956" s="2" t="s">
        <v>18</v>
      </c>
      <c r="F2956">
        <v>664</v>
      </c>
      <c r="G2956">
        <v>409</v>
      </c>
      <c r="H2956">
        <v>271576</v>
      </c>
      <c r="I2956">
        <v>53974.828399999999</v>
      </c>
      <c r="J2956" s="2" t="s">
        <v>42</v>
      </c>
    </row>
    <row r="2957" spans="1:10" x14ac:dyDescent="0.35">
      <c r="A2957" s="1">
        <v>45857</v>
      </c>
      <c r="B2957" s="2" t="s">
        <v>15</v>
      </c>
      <c r="C2957" s="2" t="s">
        <v>16</v>
      </c>
      <c r="D2957" s="2" t="s">
        <v>21</v>
      </c>
      <c r="E2957" s="2" t="s">
        <v>24</v>
      </c>
      <c r="F2957">
        <v>496</v>
      </c>
      <c r="G2957">
        <v>479</v>
      </c>
      <c r="H2957">
        <v>237584</v>
      </c>
      <c r="I2957">
        <v>32017.405299999999</v>
      </c>
      <c r="J2957" s="2" t="s">
        <v>42</v>
      </c>
    </row>
    <row r="2958" spans="1:10" x14ac:dyDescent="0.35">
      <c r="A2958" s="1">
        <v>45858</v>
      </c>
      <c r="B2958" s="2" t="s">
        <v>19</v>
      </c>
      <c r="C2958" s="2" t="s">
        <v>11</v>
      </c>
      <c r="D2958" s="2" t="s">
        <v>30</v>
      </c>
      <c r="E2958" s="2" t="s">
        <v>24</v>
      </c>
      <c r="F2958">
        <v>362</v>
      </c>
      <c r="G2958">
        <v>145</v>
      </c>
      <c r="H2958">
        <v>52490</v>
      </c>
      <c r="I2958">
        <v>5343.8996999999999</v>
      </c>
      <c r="J2958" s="2" t="s">
        <v>42</v>
      </c>
    </row>
    <row r="2959" spans="1:10" x14ac:dyDescent="0.35">
      <c r="A2959" s="1">
        <v>45858</v>
      </c>
      <c r="B2959" s="2" t="s">
        <v>36</v>
      </c>
      <c r="C2959" s="2" t="s">
        <v>23</v>
      </c>
      <c r="D2959" s="2" t="s">
        <v>17</v>
      </c>
      <c r="E2959" s="2" t="s">
        <v>13</v>
      </c>
      <c r="F2959">
        <v>614</v>
      </c>
      <c r="G2959">
        <v>212</v>
      </c>
      <c r="H2959">
        <v>130168</v>
      </c>
      <c r="I2959">
        <v>17112.303800000002</v>
      </c>
      <c r="J2959" s="2" t="s">
        <v>42</v>
      </c>
    </row>
    <row r="2960" spans="1:10" x14ac:dyDescent="0.35">
      <c r="A2960" s="1">
        <v>45858</v>
      </c>
      <c r="B2960" s="2" t="s">
        <v>10</v>
      </c>
      <c r="C2960" s="2" t="s">
        <v>29</v>
      </c>
      <c r="D2960" s="2" t="s">
        <v>17</v>
      </c>
      <c r="E2960" s="2" t="s">
        <v>28</v>
      </c>
      <c r="F2960">
        <v>289</v>
      </c>
      <c r="G2960">
        <v>296</v>
      </c>
      <c r="H2960">
        <v>85544</v>
      </c>
      <c r="I2960">
        <v>17969.991099999999</v>
      </c>
      <c r="J2960" s="2" t="s">
        <v>42</v>
      </c>
    </row>
    <row r="2961" spans="1:10" x14ac:dyDescent="0.35">
      <c r="A2961" s="1">
        <v>45859</v>
      </c>
      <c r="B2961" s="2" t="s">
        <v>10</v>
      </c>
      <c r="C2961" s="2" t="s">
        <v>16</v>
      </c>
      <c r="D2961" s="2" t="s">
        <v>21</v>
      </c>
      <c r="E2961" s="2" t="s">
        <v>35</v>
      </c>
      <c r="F2961">
        <v>244</v>
      </c>
      <c r="G2961">
        <v>406</v>
      </c>
      <c r="H2961">
        <v>99064</v>
      </c>
      <c r="I2961">
        <v>9105.8279999999995</v>
      </c>
      <c r="J2961" s="2" t="s">
        <v>42</v>
      </c>
    </row>
    <row r="2962" spans="1:10" x14ac:dyDescent="0.35">
      <c r="A2962" s="1">
        <v>45860</v>
      </c>
      <c r="B2962" s="2" t="s">
        <v>15</v>
      </c>
      <c r="C2962" s="2" t="s">
        <v>23</v>
      </c>
      <c r="D2962" s="2" t="s">
        <v>30</v>
      </c>
      <c r="E2962" s="2" t="s">
        <v>35</v>
      </c>
      <c r="F2962">
        <v>344</v>
      </c>
      <c r="G2962">
        <v>482</v>
      </c>
      <c r="H2962">
        <v>165808</v>
      </c>
      <c r="I2962">
        <v>39183.630100000002</v>
      </c>
      <c r="J2962" s="2" t="s">
        <v>42</v>
      </c>
    </row>
    <row r="2963" spans="1:10" x14ac:dyDescent="0.35">
      <c r="A2963" s="1">
        <v>45860</v>
      </c>
      <c r="B2963" s="2" t="s">
        <v>34</v>
      </c>
      <c r="C2963" s="2" t="s">
        <v>20</v>
      </c>
      <c r="D2963" s="2" t="s">
        <v>21</v>
      </c>
      <c r="E2963" s="2" t="s">
        <v>32</v>
      </c>
      <c r="F2963">
        <v>632</v>
      </c>
      <c r="G2963">
        <v>192</v>
      </c>
      <c r="H2963">
        <v>121344</v>
      </c>
      <c r="I2963">
        <v>13895.713400000001</v>
      </c>
      <c r="J2963" s="2" t="s">
        <v>42</v>
      </c>
    </row>
    <row r="2964" spans="1:10" x14ac:dyDescent="0.35">
      <c r="A2964" s="1">
        <v>45860</v>
      </c>
      <c r="B2964" s="2" t="s">
        <v>34</v>
      </c>
      <c r="C2964" s="2" t="s">
        <v>20</v>
      </c>
      <c r="D2964" s="2" t="s">
        <v>30</v>
      </c>
      <c r="E2964" s="2" t="s">
        <v>24</v>
      </c>
      <c r="F2964">
        <v>779</v>
      </c>
      <c r="G2964">
        <v>133</v>
      </c>
      <c r="H2964">
        <v>103607</v>
      </c>
      <c r="I2964">
        <v>8414.9246999999996</v>
      </c>
      <c r="J2964" s="2" t="s">
        <v>42</v>
      </c>
    </row>
    <row r="2965" spans="1:10" x14ac:dyDescent="0.35">
      <c r="A2965" s="1">
        <v>45860</v>
      </c>
      <c r="B2965" s="2" t="s">
        <v>26</v>
      </c>
      <c r="C2965" s="2" t="s">
        <v>23</v>
      </c>
      <c r="D2965" s="2" t="s">
        <v>17</v>
      </c>
      <c r="E2965" s="2" t="s">
        <v>33</v>
      </c>
      <c r="F2965">
        <v>995</v>
      </c>
      <c r="G2965">
        <v>101</v>
      </c>
      <c r="H2965">
        <v>100495</v>
      </c>
      <c r="I2965">
        <v>15568.695</v>
      </c>
      <c r="J2965" s="2" t="s">
        <v>42</v>
      </c>
    </row>
    <row r="2966" spans="1:10" x14ac:dyDescent="0.35">
      <c r="A2966" s="1">
        <v>45860</v>
      </c>
      <c r="B2966" s="2" t="s">
        <v>31</v>
      </c>
      <c r="C2966" s="2" t="s">
        <v>23</v>
      </c>
      <c r="D2966" s="2" t="s">
        <v>17</v>
      </c>
      <c r="E2966" s="2" t="s">
        <v>28</v>
      </c>
      <c r="F2966">
        <v>391</v>
      </c>
      <c r="G2966">
        <v>350</v>
      </c>
      <c r="H2966">
        <v>136850</v>
      </c>
      <c r="I2966">
        <v>17176.146199999999</v>
      </c>
      <c r="J2966" s="2" t="s">
        <v>42</v>
      </c>
    </row>
    <row r="2967" spans="1:10" x14ac:dyDescent="0.35">
      <c r="A2967" s="1">
        <v>45860</v>
      </c>
      <c r="B2967" s="2" t="s">
        <v>19</v>
      </c>
      <c r="C2967" s="2" t="s">
        <v>20</v>
      </c>
      <c r="D2967" s="2" t="s">
        <v>30</v>
      </c>
      <c r="E2967" s="2" t="s">
        <v>28</v>
      </c>
      <c r="F2967">
        <v>972</v>
      </c>
      <c r="G2967">
        <v>298</v>
      </c>
      <c r="H2967">
        <v>289656</v>
      </c>
      <c r="I2967">
        <v>58889.859499999999</v>
      </c>
      <c r="J2967" s="2" t="s">
        <v>42</v>
      </c>
    </row>
    <row r="2968" spans="1:10" x14ac:dyDescent="0.35">
      <c r="A2968" s="1">
        <v>45861</v>
      </c>
      <c r="B2968" s="2" t="s">
        <v>34</v>
      </c>
      <c r="C2968" s="2" t="s">
        <v>20</v>
      </c>
      <c r="D2968" s="2" t="s">
        <v>12</v>
      </c>
      <c r="E2968" s="2" t="s">
        <v>28</v>
      </c>
      <c r="F2968">
        <v>205</v>
      </c>
      <c r="G2968">
        <v>330</v>
      </c>
      <c r="H2968">
        <v>67650</v>
      </c>
      <c r="I2968">
        <v>13482.315000000001</v>
      </c>
      <c r="J2968" s="2" t="s">
        <v>42</v>
      </c>
    </row>
    <row r="2969" spans="1:10" x14ac:dyDescent="0.35">
      <c r="A2969" s="1">
        <v>45861</v>
      </c>
      <c r="B2969" s="2" t="s">
        <v>34</v>
      </c>
      <c r="C2969" s="2" t="s">
        <v>11</v>
      </c>
      <c r="D2969" s="2" t="s">
        <v>12</v>
      </c>
      <c r="E2969" s="2" t="s">
        <v>32</v>
      </c>
      <c r="F2969">
        <v>349</v>
      </c>
      <c r="G2969">
        <v>331</v>
      </c>
      <c r="H2969">
        <v>115519</v>
      </c>
      <c r="I2969">
        <v>20640.123200000002</v>
      </c>
      <c r="J2969" s="2" t="s">
        <v>42</v>
      </c>
    </row>
    <row r="2970" spans="1:10" x14ac:dyDescent="0.35">
      <c r="A2970" s="1">
        <v>45862</v>
      </c>
      <c r="B2970" s="2" t="s">
        <v>36</v>
      </c>
      <c r="C2970" s="2" t="s">
        <v>27</v>
      </c>
      <c r="D2970" s="2" t="s">
        <v>17</v>
      </c>
      <c r="E2970" s="2" t="s">
        <v>28</v>
      </c>
      <c r="F2970">
        <v>61</v>
      </c>
      <c r="G2970">
        <v>409</v>
      </c>
      <c r="H2970">
        <v>24949</v>
      </c>
      <c r="I2970">
        <v>4141.6823999999997</v>
      </c>
      <c r="J2970" s="2" t="s">
        <v>42</v>
      </c>
    </row>
    <row r="2971" spans="1:10" x14ac:dyDescent="0.35">
      <c r="A2971" s="1">
        <v>45862</v>
      </c>
      <c r="B2971" s="2" t="s">
        <v>25</v>
      </c>
      <c r="C2971" s="2" t="s">
        <v>23</v>
      </c>
      <c r="D2971" s="2" t="s">
        <v>12</v>
      </c>
      <c r="E2971" s="2" t="s">
        <v>24</v>
      </c>
      <c r="F2971">
        <v>929</v>
      </c>
      <c r="G2971">
        <v>345</v>
      </c>
      <c r="H2971">
        <v>320505</v>
      </c>
      <c r="I2971">
        <v>63814.513700000003</v>
      </c>
      <c r="J2971" s="2" t="s">
        <v>42</v>
      </c>
    </row>
    <row r="2972" spans="1:10" x14ac:dyDescent="0.35">
      <c r="A2972" s="1">
        <v>45862</v>
      </c>
      <c r="B2972" s="2" t="s">
        <v>31</v>
      </c>
      <c r="C2972" s="2" t="s">
        <v>27</v>
      </c>
      <c r="D2972" s="2" t="s">
        <v>12</v>
      </c>
      <c r="E2972" s="2" t="s">
        <v>22</v>
      </c>
      <c r="F2972">
        <v>809</v>
      </c>
      <c r="G2972">
        <v>492</v>
      </c>
      <c r="H2972">
        <v>398028</v>
      </c>
      <c r="I2972">
        <v>48303.795400000003</v>
      </c>
      <c r="J2972" s="2" t="s">
        <v>42</v>
      </c>
    </row>
    <row r="2973" spans="1:10" x14ac:dyDescent="0.35">
      <c r="A2973" s="1">
        <v>45862</v>
      </c>
      <c r="B2973" s="2" t="s">
        <v>19</v>
      </c>
      <c r="C2973" s="2" t="s">
        <v>16</v>
      </c>
      <c r="D2973" s="2" t="s">
        <v>21</v>
      </c>
      <c r="E2973" s="2" t="s">
        <v>24</v>
      </c>
      <c r="F2973">
        <v>365</v>
      </c>
      <c r="G2973">
        <v>157</v>
      </c>
      <c r="H2973">
        <v>57305</v>
      </c>
      <c r="I2973">
        <v>6364.3634000000002</v>
      </c>
      <c r="J2973" s="2" t="s">
        <v>42</v>
      </c>
    </row>
    <row r="2974" spans="1:10" x14ac:dyDescent="0.35">
      <c r="A2974" s="1">
        <v>45862</v>
      </c>
      <c r="B2974" s="2" t="s">
        <v>25</v>
      </c>
      <c r="C2974" s="2" t="s">
        <v>23</v>
      </c>
      <c r="D2974" s="2" t="s">
        <v>12</v>
      </c>
      <c r="E2974" s="2" t="s">
        <v>32</v>
      </c>
      <c r="F2974">
        <v>571</v>
      </c>
      <c r="G2974">
        <v>163</v>
      </c>
      <c r="H2974">
        <v>93073</v>
      </c>
      <c r="I2974">
        <v>16860.307199999999</v>
      </c>
      <c r="J2974" s="2" t="s">
        <v>42</v>
      </c>
    </row>
    <row r="2975" spans="1:10" x14ac:dyDescent="0.35">
      <c r="A2975" s="1">
        <v>45862</v>
      </c>
      <c r="B2975" s="2" t="s">
        <v>36</v>
      </c>
      <c r="C2975" s="2" t="s">
        <v>23</v>
      </c>
      <c r="D2975" s="2" t="s">
        <v>30</v>
      </c>
      <c r="E2975" s="2" t="s">
        <v>32</v>
      </c>
      <c r="F2975">
        <v>716</v>
      </c>
      <c r="G2975">
        <v>151</v>
      </c>
      <c r="H2975">
        <v>108116</v>
      </c>
      <c r="I2975">
        <v>22431.799299999999</v>
      </c>
      <c r="J2975" s="2" t="s">
        <v>42</v>
      </c>
    </row>
    <row r="2976" spans="1:10" x14ac:dyDescent="0.35">
      <c r="A2976" s="1">
        <v>45862</v>
      </c>
      <c r="B2976" s="2" t="s">
        <v>36</v>
      </c>
      <c r="C2976" s="2" t="s">
        <v>16</v>
      </c>
      <c r="D2976" s="2" t="s">
        <v>21</v>
      </c>
      <c r="E2976" s="2" t="s">
        <v>32</v>
      </c>
      <c r="F2976">
        <v>742</v>
      </c>
      <c r="G2976">
        <v>361</v>
      </c>
      <c r="H2976">
        <v>267862</v>
      </c>
      <c r="I2976">
        <v>64449.0046</v>
      </c>
      <c r="J2976" s="2" t="s">
        <v>42</v>
      </c>
    </row>
    <row r="2977" spans="1:10" x14ac:dyDescent="0.35">
      <c r="A2977" s="1">
        <v>45862</v>
      </c>
      <c r="B2977" s="2" t="s">
        <v>15</v>
      </c>
      <c r="C2977" s="2" t="s">
        <v>16</v>
      </c>
      <c r="D2977" s="2" t="s">
        <v>30</v>
      </c>
      <c r="E2977" s="2" t="s">
        <v>13</v>
      </c>
      <c r="F2977">
        <v>695</v>
      </c>
      <c r="G2977">
        <v>238</v>
      </c>
      <c r="H2977">
        <v>165410</v>
      </c>
      <c r="I2977">
        <v>17968.554199999999</v>
      </c>
      <c r="J2977" s="2" t="s">
        <v>42</v>
      </c>
    </row>
    <row r="2978" spans="1:10" x14ac:dyDescent="0.35">
      <c r="A2978" s="1">
        <v>45862</v>
      </c>
      <c r="B2978" s="2" t="s">
        <v>26</v>
      </c>
      <c r="C2978" s="2" t="s">
        <v>16</v>
      </c>
      <c r="D2978" s="2" t="s">
        <v>17</v>
      </c>
      <c r="E2978" s="2" t="s">
        <v>24</v>
      </c>
      <c r="F2978">
        <v>856</v>
      </c>
      <c r="G2978">
        <v>392</v>
      </c>
      <c r="H2978">
        <v>335552</v>
      </c>
      <c r="I2978">
        <v>48574.769099999998</v>
      </c>
      <c r="J2978" s="2" t="s">
        <v>42</v>
      </c>
    </row>
    <row r="2979" spans="1:10" x14ac:dyDescent="0.35">
      <c r="A2979" s="1">
        <v>45863</v>
      </c>
      <c r="B2979" s="2" t="s">
        <v>19</v>
      </c>
      <c r="C2979" s="2" t="s">
        <v>29</v>
      </c>
      <c r="D2979" s="2" t="s">
        <v>12</v>
      </c>
      <c r="E2979" s="2" t="s">
        <v>28</v>
      </c>
      <c r="F2979">
        <v>244</v>
      </c>
      <c r="G2979">
        <v>417</v>
      </c>
      <c r="H2979">
        <v>101748</v>
      </c>
      <c r="I2979">
        <v>10963.1185</v>
      </c>
      <c r="J2979" s="2" t="s">
        <v>42</v>
      </c>
    </row>
    <row r="2980" spans="1:10" x14ac:dyDescent="0.35">
      <c r="A2980" s="1">
        <v>45863</v>
      </c>
      <c r="B2980" s="2" t="s">
        <v>31</v>
      </c>
      <c r="C2980" s="2" t="s">
        <v>11</v>
      </c>
      <c r="D2980" s="2" t="s">
        <v>21</v>
      </c>
      <c r="E2980" s="2" t="s">
        <v>32</v>
      </c>
      <c r="F2980">
        <v>157</v>
      </c>
      <c r="G2980">
        <v>103</v>
      </c>
      <c r="H2980">
        <v>16171</v>
      </c>
      <c r="I2980">
        <v>2972.9182000000001</v>
      </c>
      <c r="J2980" s="2" t="s">
        <v>42</v>
      </c>
    </row>
    <row r="2981" spans="1:10" x14ac:dyDescent="0.35">
      <c r="A2981" s="1">
        <v>45863</v>
      </c>
      <c r="B2981" s="2" t="s">
        <v>36</v>
      </c>
      <c r="C2981" s="2" t="s">
        <v>23</v>
      </c>
      <c r="D2981" s="2" t="s">
        <v>21</v>
      </c>
      <c r="E2981" s="2" t="s">
        <v>13</v>
      </c>
      <c r="F2981">
        <v>421</v>
      </c>
      <c r="G2981">
        <v>492</v>
      </c>
      <c r="H2981">
        <v>207132</v>
      </c>
      <c r="I2981">
        <v>38988.720500000003</v>
      </c>
      <c r="J2981" s="2" t="s">
        <v>42</v>
      </c>
    </row>
    <row r="2982" spans="1:10" x14ac:dyDescent="0.35">
      <c r="A2982" s="1">
        <v>45864</v>
      </c>
      <c r="B2982" s="2" t="s">
        <v>15</v>
      </c>
      <c r="C2982" s="2" t="s">
        <v>20</v>
      </c>
      <c r="D2982" s="2" t="s">
        <v>17</v>
      </c>
      <c r="E2982" s="2" t="s">
        <v>33</v>
      </c>
      <c r="F2982">
        <v>399</v>
      </c>
      <c r="G2982">
        <v>376</v>
      </c>
      <c r="H2982">
        <v>150024</v>
      </c>
      <c r="I2982">
        <v>21929.632699999998</v>
      </c>
      <c r="J2982" s="2" t="s">
        <v>42</v>
      </c>
    </row>
    <row r="2983" spans="1:10" x14ac:dyDescent="0.35">
      <c r="A2983" s="1">
        <v>45864</v>
      </c>
      <c r="B2983" s="2" t="s">
        <v>31</v>
      </c>
      <c r="C2983" s="2" t="s">
        <v>11</v>
      </c>
      <c r="D2983" s="2" t="s">
        <v>12</v>
      </c>
      <c r="E2983" s="2" t="s">
        <v>24</v>
      </c>
      <c r="F2983">
        <v>253</v>
      </c>
      <c r="G2983">
        <v>243</v>
      </c>
      <c r="H2983">
        <v>61479</v>
      </c>
      <c r="I2983">
        <v>5779.1776</v>
      </c>
      <c r="J2983" s="2" t="s">
        <v>42</v>
      </c>
    </row>
    <row r="2984" spans="1:10" x14ac:dyDescent="0.35">
      <c r="A2984" s="1">
        <v>45865</v>
      </c>
      <c r="B2984" s="2" t="s">
        <v>10</v>
      </c>
      <c r="C2984" s="2" t="s">
        <v>16</v>
      </c>
      <c r="D2984" s="2" t="s">
        <v>30</v>
      </c>
      <c r="E2984" s="2" t="s">
        <v>32</v>
      </c>
      <c r="F2984">
        <v>591</v>
      </c>
      <c r="G2984">
        <v>162</v>
      </c>
      <c r="H2984">
        <v>95742</v>
      </c>
      <c r="I2984">
        <v>19145.230899999999</v>
      </c>
      <c r="J2984" s="2" t="s">
        <v>42</v>
      </c>
    </row>
    <row r="2985" spans="1:10" x14ac:dyDescent="0.35">
      <c r="A2985" s="1">
        <v>45865</v>
      </c>
      <c r="B2985" s="2" t="s">
        <v>34</v>
      </c>
      <c r="C2985" s="2" t="s">
        <v>16</v>
      </c>
      <c r="D2985" s="2" t="s">
        <v>12</v>
      </c>
      <c r="E2985" s="2" t="s">
        <v>28</v>
      </c>
      <c r="F2985">
        <v>438</v>
      </c>
      <c r="G2985">
        <v>165</v>
      </c>
      <c r="H2985">
        <v>72270</v>
      </c>
      <c r="I2985">
        <v>9981.3562999999995</v>
      </c>
      <c r="J2985" s="2" t="s">
        <v>42</v>
      </c>
    </row>
    <row r="2986" spans="1:10" x14ac:dyDescent="0.35">
      <c r="A2986" s="1">
        <v>45865</v>
      </c>
      <c r="B2986" s="2" t="s">
        <v>15</v>
      </c>
      <c r="C2986" s="2" t="s">
        <v>20</v>
      </c>
      <c r="D2986" s="2" t="s">
        <v>17</v>
      </c>
      <c r="E2986" s="2" t="s">
        <v>28</v>
      </c>
      <c r="F2986">
        <v>866</v>
      </c>
      <c r="G2986">
        <v>417</v>
      </c>
      <c r="H2986">
        <v>361122</v>
      </c>
      <c r="I2986">
        <v>46566.398200000003</v>
      </c>
      <c r="J2986" s="2" t="s">
        <v>42</v>
      </c>
    </row>
    <row r="2987" spans="1:10" x14ac:dyDescent="0.35">
      <c r="A2987" s="1">
        <v>45866</v>
      </c>
      <c r="B2987" s="2" t="s">
        <v>36</v>
      </c>
      <c r="C2987" s="2" t="s">
        <v>27</v>
      </c>
      <c r="D2987" s="2" t="s">
        <v>17</v>
      </c>
      <c r="E2987" s="2" t="s">
        <v>18</v>
      </c>
      <c r="F2987">
        <v>344</v>
      </c>
      <c r="G2987">
        <v>313</v>
      </c>
      <c r="H2987">
        <v>107672</v>
      </c>
      <c r="I2987">
        <v>25140.8943</v>
      </c>
      <c r="J2987" s="2" t="s">
        <v>42</v>
      </c>
    </row>
    <row r="2988" spans="1:10" x14ac:dyDescent="0.35">
      <c r="A2988" s="1">
        <v>45866</v>
      </c>
      <c r="B2988" s="2" t="s">
        <v>31</v>
      </c>
      <c r="C2988" s="2" t="s">
        <v>23</v>
      </c>
      <c r="D2988" s="2" t="s">
        <v>30</v>
      </c>
      <c r="E2988" s="2" t="s">
        <v>28</v>
      </c>
      <c r="F2988">
        <v>579</v>
      </c>
      <c r="G2988">
        <v>276</v>
      </c>
      <c r="H2988">
        <v>159804</v>
      </c>
      <c r="I2988">
        <v>14575.715</v>
      </c>
      <c r="J2988" s="2" t="s">
        <v>42</v>
      </c>
    </row>
    <row r="2989" spans="1:10" x14ac:dyDescent="0.35">
      <c r="A2989" s="1">
        <v>45866</v>
      </c>
      <c r="B2989" s="2" t="s">
        <v>25</v>
      </c>
      <c r="C2989" s="2" t="s">
        <v>23</v>
      </c>
      <c r="D2989" s="2" t="s">
        <v>12</v>
      </c>
      <c r="E2989" s="2" t="s">
        <v>18</v>
      </c>
      <c r="F2989">
        <v>64</v>
      </c>
      <c r="G2989">
        <v>238</v>
      </c>
      <c r="H2989">
        <v>15232</v>
      </c>
      <c r="I2989">
        <v>2685.2179999999998</v>
      </c>
      <c r="J2989" s="2" t="s">
        <v>42</v>
      </c>
    </row>
    <row r="2990" spans="1:10" x14ac:dyDescent="0.35">
      <c r="A2990" s="1">
        <v>45866</v>
      </c>
      <c r="B2990" s="2" t="s">
        <v>26</v>
      </c>
      <c r="C2990" s="2" t="s">
        <v>27</v>
      </c>
      <c r="D2990" s="2" t="s">
        <v>21</v>
      </c>
      <c r="E2990" s="2" t="s">
        <v>32</v>
      </c>
      <c r="F2990">
        <v>642</v>
      </c>
      <c r="G2990">
        <v>246</v>
      </c>
      <c r="H2990">
        <v>157932</v>
      </c>
      <c r="I2990">
        <v>19909.244999999999</v>
      </c>
      <c r="J2990" s="2" t="s">
        <v>42</v>
      </c>
    </row>
    <row r="2991" spans="1:10" x14ac:dyDescent="0.35">
      <c r="A2991" s="1">
        <v>45866</v>
      </c>
      <c r="B2991" s="2" t="s">
        <v>25</v>
      </c>
      <c r="C2991" s="2" t="s">
        <v>20</v>
      </c>
      <c r="D2991" s="2" t="s">
        <v>12</v>
      </c>
      <c r="E2991" s="2" t="s">
        <v>33</v>
      </c>
      <c r="F2991">
        <v>288</v>
      </c>
      <c r="G2991">
        <v>495</v>
      </c>
      <c r="H2991">
        <v>142560</v>
      </c>
      <c r="I2991">
        <v>17886.634699999999</v>
      </c>
      <c r="J2991" s="2" t="s">
        <v>42</v>
      </c>
    </row>
    <row r="2992" spans="1:10" x14ac:dyDescent="0.35">
      <c r="A2992" s="1">
        <v>45867</v>
      </c>
      <c r="B2992" s="2" t="s">
        <v>15</v>
      </c>
      <c r="C2992" s="2" t="s">
        <v>11</v>
      </c>
      <c r="D2992" s="2" t="s">
        <v>21</v>
      </c>
      <c r="E2992" s="2" t="s">
        <v>18</v>
      </c>
      <c r="F2992">
        <v>155</v>
      </c>
      <c r="G2992">
        <v>129</v>
      </c>
      <c r="H2992">
        <v>19995</v>
      </c>
      <c r="I2992">
        <v>1927.4824000000001</v>
      </c>
      <c r="J2992" s="2" t="s">
        <v>42</v>
      </c>
    </row>
    <row r="2993" spans="1:10" x14ac:dyDescent="0.35">
      <c r="A2993" s="1">
        <v>45867</v>
      </c>
      <c r="B2993" s="2" t="s">
        <v>15</v>
      </c>
      <c r="C2993" s="2" t="s">
        <v>29</v>
      </c>
      <c r="D2993" s="2" t="s">
        <v>21</v>
      </c>
      <c r="E2993" s="2" t="s">
        <v>18</v>
      </c>
      <c r="F2993">
        <v>825</v>
      </c>
      <c r="G2993">
        <v>490</v>
      </c>
      <c r="H2993">
        <v>404250</v>
      </c>
      <c r="I2993">
        <v>70654.468900000007</v>
      </c>
      <c r="J2993" s="2" t="s">
        <v>42</v>
      </c>
    </row>
    <row r="2994" spans="1:10" x14ac:dyDescent="0.35">
      <c r="A2994" s="1">
        <v>45868</v>
      </c>
      <c r="B2994" s="2" t="s">
        <v>25</v>
      </c>
      <c r="C2994" s="2" t="s">
        <v>23</v>
      </c>
      <c r="D2994" s="2" t="s">
        <v>21</v>
      </c>
      <c r="E2994" s="2" t="s">
        <v>13</v>
      </c>
      <c r="F2994">
        <v>947</v>
      </c>
      <c r="G2994">
        <v>442</v>
      </c>
      <c r="H2994">
        <v>418574</v>
      </c>
      <c r="I2994">
        <v>43910.743199999997</v>
      </c>
      <c r="J2994" s="2" t="s">
        <v>42</v>
      </c>
    </row>
    <row r="2995" spans="1:10" x14ac:dyDescent="0.35">
      <c r="A2995" s="1">
        <v>45868</v>
      </c>
      <c r="B2995" s="2" t="s">
        <v>34</v>
      </c>
      <c r="C2995" s="2" t="s">
        <v>23</v>
      </c>
      <c r="D2995" s="2" t="s">
        <v>21</v>
      </c>
      <c r="E2995" s="2" t="s">
        <v>13</v>
      </c>
      <c r="F2995">
        <v>743</v>
      </c>
      <c r="G2995">
        <v>184</v>
      </c>
      <c r="H2995">
        <v>136712</v>
      </c>
      <c r="I2995">
        <v>32845.082399999999</v>
      </c>
      <c r="J2995" s="2" t="s">
        <v>42</v>
      </c>
    </row>
    <row r="2996" spans="1:10" x14ac:dyDescent="0.35">
      <c r="A2996" s="1">
        <v>45868</v>
      </c>
      <c r="B2996" s="2" t="s">
        <v>26</v>
      </c>
      <c r="C2996" s="2" t="s">
        <v>23</v>
      </c>
      <c r="D2996" s="2" t="s">
        <v>12</v>
      </c>
      <c r="E2996" s="2" t="s">
        <v>13</v>
      </c>
      <c r="F2996">
        <v>683</v>
      </c>
      <c r="G2996">
        <v>428</v>
      </c>
      <c r="H2996">
        <v>292324</v>
      </c>
      <c r="I2996">
        <v>71762.534700000004</v>
      </c>
      <c r="J2996" s="2" t="s">
        <v>42</v>
      </c>
    </row>
    <row r="2997" spans="1:10" x14ac:dyDescent="0.35">
      <c r="A2997" s="1">
        <v>45868</v>
      </c>
      <c r="B2997" s="2" t="s">
        <v>26</v>
      </c>
      <c r="C2997" s="2" t="s">
        <v>27</v>
      </c>
      <c r="D2997" s="2" t="s">
        <v>17</v>
      </c>
      <c r="E2997" s="2" t="s">
        <v>13</v>
      </c>
      <c r="F2997">
        <v>844</v>
      </c>
      <c r="G2997">
        <v>260</v>
      </c>
      <c r="H2997">
        <v>219440</v>
      </c>
      <c r="I2997">
        <v>40133.585400000004</v>
      </c>
      <c r="J2997" s="2" t="s">
        <v>42</v>
      </c>
    </row>
    <row r="2998" spans="1:10" x14ac:dyDescent="0.35">
      <c r="A2998" s="1">
        <v>45868</v>
      </c>
      <c r="B2998" s="2" t="s">
        <v>10</v>
      </c>
      <c r="C2998" s="2" t="s">
        <v>20</v>
      </c>
      <c r="D2998" s="2" t="s">
        <v>17</v>
      </c>
      <c r="E2998" s="2" t="s">
        <v>28</v>
      </c>
      <c r="F2998">
        <v>272</v>
      </c>
      <c r="G2998">
        <v>159</v>
      </c>
      <c r="H2998">
        <v>43248</v>
      </c>
      <c r="I2998">
        <v>7625.5838000000003</v>
      </c>
      <c r="J2998" s="2" t="s">
        <v>42</v>
      </c>
    </row>
    <row r="2999" spans="1:10" x14ac:dyDescent="0.35">
      <c r="A2999" s="1">
        <v>45869</v>
      </c>
      <c r="B2999" s="2" t="s">
        <v>34</v>
      </c>
      <c r="C2999" s="2" t="s">
        <v>20</v>
      </c>
      <c r="D2999" s="2" t="s">
        <v>12</v>
      </c>
      <c r="E2999" s="2" t="s">
        <v>35</v>
      </c>
      <c r="F2999">
        <v>768</v>
      </c>
      <c r="G2999">
        <v>343</v>
      </c>
      <c r="H2999">
        <v>263424</v>
      </c>
      <c r="I2999">
        <v>25171.153300000002</v>
      </c>
      <c r="J2999" s="2" t="s">
        <v>42</v>
      </c>
    </row>
    <row r="3000" spans="1:10" x14ac:dyDescent="0.35">
      <c r="A3000" s="1">
        <v>45869</v>
      </c>
      <c r="B3000" s="2" t="s">
        <v>15</v>
      </c>
      <c r="C3000" s="2" t="s">
        <v>20</v>
      </c>
      <c r="D3000" s="2" t="s">
        <v>12</v>
      </c>
      <c r="E3000" s="2" t="s">
        <v>18</v>
      </c>
      <c r="F3000">
        <v>550</v>
      </c>
      <c r="G3000">
        <v>110</v>
      </c>
      <c r="H3000">
        <v>60500</v>
      </c>
      <c r="I3000">
        <v>6863.3975</v>
      </c>
      <c r="J3000" s="2" t="s">
        <v>42</v>
      </c>
    </row>
    <row r="3001" spans="1:10" x14ac:dyDescent="0.35">
      <c r="A3001" s="1">
        <v>45869</v>
      </c>
      <c r="B3001" s="2" t="s">
        <v>26</v>
      </c>
      <c r="C3001" s="2" t="s">
        <v>27</v>
      </c>
      <c r="D3001" s="2" t="s">
        <v>30</v>
      </c>
      <c r="E3001" s="2" t="s">
        <v>32</v>
      </c>
      <c r="F3001">
        <v>172</v>
      </c>
      <c r="G3001">
        <v>254</v>
      </c>
      <c r="H3001">
        <v>43688</v>
      </c>
      <c r="I3001">
        <v>6429.1108999999997</v>
      </c>
      <c r="J3001" s="2" t="s">
        <v>42</v>
      </c>
    </row>
    <row r="3002" spans="1:10" x14ac:dyDescent="0.35">
      <c r="A3002" s="1">
        <v>45869</v>
      </c>
      <c r="B3002" s="2" t="s">
        <v>34</v>
      </c>
      <c r="C3002" s="2" t="s">
        <v>29</v>
      </c>
      <c r="D3002" s="2" t="s">
        <v>30</v>
      </c>
      <c r="E3002" s="2" t="s">
        <v>28</v>
      </c>
      <c r="F3002">
        <v>438</v>
      </c>
      <c r="G3002">
        <v>462</v>
      </c>
      <c r="H3002">
        <v>202356</v>
      </c>
      <c r="I3002">
        <v>34865.670899999997</v>
      </c>
      <c r="J3002" s="2" t="s">
        <v>42</v>
      </c>
    </row>
    <row r="3003" spans="1:10" x14ac:dyDescent="0.35">
      <c r="A3003" s="1">
        <v>45869</v>
      </c>
      <c r="B3003" s="2" t="s">
        <v>19</v>
      </c>
      <c r="C3003" s="2" t="s">
        <v>16</v>
      </c>
      <c r="D3003" s="2" t="s">
        <v>30</v>
      </c>
      <c r="E3003" s="2" t="s">
        <v>24</v>
      </c>
      <c r="F3003">
        <v>975</v>
      </c>
      <c r="G3003">
        <v>222</v>
      </c>
      <c r="H3003">
        <v>216450</v>
      </c>
      <c r="I3003">
        <v>18669.703399999999</v>
      </c>
      <c r="J3003" s="2" t="s">
        <v>42</v>
      </c>
    </row>
    <row r="3004" spans="1:10" x14ac:dyDescent="0.35">
      <c r="A3004" s="1">
        <v>45870</v>
      </c>
      <c r="B3004" s="2" t="s">
        <v>15</v>
      </c>
      <c r="C3004" s="2" t="s">
        <v>11</v>
      </c>
      <c r="D3004" s="2" t="s">
        <v>30</v>
      </c>
      <c r="E3004" s="2" t="s">
        <v>22</v>
      </c>
      <c r="F3004">
        <v>116</v>
      </c>
      <c r="G3004">
        <v>308</v>
      </c>
      <c r="H3004">
        <v>35728</v>
      </c>
      <c r="I3004">
        <v>3476.7755999999999</v>
      </c>
      <c r="J3004" s="2" t="s">
        <v>43</v>
      </c>
    </row>
    <row r="3005" spans="1:10" x14ac:dyDescent="0.35">
      <c r="A3005" s="1">
        <v>45870</v>
      </c>
      <c r="B3005" s="2" t="s">
        <v>10</v>
      </c>
      <c r="C3005" s="2" t="s">
        <v>11</v>
      </c>
      <c r="D3005" s="2" t="s">
        <v>12</v>
      </c>
      <c r="E3005" s="2" t="s">
        <v>33</v>
      </c>
      <c r="F3005">
        <v>70</v>
      </c>
      <c r="G3005">
        <v>424</v>
      </c>
      <c r="H3005">
        <v>29680</v>
      </c>
      <c r="I3005">
        <v>7356.7111000000004</v>
      </c>
      <c r="J3005" s="2" t="s">
        <v>43</v>
      </c>
    </row>
    <row r="3006" spans="1:10" x14ac:dyDescent="0.35">
      <c r="A3006" s="1">
        <v>45870</v>
      </c>
      <c r="B3006" s="2" t="s">
        <v>15</v>
      </c>
      <c r="C3006" s="2" t="s">
        <v>23</v>
      </c>
      <c r="D3006" s="2" t="s">
        <v>17</v>
      </c>
      <c r="E3006" s="2" t="s">
        <v>24</v>
      </c>
      <c r="F3006">
        <v>964</v>
      </c>
      <c r="G3006">
        <v>195</v>
      </c>
      <c r="H3006">
        <v>187980</v>
      </c>
      <c r="I3006">
        <v>17728.201000000001</v>
      </c>
      <c r="J3006" s="2" t="s">
        <v>43</v>
      </c>
    </row>
    <row r="3007" spans="1:10" x14ac:dyDescent="0.35">
      <c r="A3007" s="1">
        <v>45870</v>
      </c>
      <c r="B3007" s="2" t="s">
        <v>19</v>
      </c>
      <c r="C3007" s="2" t="s">
        <v>23</v>
      </c>
      <c r="D3007" s="2" t="s">
        <v>21</v>
      </c>
      <c r="E3007" s="2" t="s">
        <v>24</v>
      </c>
      <c r="F3007">
        <v>195</v>
      </c>
      <c r="G3007">
        <v>335</v>
      </c>
      <c r="H3007">
        <v>65325</v>
      </c>
      <c r="I3007">
        <v>9712.5946000000004</v>
      </c>
      <c r="J3007" s="2" t="s">
        <v>43</v>
      </c>
    </row>
    <row r="3008" spans="1:10" x14ac:dyDescent="0.35">
      <c r="A3008" s="1">
        <v>45870</v>
      </c>
      <c r="B3008" s="2" t="s">
        <v>34</v>
      </c>
      <c r="C3008" s="2" t="s">
        <v>20</v>
      </c>
      <c r="D3008" s="2" t="s">
        <v>12</v>
      </c>
      <c r="E3008" s="2" t="s">
        <v>22</v>
      </c>
      <c r="F3008">
        <v>179</v>
      </c>
      <c r="G3008">
        <v>274</v>
      </c>
      <c r="H3008">
        <v>49046</v>
      </c>
      <c r="I3008">
        <v>4598.5526</v>
      </c>
      <c r="J3008" s="2" t="s">
        <v>43</v>
      </c>
    </row>
    <row r="3009" spans="1:10" x14ac:dyDescent="0.35">
      <c r="A3009" s="1">
        <v>45871</v>
      </c>
      <c r="B3009" s="2" t="s">
        <v>34</v>
      </c>
      <c r="C3009" s="2" t="s">
        <v>20</v>
      </c>
      <c r="D3009" s="2" t="s">
        <v>17</v>
      </c>
      <c r="E3009" s="2" t="s">
        <v>22</v>
      </c>
      <c r="F3009">
        <v>827</v>
      </c>
      <c r="G3009">
        <v>361</v>
      </c>
      <c r="H3009">
        <v>298547</v>
      </c>
      <c r="I3009">
        <v>47718.829899999997</v>
      </c>
      <c r="J3009" s="2" t="s">
        <v>43</v>
      </c>
    </row>
    <row r="3010" spans="1:10" x14ac:dyDescent="0.35">
      <c r="A3010" s="1">
        <v>45872</v>
      </c>
      <c r="B3010" s="2" t="s">
        <v>26</v>
      </c>
      <c r="C3010" s="2" t="s">
        <v>20</v>
      </c>
      <c r="D3010" s="2" t="s">
        <v>21</v>
      </c>
      <c r="E3010" s="2" t="s">
        <v>22</v>
      </c>
      <c r="F3010">
        <v>74</v>
      </c>
      <c r="G3010">
        <v>199</v>
      </c>
      <c r="H3010">
        <v>14726</v>
      </c>
      <c r="I3010">
        <v>1515.1878999999999</v>
      </c>
      <c r="J3010" s="2" t="s">
        <v>43</v>
      </c>
    </row>
    <row r="3011" spans="1:10" x14ac:dyDescent="0.35">
      <c r="A3011" s="1">
        <v>45872</v>
      </c>
      <c r="B3011" s="2" t="s">
        <v>25</v>
      </c>
      <c r="C3011" s="2" t="s">
        <v>16</v>
      </c>
      <c r="D3011" s="2" t="s">
        <v>12</v>
      </c>
      <c r="E3011" s="2" t="s">
        <v>28</v>
      </c>
      <c r="F3011">
        <v>154</v>
      </c>
      <c r="G3011">
        <v>182</v>
      </c>
      <c r="H3011">
        <v>28028</v>
      </c>
      <c r="I3011">
        <v>4812.8999999999996</v>
      </c>
      <c r="J3011" s="2" t="s">
        <v>43</v>
      </c>
    </row>
    <row r="3012" spans="1:10" x14ac:dyDescent="0.35">
      <c r="A3012" s="1">
        <v>45872</v>
      </c>
      <c r="B3012" s="2" t="s">
        <v>34</v>
      </c>
      <c r="C3012" s="2" t="s">
        <v>11</v>
      </c>
      <c r="D3012" s="2" t="s">
        <v>17</v>
      </c>
      <c r="E3012" s="2" t="s">
        <v>32</v>
      </c>
      <c r="F3012">
        <v>784</v>
      </c>
      <c r="G3012">
        <v>118</v>
      </c>
      <c r="H3012">
        <v>92512</v>
      </c>
      <c r="I3012">
        <v>16104.275600000001</v>
      </c>
      <c r="J3012" s="2" t="s">
        <v>43</v>
      </c>
    </row>
    <row r="3013" spans="1:10" x14ac:dyDescent="0.35">
      <c r="A3013" s="1">
        <v>45872</v>
      </c>
      <c r="B3013" s="2" t="s">
        <v>36</v>
      </c>
      <c r="C3013" s="2" t="s">
        <v>11</v>
      </c>
      <c r="D3013" s="2" t="s">
        <v>30</v>
      </c>
      <c r="E3013" s="2" t="s">
        <v>24</v>
      </c>
      <c r="F3013">
        <v>499</v>
      </c>
      <c r="G3013">
        <v>368</v>
      </c>
      <c r="H3013">
        <v>183632</v>
      </c>
      <c r="I3013">
        <v>30825.929199999999</v>
      </c>
      <c r="J3013" s="2" t="s">
        <v>43</v>
      </c>
    </row>
    <row r="3014" spans="1:10" x14ac:dyDescent="0.35">
      <c r="A3014" s="1">
        <v>45872</v>
      </c>
      <c r="B3014" s="2" t="s">
        <v>36</v>
      </c>
      <c r="C3014" s="2" t="s">
        <v>20</v>
      </c>
      <c r="D3014" s="2" t="s">
        <v>17</v>
      </c>
      <c r="E3014" s="2" t="s">
        <v>33</v>
      </c>
      <c r="F3014">
        <v>765</v>
      </c>
      <c r="G3014">
        <v>125</v>
      </c>
      <c r="H3014">
        <v>95625</v>
      </c>
      <c r="I3014">
        <v>22188.5432</v>
      </c>
      <c r="J3014" s="2" t="s">
        <v>43</v>
      </c>
    </row>
    <row r="3015" spans="1:10" x14ac:dyDescent="0.35">
      <c r="A3015" s="1">
        <v>45873</v>
      </c>
      <c r="B3015" s="2" t="s">
        <v>34</v>
      </c>
      <c r="C3015" s="2" t="s">
        <v>27</v>
      </c>
      <c r="D3015" s="2" t="s">
        <v>21</v>
      </c>
      <c r="E3015" s="2" t="s">
        <v>13</v>
      </c>
      <c r="F3015">
        <v>425</v>
      </c>
      <c r="G3015">
        <v>461</v>
      </c>
      <c r="H3015">
        <v>195925</v>
      </c>
      <c r="I3015">
        <v>42784.595500000003</v>
      </c>
      <c r="J3015" s="2" t="s">
        <v>43</v>
      </c>
    </row>
    <row r="3016" spans="1:10" x14ac:dyDescent="0.35">
      <c r="A3016" s="1">
        <v>45873</v>
      </c>
      <c r="B3016" s="2" t="s">
        <v>34</v>
      </c>
      <c r="C3016" s="2" t="s">
        <v>29</v>
      </c>
      <c r="D3016" s="2" t="s">
        <v>21</v>
      </c>
      <c r="E3016" s="2" t="s">
        <v>13</v>
      </c>
      <c r="F3016">
        <v>288</v>
      </c>
      <c r="G3016">
        <v>299</v>
      </c>
      <c r="H3016">
        <v>86112</v>
      </c>
      <c r="I3016">
        <v>12822.782499999999</v>
      </c>
      <c r="J3016" s="2" t="s">
        <v>43</v>
      </c>
    </row>
    <row r="3017" spans="1:10" x14ac:dyDescent="0.35">
      <c r="A3017" s="1">
        <v>45873</v>
      </c>
      <c r="B3017" s="2" t="s">
        <v>10</v>
      </c>
      <c r="C3017" s="2" t="s">
        <v>27</v>
      </c>
      <c r="D3017" s="2" t="s">
        <v>30</v>
      </c>
      <c r="E3017" s="2" t="s">
        <v>35</v>
      </c>
      <c r="F3017">
        <v>517</v>
      </c>
      <c r="G3017">
        <v>267</v>
      </c>
      <c r="H3017">
        <v>138039</v>
      </c>
      <c r="I3017">
        <v>17795.5609</v>
      </c>
      <c r="J3017" s="2" t="s">
        <v>43</v>
      </c>
    </row>
    <row r="3018" spans="1:10" x14ac:dyDescent="0.35">
      <c r="A3018" s="1">
        <v>45873</v>
      </c>
      <c r="B3018" s="2" t="s">
        <v>34</v>
      </c>
      <c r="C3018" s="2" t="s">
        <v>11</v>
      </c>
      <c r="D3018" s="2" t="s">
        <v>12</v>
      </c>
      <c r="E3018" s="2" t="s">
        <v>35</v>
      </c>
      <c r="F3018">
        <v>635</v>
      </c>
      <c r="G3018">
        <v>490</v>
      </c>
      <c r="H3018">
        <v>311150</v>
      </c>
      <c r="I3018">
        <v>36529.537799999998</v>
      </c>
      <c r="J3018" s="2" t="s">
        <v>43</v>
      </c>
    </row>
    <row r="3019" spans="1:10" x14ac:dyDescent="0.35">
      <c r="A3019" s="1">
        <v>45873</v>
      </c>
      <c r="B3019" s="2" t="s">
        <v>10</v>
      </c>
      <c r="C3019" s="2" t="s">
        <v>23</v>
      </c>
      <c r="D3019" s="2" t="s">
        <v>30</v>
      </c>
      <c r="E3019" s="2" t="s">
        <v>35</v>
      </c>
      <c r="F3019">
        <v>793</v>
      </c>
      <c r="G3019">
        <v>220</v>
      </c>
      <c r="H3019">
        <v>174460</v>
      </c>
      <c r="I3019">
        <v>35685.650199999996</v>
      </c>
      <c r="J3019" s="2" t="s">
        <v>43</v>
      </c>
    </row>
    <row r="3020" spans="1:10" x14ac:dyDescent="0.35">
      <c r="A3020" s="1">
        <v>45873</v>
      </c>
      <c r="B3020" s="2" t="s">
        <v>19</v>
      </c>
      <c r="C3020" s="2" t="s">
        <v>11</v>
      </c>
      <c r="D3020" s="2" t="s">
        <v>17</v>
      </c>
      <c r="E3020" s="2" t="s">
        <v>18</v>
      </c>
      <c r="F3020">
        <v>374</v>
      </c>
      <c r="G3020">
        <v>427</v>
      </c>
      <c r="H3020">
        <v>159698</v>
      </c>
      <c r="I3020">
        <v>20800.108</v>
      </c>
      <c r="J3020" s="2" t="s">
        <v>43</v>
      </c>
    </row>
    <row r="3021" spans="1:10" x14ac:dyDescent="0.35">
      <c r="A3021" s="1">
        <v>45873</v>
      </c>
      <c r="B3021" s="2" t="s">
        <v>26</v>
      </c>
      <c r="C3021" s="2" t="s">
        <v>29</v>
      </c>
      <c r="D3021" s="2" t="s">
        <v>21</v>
      </c>
      <c r="E3021" s="2" t="s">
        <v>22</v>
      </c>
      <c r="F3021">
        <v>724</v>
      </c>
      <c r="G3021">
        <v>289</v>
      </c>
      <c r="H3021">
        <v>209236</v>
      </c>
      <c r="I3021">
        <v>51229.7935</v>
      </c>
      <c r="J3021" s="2" t="s">
        <v>43</v>
      </c>
    </row>
    <row r="3022" spans="1:10" x14ac:dyDescent="0.35">
      <c r="A3022" s="1">
        <v>45873</v>
      </c>
      <c r="B3022" s="2" t="s">
        <v>36</v>
      </c>
      <c r="C3022" s="2" t="s">
        <v>23</v>
      </c>
      <c r="D3022" s="2" t="s">
        <v>17</v>
      </c>
      <c r="E3022" s="2" t="s">
        <v>35</v>
      </c>
      <c r="F3022">
        <v>772</v>
      </c>
      <c r="G3022">
        <v>102</v>
      </c>
      <c r="H3022">
        <v>78744</v>
      </c>
      <c r="I3022">
        <v>12221.393099999999</v>
      </c>
      <c r="J3022" s="2" t="s">
        <v>43</v>
      </c>
    </row>
    <row r="3023" spans="1:10" x14ac:dyDescent="0.35">
      <c r="A3023" s="1">
        <v>45873</v>
      </c>
      <c r="B3023" s="2" t="s">
        <v>25</v>
      </c>
      <c r="C3023" s="2" t="s">
        <v>29</v>
      </c>
      <c r="D3023" s="2" t="s">
        <v>12</v>
      </c>
      <c r="E3023" s="2" t="s">
        <v>33</v>
      </c>
      <c r="F3023">
        <v>91</v>
      </c>
      <c r="G3023">
        <v>371</v>
      </c>
      <c r="H3023">
        <v>33761</v>
      </c>
      <c r="I3023">
        <v>7265.5465000000004</v>
      </c>
      <c r="J3023" s="2" t="s">
        <v>43</v>
      </c>
    </row>
    <row r="3024" spans="1:10" x14ac:dyDescent="0.35">
      <c r="A3024" s="1">
        <v>45874</v>
      </c>
      <c r="B3024" s="2" t="s">
        <v>19</v>
      </c>
      <c r="C3024" s="2" t="s">
        <v>29</v>
      </c>
      <c r="D3024" s="2" t="s">
        <v>12</v>
      </c>
      <c r="E3024" s="2" t="s">
        <v>22</v>
      </c>
      <c r="F3024">
        <v>993</v>
      </c>
      <c r="G3024">
        <v>186</v>
      </c>
      <c r="H3024">
        <v>184698</v>
      </c>
      <c r="I3024">
        <v>26248.7389</v>
      </c>
      <c r="J3024" s="2" t="s">
        <v>43</v>
      </c>
    </row>
    <row r="3025" spans="1:10" x14ac:dyDescent="0.35">
      <c r="A3025" s="1">
        <v>45874</v>
      </c>
      <c r="B3025" s="2" t="s">
        <v>25</v>
      </c>
      <c r="C3025" s="2" t="s">
        <v>16</v>
      </c>
      <c r="D3025" s="2" t="s">
        <v>17</v>
      </c>
      <c r="E3025" s="2" t="s">
        <v>28</v>
      </c>
      <c r="F3025">
        <v>908</v>
      </c>
      <c r="G3025">
        <v>223</v>
      </c>
      <c r="H3025">
        <v>202484</v>
      </c>
      <c r="I3025">
        <v>28736.138200000001</v>
      </c>
      <c r="J3025" s="2" t="s">
        <v>43</v>
      </c>
    </row>
    <row r="3026" spans="1:10" x14ac:dyDescent="0.35">
      <c r="A3026" s="1">
        <v>45874</v>
      </c>
      <c r="B3026" s="2" t="s">
        <v>26</v>
      </c>
      <c r="C3026" s="2" t="s">
        <v>20</v>
      </c>
      <c r="D3026" s="2" t="s">
        <v>12</v>
      </c>
      <c r="E3026" s="2" t="s">
        <v>18</v>
      </c>
      <c r="F3026">
        <v>708</v>
      </c>
      <c r="G3026">
        <v>218</v>
      </c>
      <c r="H3026">
        <v>154344</v>
      </c>
      <c r="I3026">
        <v>26823.532999999999</v>
      </c>
      <c r="J3026" s="2" t="s">
        <v>43</v>
      </c>
    </row>
    <row r="3027" spans="1:10" x14ac:dyDescent="0.35">
      <c r="A3027" s="1">
        <v>45874</v>
      </c>
      <c r="B3027" s="2" t="s">
        <v>19</v>
      </c>
      <c r="C3027" s="2" t="s">
        <v>23</v>
      </c>
      <c r="D3027" s="2" t="s">
        <v>12</v>
      </c>
      <c r="E3027" s="2" t="s">
        <v>22</v>
      </c>
      <c r="F3027">
        <v>451</v>
      </c>
      <c r="G3027">
        <v>281</v>
      </c>
      <c r="H3027">
        <v>126731</v>
      </c>
      <c r="I3027">
        <v>12377.690699999999</v>
      </c>
      <c r="J3027" s="2" t="s">
        <v>43</v>
      </c>
    </row>
    <row r="3028" spans="1:10" x14ac:dyDescent="0.35">
      <c r="A3028" s="1">
        <v>45875</v>
      </c>
      <c r="B3028" s="2" t="s">
        <v>34</v>
      </c>
      <c r="C3028" s="2" t="s">
        <v>16</v>
      </c>
      <c r="D3028" s="2" t="s">
        <v>30</v>
      </c>
      <c r="E3028" s="2" t="s">
        <v>24</v>
      </c>
      <c r="F3028">
        <v>955</v>
      </c>
      <c r="G3028">
        <v>475</v>
      </c>
      <c r="H3028">
        <v>453625</v>
      </c>
      <c r="I3028">
        <v>52818.153299999998</v>
      </c>
      <c r="J3028" s="2" t="s">
        <v>43</v>
      </c>
    </row>
    <row r="3029" spans="1:10" x14ac:dyDescent="0.35">
      <c r="A3029" s="1">
        <v>45875</v>
      </c>
      <c r="B3029" s="2" t="s">
        <v>19</v>
      </c>
      <c r="C3029" s="2" t="s">
        <v>23</v>
      </c>
      <c r="D3029" s="2" t="s">
        <v>12</v>
      </c>
      <c r="E3029" s="2" t="s">
        <v>22</v>
      </c>
      <c r="F3029">
        <v>227</v>
      </c>
      <c r="G3029">
        <v>425</v>
      </c>
      <c r="H3029">
        <v>96475</v>
      </c>
      <c r="I3029">
        <v>23758.497899999998</v>
      </c>
      <c r="J3029" s="2" t="s">
        <v>43</v>
      </c>
    </row>
    <row r="3030" spans="1:10" x14ac:dyDescent="0.35">
      <c r="A3030" s="1">
        <v>45876</v>
      </c>
      <c r="B3030" s="2" t="s">
        <v>36</v>
      </c>
      <c r="C3030" s="2" t="s">
        <v>11</v>
      </c>
      <c r="D3030" s="2" t="s">
        <v>12</v>
      </c>
      <c r="E3030" s="2" t="s">
        <v>35</v>
      </c>
      <c r="F3030">
        <v>985</v>
      </c>
      <c r="G3030">
        <v>161</v>
      </c>
      <c r="H3030">
        <v>158585</v>
      </c>
      <c r="I3030">
        <v>16614.605500000001</v>
      </c>
      <c r="J3030" s="2" t="s">
        <v>43</v>
      </c>
    </row>
    <row r="3031" spans="1:10" x14ac:dyDescent="0.35">
      <c r="A3031" s="1">
        <v>45877</v>
      </c>
      <c r="B3031" s="2" t="s">
        <v>25</v>
      </c>
      <c r="C3031" s="2" t="s">
        <v>27</v>
      </c>
      <c r="D3031" s="2" t="s">
        <v>12</v>
      </c>
      <c r="E3031" s="2" t="s">
        <v>32</v>
      </c>
      <c r="F3031">
        <v>234</v>
      </c>
      <c r="G3031">
        <v>173</v>
      </c>
      <c r="H3031">
        <v>40482</v>
      </c>
      <c r="I3031">
        <v>8908.4346000000005</v>
      </c>
      <c r="J3031" s="2" t="s">
        <v>43</v>
      </c>
    </row>
    <row r="3032" spans="1:10" x14ac:dyDescent="0.35">
      <c r="A3032" s="1">
        <v>45877</v>
      </c>
      <c r="B3032" s="2" t="s">
        <v>26</v>
      </c>
      <c r="C3032" s="2" t="s">
        <v>23</v>
      </c>
      <c r="D3032" s="2" t="s">
        <v>12</v>
      </c>
      <c r="E3032" s="2" t="s">
        <v>18</v>
      </c>
      <c r="F3032">
        <v>468</v>
      </c>
      <c r="G3032">
        <v>353</v>
      </c>
      <c r="H3032">
        <v>165204</v>
      </c>
      <c r="I3032">
        <v>29049.766</v>
      </c>
      <c r="J3032" s="2" t="s">
        <v>43</v>
      </c>
    </row>
    <row r="3033" spans="1:10" x14ac:dyDescent="0.35">
      <c r="A3033" s="1">
        <v>45877</v>
      </c>
      <c r="B3033" s="2" t="s">
        <v>34</v>
      </c>
      <c r="C3033" s="2" t="s">
        <v>27</v>
      </c>
      <c r="D3033" s="2" t="s">
        <v>30</v>
      </c>
      <c r="E3033" s="2" t="s">
        <v>24</v>
      </c>
      <c r="F3033">
        <v>155</v>
      </c>
      <c r="G3033">
        <v>449</v>
      </c>
      <c r="H3033">
        <v>69595</v>
      </c>
      <c r="I3033">
        <v>14232.6756</v>
      </c>
      <c r="J3033" s="2" t="s">
        <v>43</v>
      </c>
    </row>
    <row r="3034" spans="1:10" x14ac:dyDescent="0.35">
      <c r="A3034" s="1">
        <v>45878</v>
      </c>
      <c r="B3034" s="2" t="s">
        <v>15</v>
      </c>
      <c r="C3034" s="2" t="s">
        <v>29</v>
      </c>
      <c r="D3034" s="2" t="s">
        <v>21</v>
      </c>
      <c r="E3034" s="2" t="s">
        <v>22</v>
      </c>
      <c r="F3034">
        <v>970</v>
      </c>
      <c r="G3034">
        <v>333</v>
      </c>
      <c r="H3034">
        <v>323010</v>
      </c>
      <c r="I3034">
        <v>70517.591400000005</v>
      </c>
      <c r="J3034" s="2" t="s">
        <v>43</v>
      </c>
    </row>
    <row r="3035" spans="1:10" x14ac:dyDescent="0.35">
      <c r="A3035" s="1">
        <v>45878</v>
      </c>
      <c r="B3035" s="2" t="s">
        <v>31</v>
      </c>
      <c r="C3035" s="2" t="s">
        <v>27</v>
      </c>
      <c r="D3035" s="2" t="s">
        <v>21</v>
      </c>
      <c r="E3035" s="2" t="s">
        <v>13</v>
      </c>
      <c r="F3035">
        <v>592</v>
      </c>
      <c r="G3035">
        <v>489</v>
      </c>
      <c r="H3035">
        <v>289488</v>
      </c>
      <c r="I3035">
        <v>57038.292200000004</v>
      </c>
      <c r="J3035" s="2" t="s">
        <v>43</v>
      </c>
    </row>
    <row r="3036" spans="1:10" x14ac:dyDescent="0.35">
      <c r="A3036" s="1">
        <v>45878</v>
      </c>
      <c r="B3036" s="2" t="s">
        <v>19</v>
      </c>
      <c r="C3036" s="2" t="s">
        <v>29</v>
      </c>
      <c r="D3036" s="2" t="s">
        <v>12</v>
      </c>
      <c r="E3036" s="2" t="s">
        <v>35</v>
      </c>
      <c r="F3036">
        <v>215</v>
      </c>
      <c r="G3036">
        <v>165</v>
      </c>
      <c r="H3036">
        <v>35475</v>
      </c>
      <c r="I3036">
        <v>4454.2110000000002</v>
      </c>
      <c r="J3036" s="2" t="s">
        <v>43</v>
      </c>
    </row>
    <row r="3037" spans="1:10" x14ac:dyDescent="0.35">
      <c r="A3037" s="1">
        <v>45878</v>
      </c>
      <c r="B3037" s="2" t="s">
        <v>19</v>
      </c>
      <c r="C3037" s="2" t="s">
        <v>20</v>
      </c>
      <c r="D3037" s="2" t="s">
        <v>21</v>
      </c>
      <c r="E3037" s="2" t="s">
        <v>24</v>
      </c>
      <c r="F3037">
        <v>176</v>
      </c>
      <c r="G3037">
        <v>213</v>
      </c>
      <c r="H3037">
        <v>37488</v>
      </c>
      <c r="I3037">
        <v>8176.1462000000001</v>
      </c>
      <c r="J3037" s="2" t="s">
        <v>43</v>
      </c>
    </row>
    <row r="3038" spans="1:10" x14ac:dyDescent="0.35">
      <c r="A3038" s="1">
        <v>45878</v>
      </c>
      <c r="B3038" s="2" t="s">
        <v>34</v>
      </c>
      <c r="C3038" s="2" t="s">
        <v>11</v>
      </c>
      <c r="D3038" s="2" t="s">
        <v>30</v>
      </c>
      <c r="E3038" s="2" t="s">
        <v>18</v>
      </c>
      <c r="F3038">
        <v>210</v>
      </c>
      <c r="G3038">
        <v>298</v>
      </c>
      <c r="H3038">
        <v>62580</v>
      </c>
      <c r="I3038">
        <v>15187.286899999999</v>
      </c>
      <c r="J3038" s="2" t="s">
        <v>43</v>
      </c>
    </row>
    <row r="3039" spans="1:10" x14ac:dyDescent="0.35">
      <c r="A3039" s="1">
        <v>45879</v>
      </c>
      <c r="B3039" s="2" t="s">
        <v>26</v>
      </c>
      <c r="C3039" s="2" t="s">
        <v>27</v>
      </c>
      <c r="D3039" s="2" t="s">
        <v>17</v>
      </c>
      <c r="E3039" s="2" t="s">
        <v>28</v>
      </c>
      <c r="F3039">
        <v>935</v>
      </c>
      <c r="G3039">
        <v>281</v>
      </c>
      <c r="H3039">
        <v>262735</v>
      </c>
      <c r="I3039">
        <v>62984.410499999998</v>
      </c>
      <c r="J3039" s="2" t="s">
        <v>43</v>
      </c>
    </row>
    <row r="3040" spans="1:10" x14ac:dyDescent="0.35">
      <c r="A3040" s="1">
        <v>45880</v>
      </c>
      <c r="B3040" s="2" t="s">
        <v>25</v>
      </c>
      <c r="C3040" s="2" t="s">
        <v>27</v>
      </c>
      <c r="D3040" s="2" t="s">
        <v>21</v>
      </c>
      <c r="E3040" s="2" t="s">
        <v>13</v>
      </c>
      <c r="F3040">
        <v>857</v>
      </c>
      <c r="G3040">
        <v>310</v>
      </c>
      <c r="H3040">
        <v>265670</v>
      </c>
      <c r="I3040">
        <v>21310.361799999999</v>
      </c>
      <c r="J3040" s="2" t="s">
        <v>43</v>
      </c>
    </row>
    <row r="3041" spans="1:10" x14ac:dyDescent="0.35">
      <c r="A3041" s="1">
        <v>45880</v>
      </c>
      <c r="B3041" s="2" t="s">
        <v>31</v>
      </c>
      <c r="C3041" s="2" t="s">
        <v>27</v>
      </c>
      <c r="D3041" s="2" t="s">
        <v>30</v>
      </c>
      <c r="E3041" s="2" t="s">
        <v>32</v>
      </c>
      <c r="F3041">
        <v>937</v>
      </c>
      <c r="G3041">
        <v>125</v>
      </c>
      <c r="H3041">
        <v>117125</v>
      </c>
      <c r="I3041">
        <v>29157.203799999999</v>
      </c>
      <c r="J3041" s="2" t="s">
        <v>43</v>
      </c>
    </row>
    <row r="3042" spans="1:10" x14ac:dyDescent="0.35">
      <c r="A3042" s="1">
        <v>45881</v>
      </c>
      <c r="B3042" s="2" t="s">
        <v>19</v>
      </c>
      <c r="C3042" s="2" t="s">
        <v>16</v>
      </c>
      <c r="D3042" s="2" t="s">
        <v>17</v>
      </c>
      <c r="E3042" s="2" t="s">
        <v>22</v>
      </c>
      <c r="F3042">
        <v>529</v>
      </c>
      <c r="G3042">
        <v>399</v>
      </c>
      <c r="H3042">
        <v>211071</v>
      </c>
      <c r="I3042">
        <v>45778.683799999999</v>
      </c>
      <c r="J3042" s="2" t="s">
        <v>43</v>
      </c>
    </row>
    <row r="3043" spans="1:10" x14ac:dyDescent="0.35">
      <c r="A3043" s="1">
        <v>45881</v>
      </c>
      <c r="B3043" s="2" t="s">
        <v>36</v>
      </c>
      <c r="C3043" s="2" t="s">
        <v>29</v>
      </c>
      <c r="D3043" s="2" t="s">
        <v>17</v>
      </c>
      <c r="E3043" s="2" t="s">
        <v>13</v>
      </c>
      <c r="F3043">
        <v>821</v>
      </c>
      <c r="G3043">
        <v>445</v>
      </c>
      <c r="H3043">
        <v>365345</v>
      </c>
      <c r="I3043">
        <v>46960.268499999998</v>
      </c>
      <c r="J3043" s="2" t="s">
        <v>43</v>
      </c>
    </row>
    <row r="3044" spans="1:10" x14ac:dyDescent="0.35">
      <c r="A3044" s="1">
        <v>45881</v>
      </c>
      <c r="B3044" s="2" t="s">
        <v>15</v>
      </c>
      <c r="C3044" s="2" t="s">
        <v>20</v>
      </c>
      <c r="D3044" s="2" t="s">
        <v>17</v>
      </c>
      <c r="E3044" s="2" t="s">
        <v>22</v>
      </c>
      <c r="F3044">
        <v>785</v>
      </c>
      <c r="G3044">
        <v>124</v>
      </c>
      <c r="H3044">
        <v>97340</v>
      </c>
      <c r="I3044">
        <v>15479.6356</v>
      </c>
      <c r="J3044" s="2" t="s">
        <v>43</v>
      </c>
    </row>
    <row r="3045" spans="1:10" x14ac:dyDescent="0.35">
      <c r="A3045" s="1">
        <v>45881</v>
      </c>
      <c r="B3045" s="2" t="s">
        <v>34</v>
      </c>
      <c r="C3045" s="2" t="s">
        <v>20</v>
      </c>
      <c r="D3045" s="2" t="s">
        <v>30</v>
      </c>
      <c r="E3045" s="2" t="s">
        <v>32</v>
      </c>
      <c r="F3045">
        <v>725</v>
      </c>
      <c r="G3045">
        <v>118</v>
      </c>
      <c r="H3045">
        <v>85550</v>
      </c>
      <c r="I3045">
        <v>16685.132000000001</v>
      </c>
      <c r="J3045" s="2" t="s">
        <v>43</v>
      </c>
    </row>
    <row r="3046" spans="1:10" x14ac:dyDescent="0.35">
      <c r="A3046" s="1">
        <v>45882</v>
      </c>
      <c r="B3046" s="2" t="s">
        <v>15</v>
      </c>
      <c r="C3046" s="2" t="s">
        <v>29</v>
      </c>
      <c r="D3046" s="2" t="s">
        <v>30</v>
      </c>
      <c r="E3046" s="2" t="s">
        <v>18</v>
      </c>
      <c r="F3046">
        <v>63</v>
      </c>
      <c r="G3046">
        <v>187</v>
      </c>
      <c r="H3046">
        <v>11781</v>
      </c>
      <c r="I3046">
        <v>1972.3884</v>
      </c>
      <c r="J3046" s="2" t="s">
        <v>43</v>
      </c>
    </row>
    <row r="3047" spans="1:10" x14ac:dyDescent="0.35">
      <c r="A3047" s="1">
        <v>45882</v>
      </c>
      <c r="B3047" s="2" t="s">
        <v>19</v>
      </c>
      <c r="C3047" s="2" t="s">
        <v>20</v>
      </c>
      <c r="D3047" s="2" t="s">
        <v>12</v>
      </c>
      <c r="E3047" s="2" t="s">
        <v>32</v>
      </c>
      <c r="F3047">
        <v>870</v>
      </c>
      <c r="G3047">
        <v>393</v>
      </c>
      <c r="H3047">
        <v>341910</v>
      </c>
      <c r="I3047">
        <v>62295.192199999998</v>
      </c>
      <c r="J3047" s="2" t="s">
        <v>43</v>
      </c>
    </row>
    <row r="3048" spans="1:10" x14ac:dyDescent="0.35">
      <c r="A3048" s="1">
        <v>45882</v>
      </c>
      <c r="B3048" s="2" t="s">
        <v>15</v>
      </c>
      <c r="C3048" s="2" t="s">
        <v>29</v>
      </c>
      <c r="D3048" s="2" t="s">
        <v>30</v>
      </c>
      <c r="E3048" s="2" t="s">
        <v>32</v>
      </c>
      <c r="F3048">
        <v>67</v>
      </c>
      <c r="G3048">
        <v>312</v>
      </c>
      <c r="H3048">
        <v>20904</v>
      </c>
      <c r="I3048">
        <v>4197.8773000000001</v>
      </c>
      <c r="J3048" s="2" t="s">
        <v>43</v>
      </c>
    </row>
    <row r="3049" spans="1:10" x14ac:dyDescent="0.35">
      <c r="A3049" s="1">
        <v>45882</v>
      </c>
      <c r="B3049" s="2" t="s">
        <v>34</v>
      </c>
      <c r="C3049" s="2" t="s">
        <v>27</v>
      </c>
      <c r="D3049" s="2" t="s">
        <v>17</v>
      </c>
      <c r="E3049" s="2" t="s">
        <v>18</v>
      </c>
      <c r="F3049">
        <v>830</v>
      </c>
      <c r="G3049">
        <v>296</v>
      </c>
      <c r="H3049">
        <v>245680</v>
      </c>
      <c r="I3049">
        <v>22998.3069</v>
      </c>
      <c r="J3049" s="2" t="s">
        <v>43</v>
      </c>
    </row>
    <row r="3050" spans="1:10" x14ac:dyDescent="0.35">
      <c r="A3050" s="1">
        <v>45882</v>
      </c>
      <c r="B3050" s="2" t="s">
        <v>36</v>
      </c>
      <c r="C3050" s="2" t="s">
        <v>11</v>
      </c>
      <c r="D3050" s="2" t="s">
        <v>30</v>
      </c>
      <c r="E3050" s="2" t="s">
        <v>22</v>
      </c>
      <c r="F3050">
        <v>836</v>
      </c>
      <c r="G3050">
        <v>126</v>
      </c>
      <c r="H3050">
        <v>105336</v>
      </c>
      <c r="I3050">
        <v>16816.545699999999</v>
      </c>
      <c r="J3050" s="2" t="s">
        <v>43</v>
      </c>
    </row>
    <row r="3051" spans="1:10" x14ac:dyDescent="0.35">
      <c r="A3051" s="1">
        <v>45882</v>
      </c>
      <c r="B3051" s="2" t="s">
        <v>15</v>
      </c>
      <c r="C3051" s="2" t="s">
        <v>11</v>
      </c>
      <c r="D3051" s="2" t="s">
        <v>21</v>
      </c>
      <c r="E3051" s="2" t="s">
        <v>22</v>
      </c>
      <c r="F3051">
        <v>152</v>
      </c>
      <c r="G3051">
        <v>497</v>
      </c>
      <c r="H3051">
        <v>75544</v>
      </c>
      <c r="I3051">
        <v>15360.8123</v>
      </c>
      <c r="J3051" s="2" t="s">
        <v>43</v>
      </c>
    </row>
    <row r="3052" spans="1:10" x14ac:dyDescent="0.35">
      <c r="A3052" s="1">
        <v>45883</v>
      </c>
      <c r="B3052" s="2" t="s">
        <v>34</v>
      </c>
      <c r="C3052" s="2" t="s">
        <v>27</v>
      </c>
      <c r="D3052" s="2" t="s">
        <v>21</v>
      </c>
      <c r="E3052" s="2" t="s">
        <v>28</v>
      </c>
      <c r="F3052">
        <v>339</v>
      </c>
      <c r="G3052">
        <v>215</v>
      </c>
      <c r="H3052">
        <v>72885</v>
      </c>
      <c r="I3052">
        <v>17304.251799999998</v>
      </c>
      <c r="J3052" s="2" t="s">
        <v>43</v>
      </c>
    </row>
    <row r="3053" spans="1:10" x14ac:dyDescent="0.35">
      <c r="A3053" s="1">
        <v>45883</v>
      </c>
      <c r="B3053" s="2" t="s">
        <v>10</v>
      </c>
      <c r="C3053" s="2" t="s">
        <v>23</v>
      </c>
      <c r="D3053" s="2" t="s">
        <v>17</v>
      </c>
      <c r="E3053" s="2" t="s">
        <v>35</v>
      </c>
      <c r="F3053">
        <v>650</v>
      </c>
      <c r="G3053">
        <v>354</v>
      </c>
      <c r="H3053">
        <v>230100</v>
      </c>
      <c r="I3053">
        <v>37677.412799999998</v>
      </c>
      <c r="J3053" s="2" t="s">
        <v>43</v>
      </c>
    </row>
    <row r="3054" spans="1:10" x14ac:dyDescent="0.35">
      <c r="A3054" s="1">
        <v>45883</v>
      </c>
      <c r="B3054" s="2" t="s">
        <v>31</v>
      </c>
      <c r="C3054" s="2" t="s">
        <v>20</v>
      </c>
      <c r="D3054" s="2" t="s">
        <v>12</v>
      </c>
      <c r="E3054" s="2" t="s">
        <v>28</v>
      </c>
      <c r="F3054">
        <v>884</v>
      </c>
      <c r="G3054">
        <v>237</v>
      </c>
      <c r="H3054">
        <v>209508</v>
      </c>
      <c r="I3054">
        <v>36682.622199999998</v>
      </c>
      <c r="J3054" s="2" t="s">
        <v>43</v>
      </c>
    </row>
    <row r="3055" spans="1:10" x14ac:dyDescent="0.35">
      <c r="A3055" s="1">
        <v>45883</v>
      </c>
      <c r="B3055" s="2" t="s">
        <v>34</v>
      </c>
      <c r="C3055" s="2" t="s">
        <v>27</v>
      </c>
      <c r="D3055" s="2" t="s">
        <v>30</v>
      </c>
      <c r="E3055" s="2" t="s">
        <v>33</v>
      </c>
      <c r="F3055">
        <v>233</v>
      </c>
      <c r="G3055">
        <v>305</v>
      </c>
      <c r="H3055">
        <v>71065</v>
      </c>
      <c r="I3055">
        <v>10597.778399999999</v>
      </c>
      <c r="J3055" s="2" t="s">
        <v>43</v>
      </c>
    </row>
    <row r="3056" spans="1:10" x14ac:dyDescent="0.35">
      <c r="A3056" s="1">
        <v>45883</v>
      </c>
      <c r="B3056" s="2" t="s">
        <v>15</v>
      </c>
      <c r="C3056" s="2" t="s">
        <v>23</v>
      </c>
      <c r="D3056" s="2" t="s">
        <v>17</v>
      </c>
      <c r="E3056" s="2" t="s">
        <v>22</v>
      </c>
      <c r="F3056">
        <v>822</v>
      </c>
      <c r="G3056">
        <v>392</v>
      </c>
      <c r="H3056">
        <v>322224</v>
      </c>
      <c r="I3056">
        <v>41284.303800000002</v>
      </c>
      <c r="J3056" s="2" t="s">
        <v>43</v>
      </c>
    </row>
    <row r="3057" spans="1:10" x14ac:dyDescent="0.35">
      <c r="A3057" s="1">
        <v>45883</v>
      </c>
      <c r="B3057" s="2" t="s">
        <v>19</v>
      </c>
      <c r="C3057" s="2" t="s">
        <v>23</v>
      </c>
      <c r="D3057" s="2" t="s">
        <v>21</v>
      </c>
      <c r="E3057" s="2" t="s">
        <v>13</v>
      </c>
      <c r="F3057">
        <v>622</v>
      </c>
      <c r="G3057">
        <v>416</v>
      </c>
      <c r="H3057">
        <v>258752</v>
      </c>
      <c r="I3057">
        <v>36343.701699999998</v>
      </c>
      <c r="J3057" s="2" t="s">
        <v>43</v>
      </c>
    </row>
    <row r="3058" spans="1:10" x14ac:dyDescent="0.35">
      <c r="A3058" s="1">
        <v>45884</v>
      </c>
      <c r="B3058" s="2" t="s">
        <v>10</v>
      </c>
      <c r="C3058" s="2" t="s">
        <v>27</v>
      </c>
      <c r="D3058" s="2" t="s">
        <v>30</v>
      </c>
      <c r="E3058" s="2" t="s">
        <v>35</v>
      </c>
      <c r="F3058">
        <v>497</v>
      </c>
      <c r="G3058">
        <v>348</v>
      </c>
      <c r="H3058">
        <v>172956</v>
      </c>
      <c r="I3058">
        <v>30361.127100000002</v>
      </c>
      <c r="J3058" s="2" t="s">
        <v>43</v>
      </c>
    </row>
    <row r="3059" spans="1:10" x14ac:dyDescent="0.35">
      <c r="A3059" s="1">
        <v>45884</v>
      </c>
      <c r="B3059" s="2" t="s">
        <v>34</v>
      </c>
      <c r="C3059" s="2" t="s">
        <v>16</v>
      </c>
      <c r="D3059" s="2" t="s">
        <v>17</v>
      </c>
      <c r="E3059" s="2" t="s">
        <v>13</v>
      </c>
      <c r="F3059">
        <v>514</v>
      </c>
      <c r="G3059">
        <v>481</v>
      </c>
      <c r="H3059">
        <v>247234</v>
      </c>
      <c r="I3059">
        <v>38720.159899999999</v>
      </c>
      <c r="J3059" s="2" t="s">
        <v>43</v>
      </c>
    </row>
    <row r="3060" spans="1:10" x14ac:dyDescent="0.35">
      <c r="A3060" s="1">
        <v>45884</v>
      </c>
      <c r="B3060" s="2" t="s">
        <v>36</v>
      </c>
      <c r="C3060" s="2" t="s">
        <v>29</v>
      </c>
      <c r="D3060" s="2" t="s">
        <v>30</v>
      </c>
      <c r="E3060" s="2" t="s">
        <v>13</v>
      </c>
      <c r="F3060">
        <v>946</v>
      </c>
      <c r="G3060">
        <v>483</v>
      </c>
      <c r="H3060">
        <v>456918</v>
      </c>
      <c r="I3060">
        <v>62898.486799999999</v>
      </c>
      <c r="J3060" s="2" t="s">
        <v>43</v>
      </c>
    </row>
    <row r="3061" spans="1:10" x14ac:dyDescent="0.35">
      <c r="A3061" s="1">
        <v>45884</v>
      </c>
      <c r="B3061" s="2" t="s">
        <v>36</v>
      </c>
      <c r="C3061" s="2" t="s">
        <v>29</v>
      </c>
      <c r="D3061" s="2" t="s">
        <v>17</v>
      </c>
      <c r="E3061" s="2" t="s">
        <v>35</v>
      </c>
      <c r="F3061">
        <v>190</v>
      </c>
      <c r="G3061">
        <v>369</v>
      </c>
      <c r="H3061">
        <v>70110</v>
      </c>
      <c r="I3061">
        <v>8364.8436999999994</v>
      </c>
      <c r="J3061" s="2" t="s">
        <v>43</v>
      </c>
    </row>
    <row r="3062" spans="1:10" x14ac:dyDescent="0.35">
      <c r="A3062" s="1">
        <v>45884</v>
      </c>
      <c r="B3062" s="2" t="s">
        <v>25</v>
      </c>
      <c r="C3062" s="2" t="s">
        <v>29</v>
      </c>
      <c r="D3062" s="2" t="s">
        <v>12</v>
      </c>
      <c r="E3062" s="2" t="s">
        <v>35</v>
      </c>
      <c r="F3062">
        <v>555</v>
      </c>
      <c r="G3062">
        <v>182</v>
      </c>
      <c r="H3062">
        <v>101010</v>
      </c>
      <c r="I3062">
        <v>15053.2642</v>
      </c>
      <c r="J3062" s="2" t="s">
        <v>43</v>
      </c>
    </row>
    <row r="3063" spans="1:10" x14ac:dyDescent="0.35">
      <c r="A3063" s="1">
        <v>45884</v>
      </c>
      <c r="B3063" s="2" t="s">
        <v>31</v>
      </c>
      <c r="C3063" s="2" t="s">
        <v>29</v>
      </c>
      <c r="D3063" s="2" t="s">
        <v>17</v>
      </c>
      <c r="E3063" s="2" t="s">
        <v>33</v>
      </c>
      <c r="F3063">
        <v>371</v>
      </c>
      <c r="G3063">
        <v>120</v>
      </c>
      <c r="H3063">
        <v>44520</v>
      </c>
      <c r="I3063">
        <v>10444.8408</v>
      </c>
      <c r="J3063" s="2" t="s">
        <v>43</v>
      </c>
    </row>
    <row r="3064" spans="1:10" x14ac:dyDescent="0.35">
      <c r="A3064" s="1">
        <v>45884</v>
      </c>
      <c r="B3064" s="2" t="s">
        <v>25</v>
      </c>
      <c r="C3064" s="2" t="s">
        <v>23</v>
      </c>
      <c r="D3064" s="2" t="s">
        <v>17</v>
      </c>
      <c r="E3064" s="2" t="s">
        <v>22</v>
      </c>
      <c r="F3064">
        <v>269</v>
      </c>
      <c r="G3064">
        <v>191</v>
      </c>
      <c r="H3064">
        <v>51379</v>
      </c>
      <c r="I3064">
        <v>8941.0982999999997</v>
      </c>
      <c r="J3064" s="2" t="s">
        <v>43</v>
      </c>
    </row>
    <row r="3065" spans="1:10" x14ac:dyDescent="0.35">
      <c r="A3065" s="1">
        <v>45885</v>
      </c>
      <c r="B3065" s="2" t="s">
        <v>10</v>
      </c>
      <c r="C3065" s="2" t="s">
        <v>20</v>
      </c>
      <c r="D3065" s="2" t="s">
        <v>17</v>
      </c>
      <c r="E3065" s="2" t="s">
        <v>22</v>
      </c>
      <c r="F3065">
        <v>836</v>
      </c>
      <c r="G3065">
        <v>272</v>
      </c>
      <c r="H3065">
        <v>227392</v>
      </c>
      <c r="I3065">
        <v>49683.163800000002</v>
      </c>
      <c r="J3065" s="2" t="s">
        <v>43</v>
      </c>
    </row>
    <row r="3066" spans="1:10" x14ac:dyDescent="0.35">
      <c r="A3066" s="1">
        <v>45885</v>
      </c>
      <c r="B3066" s="2" t="s">
        <v>36</v>
      </c>
      <c r="C3066" s="2" t="s">
        <v>27</v>
      </c>
      <c r="D3066" s="2" t="s">
        <v>12</v>
      </c>
      <c r="E3066" s="2" t="s">
        <v>33</v>
      </c>
      <c r="F3066">
        <v>754</v>
      </c>
      <c r="G3066">
        <v>474</v>
      </c>
      <c r="H3066">
        <v>357396</v>
      </c>
      <c r="I3066">
        <v>86540.152400000006</v>
      </c>
      <c r="J3066" s="2" t="s">
        <v>43</v>
      </c>
    </row>
    <row r="3067" spans="1:10" x14ac:dyDescent="0.35">
      <c r="A3067" s="1">
        <v>45885</v>
      </c>
      <c r="B3067" s="2" t="s">
        <v>19</v>
      </c>
      <c r="C3067" s="2" t="s">
        <v>29</v>
      </c>
      <c r="D3067" s="2" t="s">
        <v>12</v>
      </c>
      <c r="E3067" s="2" t="s">
        <v>22</v>
      </c>
      <c r="F3067">
        <v>394</v>
      </c>
      <c r="G3067">
        <v>227</v>
      </c>
      <c r="H3067">
        <v>89438</v>
      </c>
      <c r="I3067">
        <v>14465.5388</v>
      </c>
      <c r="J3067" s="2" t="s">
        <v>43</v>
      </c>
    </row>
    <row r="3068" spans="1:10" x14ac:dyDescent="0.35">
      <c r="A3068" s="1">
        <v>45886</v>
      </c>
      <c r="B3068" s="2" t="s">
        <v>26</v>
      </c>
      <c r="C3068" s="2" t="s">
        <v>20</v>
      </c>
      <c r="D3068" s="2" t="s">
        <v>17</v>
      </c>
      <c r="E3068" s="2" t="s">
        <v>32</v>
      </c>
      <c r="F3068">
        <v>544</v>
      </c>
      <c r="G3068">
        <v>292</v>
      </c>
      <c r="H3068">
        <v>158848</v>
      </c>
      <c r="I3068">
        <v>39248.5694</v>
      </c>
      <c r="J3068" s="2" t="s">
        <v>43</v>
      </c>
    </row>
    <row r="3069" spans="1:10" x14ac:dyDescent="0.35">
      <c r="A3069" s="1">
        <v>45886</v>
      </c>
      <c r="B3069" s="2" t="s">
        <v>10</v>
      </c>
      <c r="C3069" s="2" t="s">
        <v>27</v>
      </c>
      <c r="D3069" s="2" t="s">
        <v>12</v>
      </c>
      <c r="E3069" s="2" t="s">
        <v>33</v>
      </c>
      <c r="F3069">
        <v>452</v>
      </c>
      <c r="G3069">
        <v>109</v>
      </c>
      <c r="H3069">
        <v>49268</v>
      </c>
      <c r="I3069">
        <v>12141.8256</v>
      </c>
      <c r="J3069" s="2" t="s">
        <v>43</v>
      </c>
    </row>
    <row r="3070" spans="1:10" x14ac:dyDescent="0.35">
      <c r="A3070" s="1">
        <v>45886</v>
      </c>
      <c r="B3070" s="2" t="s">
        <v>34</v>
      </c>
      <c r="C3070" s="2" t="s">
        <v>27</v>
      </c>
      <c r="D3070" s="2" t="s">
        <v>17</v>
      </c>
      <c r="E3070" s="2" t="s">
        <v>28</v>
      </c>
      <c r="F3070">
        <v>164</v>
      </c>
      <c r="G3070">
        <v>421</v>
      </c>
      <c r="H3070">
        <v>69044</v>
      </c>
      <c r="I3070">
        <v>12779.6342</v>
      </c>
      <c r="J3070" s="2" t="s">
        <v>43</v>
      </c>
    </row>
    <row r="3071" spans="1:10" x14ac:dyDescent="0.35">
      <c r="A3071" s="1">
        <v>45887</v>
      </c>
      <c r="B3071" s="2" t="s">
        <v>26</v>
      </c>
      <c r="C3071" s="2" t="s">
        <v>16</v>
      </c>
      <c r="D3071" s="2" t="s">
        <v>17</v>
      </c>
      <c r="E3071" s="2" t="s">
        <v>22</v>
      </c>
      <c r="F3071">
        <v>276</v>
      </c>
      <c r="G3071">
        <v>250</v>
      </c>
      <c r="H3071">
        <v>69000</v>
      </c>
      <c r="I3071">
        <v>7433.4107000000004</v>
      </c>
      <c r="J3071" s="2" t="s">
        <v>43</v>
      </c>
    </row>
    <row r="3072" spans="1:10" x14ac:dyDescent="0.35">
      <c r="A3072" s="1">
        <v>45887</v>
      </c>
      <c r="B3072" s="2" t="s">
        <v>25</v>
      </c>
      <c r="C3072" s="2" t="s">
        <v>27</v>
      </c>
      <c r="D3072" s="2" t="s">
        <v>30</v>
      </c>
      <c r="E3072" s="2" t="s">
        <v>18</v>
      </c>
      <c r="F3072">
        <v>325</v>
      </c>
      <c r="G3072">
        <v>426</v>
      </c>
      <c r="H3072">
        <v>138450</v>
      </c>
      <c r="I3072">
        <v>18950.787799999998</v>
      </c>
      <c r="J3072" s="2" t="s">
        <v>43</v>
      </c>
    </row>
    <row r="3073" spans="1:10" x14ac:dyDescent="0.35">
      <c r="A3073" s="1">
        <v>45888</v>
      </c>
      <c r="B3073" s="2" t="s">
        <v>25</v>
      </c>
      <c r="C3073" s="2" t="s">
        <v>11</v>
      </c>
      <c r="D3073" s="2" t="s">
        <v>12</v>
      </c>
      <c r="E3073" s="2" t="s">
        <v>24</v>
      </c>
      <c r="F3073">
        <v>136</v>
      </c>
      <c r="G3073">
        <v>191</v>
      </c>
      <c r="H3073">
        <v>25976</v>
      </c>
      <c r="I3073">
        <v>4035.5742</v>
      </c>
      <c r="J3073" s="2" t="s">
        <v>43</v>
      </c>
    </row>
    <row r="3074" spans="1:10" x14ac:dyDescent="0.35">
      <c r="A3074" s="1">
        <v>45888</v>
      </c>
      <c r="B3074" s="2" t="s">
        <v>25</v>
      </c>
      <c r="C3074" s="2" t="s">
        <v>29</v>
      </c>
      <c r="D3074" s="2" t="s">
        <v>17</v>
      </c>
      <c r="E3074" s="2" t="s">
        <v>22</v>
      </c>
      <c r="F3074">
        <v>742</v>
      </c>
      <c r="G3074">
        <v>224</v>
      </c>
      <c r="H3074">
        <v>166208</v>
      </c>
      <c r="I3074">
        <v>19600.833500000001</v>
      </c>
      <c r="J3074" s="2" t="s">
        <v>43</v>
      </c>
    </row>
    <row r="3075" spans="1:10" x14ac:dyDescent="0.35">
      <c r="A3075" s="1">
        <v>45888</v>
      </c>
      <c r="B3075" s="2" t="s">
        <v>19</v>
      </c>
      <c r="C3075" s="2" t="s">
        <v>23</v>
      </c>
      <c r="D3075" s="2" t="s">
        <v>21</v>
      </c>
      <c r="E3075" s="2" t="s">
        <v>24</v>
      </c>
      <c r="F3075">
        <v>194</v>
      </c>
      <c r="G3075">
        <v>418</v>
      </c>
      <c r="H3075">
        <v>81092</v>
      </c>
      <c r="I3075">
        <v>14768.582</v>
      </c>
      <c r="J3075" s="2" t="s">
        <v>43</v>
      </c>
    </row>
    <row r="3076" spans="1:10" x14ac:dyDescent="0.35">
      <c r="A3076" s="1">
        <v>45888</v>
      </c>
      <c r="B3076" s="2" t="s">
        <v>25</v>
      </c>
      <c r="C3076" s="2" t="s">
        <v>29</v>
      </c>
      <c r="D3076" s="2" t="s">
        <v>12</v>
      </c>
      <c r="E3076" s="2" t="s">
        <v>24</v>
      </c>
      <c r="F3076">
        <v>62</v>
      </c>
      <c r="G3076">
        <v>218</v>
      </c>
      <c r="H3076">
        <v>13516</v>
      </c>
      <c r="I3076">
        <v>2908.3310000000001</v>
      </c>
      <c r="J3076" s="2" t="s">
        <v>43</v>
      </c>
    </row>
    <row r="3077" spans="1:10" x14ac:dyDescent="0.35">
      <c r="A3077" s="1">
        <v>45889</v>
      </c>
      <c r="B3077" s="2" t="s">
        <v>34</v>
      </c>
      <c r="C3077" s="2" t="s">
        <v>23</v>
      </c>
      <c r="D3077" s="2" t="s">
        <v>12</v>
      </c>
      <c r="E3077" s="2" t="s">
        <v>13</v>
      </c>
      <c r="F3077">
        <v>418</v>
      </c>
      <c r="G3077">
        <v>293</v>
      </c>
      <c r="H3077">
        <v>122474</v>
      </c>
      <c r="I3077">
        <v>26675.495800000001</v>
      </c>
      <c r="J3077" s="2" t="s">
        <v>43</v>
      </c>
    </row>
    <row r="3078" spans="1:10" x14ac:dyDescent="0.35">
      <c r="A3078" s="1">
        <v>45889</v>
      </c>
      <c r="B3078" s="2" t="s">
        <v>19</v>
      </c>
      <c r="C3078" s="2" t="s">
        <v>29</v>
      </c>
      <c r="D3078" s="2" t="s">
        <v>21</v>
      </c>
      <c r="E3078" s="2" t="s">
        <v>13</v>
      </c>
      <c r="F3078">
        <v>716</v>
      </c>
      <c r="G3078">
        <v>267</v>
      </c>
      <c r="H3078">
        <v>191172</v>
      </c>
      <c r="I3078">
        <v>37165.173499999997</v>
      </c>
      <c r="J3078" s="2" t="s">
        <v>43</v>
      </c>
    </row>
    <row r="3079" spans="1:10" x14ac:dyDescent="0.35">
      <c r="A3079" s="1">
        <v>45889</v>
      </c>
      <c r="B3079" s="2" t="s">
        <v>25</v>
      </c>
      <c r="C3079" s="2" t="s">
        <v>27</v>
      </c>
      <c r="D3079" s="2" t="s">
        <v>17</v>
      </c>
      <c r="E3079" s="2" t="s">
        <v>13</v>
      </c>
      <c r="F3079">
        <v>437</v>
      </c>
      <c r="G3079">
        <v>482</v>
      </c>
      <c r="H3079">
        <v>210634</v>
      </c>
      <c r="I3079">
        <v>44323.020100000002</v>
      </c>
      <c r="J3079" s="2" t="s">
        <v>43</v>
      </c>
    </row>
    <row r="3080" spans="1:10" x14ac:dyDescent="0.35">
      <c r="A3080" s="1">
        <v>45889</v>
      </c>
      <c r="B3080" s="2" t="s">
        <v>34</v>
      </c>
      <c r="C3080" s="2" t="s">
        <v>16</v>
      </c>
      <c r="D3080" s="2" t="s">
        <v>21</v>
      </c>
      <c r="E3080" s="2" t="s">
        <v>13</v>
      </c>
      <c r="F3080">
        <v>827</v>
      </c>
      <c r="G3080">
        <v>154</v>
      </c>
      <c r="H3080">
        <v>127358</v>
      </c>
      <c r="I3080">
        <v>13063.803099999999</v>
      </c>
      <c r="J3080" s="2" t="s">
        <v>43</v>
      </c>
    </row>
    <row r="3081" spans="1:10" x14ac:dyDescent="0.35">
      <c r="A3081" s="1">
        <v>45890</v>
      </c>
      <c r="B3081" s="2" t="s">
        <v>36</v>
      </c>
      <c r="C3081" s="2" t="s">
        <v>11</v>
      </c>
      <c r="D3081" s="2" t="s">
        <v>12</v>
      </c>
      <c r="E3081" s="2" t="s">
        <v>13</v>
      </c>
      <c r="F3081">
        <v>349</v>
      </c>
      <c r="G3081">
        <v>275</v>
      </c>
      <c r="H3081">
        <v>95975</v>
      </c>
      <c r="I3081">
        <v>13184.6566</v>
      </c>
      <c r="J3081" s="2" t="s">
        <v>43</v>
      </c>
    </row>
    <row r="3082" spans="1:10" x14ac:dyDescent="0.35">
      <c r="A3082" s="1">
        <v>45890</v>
      </c>
      <c r="B3082" s="2" t="s">
        <v>36</v>
      </c>
      <c r="C3082" s="2" t="s">
        <v>29</v>
      </c>
      <c r="D3082" s="2" t="s">
        <v>21</v>
      </c>
      <c r="E3082" s="2" t="s">
        <v>24</v>
      </c>
      <c r="F3082">
        <v>187</v>
      </c>
      <c r="G3082">
        <v>420</v>
      </c>
      <c r="H3082">
        <v>78540</v>
      </c>
      <c r="I3082">
        <v>8373.8431999999993</v>
      </c>
      <c r="J3082" s="2" t="s">
        <v>43</v>
      </c>
    </row>
    <row r="3083" spans="1:10" x14ac:dyDescent="0.35">
      <c r="A3083" s="1">
        <v>45890</v>
      </c>
      <c r="B3083" s="2" t="s">
        <v>31</v>
      </c>
      <c r="C3083" s="2" t="s">
        <v>29</v>
      </c>
      <c r="D3083" s="2" t="s">
        <v>12</v>
      </c>
      <c r="E3083" s="2" t="s">
        <v>32</v>
      </c>
      <c r="F3083">
        <v>647</v>
      </c>
      <c r="G3083">
        <v>281</v>
      </c>
      <c r="H3083">
        <v>181807</v>
      </c>
      <c r="I3083">
        <v>36098.849900000001</v>
      </c>
      <c r="J3083" s="2" t="s">
        <v>43</v>
      </c>
    </row>
    <row r="3084" spans="1:10" x14ac:dyDescent="0.35">
      <c r="A3084" s="1">
        <v>45890</v>
      </c>
      <c r="B3084" s="2" t="s">
        <v>19</v>
      </c>
      <c r="C3084" s="2" t="s">
        <v>11</v>
      </c>
      <c r="D3084" s="2" t="s">
        <v>17</v>
      </c>
      <c r="E3084" s="2" t="s">
        <v>24</v>
      </c>
      <c r="F3084">
        <v>64</v>
      </c>
      <c r="G3084">
        <v>320</v>
      </c>
      <c r="H3084">
        <v>20480</v>
      </c>
      <c r="I3084">
        <v>1870.5028</v>
      </c>
      <c r="J3084" s="2" t="s">
        <v>43</v>
      </c>
    </row>
    <row r="3085" spans="1:10" x14ac:dyDescent="0.35">
      <c r="A3085" s="1">
        <v>45892</v>
      </c>
      <c r="B3085" s="2" t="s">
        <v>15</v>
      </c>
      <c r="C3085" s="2" t="s">
        <v>20</v>
      </c>
      <c r="D3085" s="2" t="s">
        <v>12</v>
      </c>
      <c r="E3085" s="2" t="s">
        <v>18</v>
      </c>
      <c r="F3085">
        <v>913</v>
      </c>
      <c r="G3085">
        <v>213</v>
      </c>
      <c r="H3085">
        <v>194469</v>
      </c>
      <c r="I3085">
        <v>27864.674200000001</v>
      </c>
      <c r="J3085" s="2" t="s">
        <v>43</v>
      </c>
    </row>
    <row r="3086" spans="1:10" x14ac:dyDescent="0.35">
      <c r="A3086" s="1">
        <v>45892</v>
      </c>
      <c r="B3086" s="2" t="s">
        <v>36</v>
      </c>
      <c r="C3086" s="2" t="s">
        <v>20</v>
      </c>
      <c r="D3086" s="2" t="s">
        <v>30</v>
      </c>
      <c r="E3086" s="2" t="s">
        <v>13</v>
      </c>
      <c r="F3086">
        <v>187</v>
      </c>
      <c r="G3086">
        <v>487</v>
      </c>
      <c r="H3086">
        <v>91069</v>
      </c>
      <c r="I3086">
        <v>12401.422</v>
      </c>
      <c r="J3086" s="2" t="s">
        <v>43</v>
      </c>
    </row>
    <row r="3087" spans="1:10" x14ac:dyDescent="0.35">
      <c r="A3087" s="1">
        <v>45893</v>
      </c>
      <c r="B3087" s="2" t="s">
        <v>19</v>
      </c>
      <c r="C3087" s="2" t="s">
        <v>20</v>
      </c>
      <c r="D3087" s="2" t="s">
        <v>21</v>
      </c>
      <c r="E3087" s="2" t="s">
        <v>32</v>
      </c>
      <c r="F3087">
        <v>363</v>
      </c>
      <c r="G3087">
        <v>327</v>
      </c>
      <c r="H3087">
        <v>118701</v>
      </c>
      <c r="I3087">
        <v>20194.566800000001</v>
      </c>
      <c r="J3087" s="2" t="s">
        <v>43</v>
      </c>
    </row>
    <row r="3088" spans="1:10" x14ac:dyDescent="0.35">
      <c r="A3088" s="1">
        <v>45894</v>
      </c>
      <c r="B3088" s="2" t="s">
        <v>26</v>
      </c>
      <c r="C3088" s="2" t="s">
        <v>11</v>
      </c>
      <c r="D3088" s="2" t="s">
        <v>17</v>
      </c>
      <c r="E3088" s="2" t="s">
        <v>33</v>
      </c>
      <c r="F3088">
        <v>229</v>
      </c>
      <c r="G3088">
        <v>499</v>
      </c>
      <c r="H3088">
        <v>114271</v>
      </c>
      <c r="I3088">
        <v>14371.370699999999</v>
      </c>
      <c r="J3088" s="2" t="s">
        <v>43</v>
      </c>
    </row>
    <row r="3089" spans="1:10" x14ac:dyDescent="0.35">
      <c r="A3089" s="1">
        <v>45894</v>
      </c>
      <c r="B3089" s="2" t="s">
        <v>26</v>
      </c>
      <c r="C3089" s="2" t="s">
        <v>20</v>
      </c>
      <c r="D3089" s="2" t="s">
        <v>30</v>
      </c>
      <c r="E3089" s="2" t="s">
        <v>28</v>
      </c>
      <c r="F3089">
        <v>595</v>
      </c>
      <c r="G3089">
        <v>350</v>
      </c>
      <c r="H3089">
        <v>208250</v>
      </c>
      <c r="I3089">
        <v>37524.413</v>
      </c>
      <c r="J3089" s="2" t="s">
        <v>43</v>
      </c>
    </row>
    <row r="3090" spans="1:10" x14ac:dyDescent="0.35">
      <c r="A3090" s="1">
        <v>45894</v>
      </c>
      <c r="B3090" s="2" t="s">
        <v>10</v>
      </c>
      <c r="C3090" s="2" t="s">
        <v>11</v>
      </c>
      <c r="D3090" s="2" t="s">
        <v>21</v>
      </c>
      <c r="E3090" s="2" t="s">
        <v>13</v>
      </c>
      <c r="F3090">
        <v>571</v>
      </c>
      <c r="G3090">
        <v>118</v>
      </c>
      <c r="H3090">
        <v>67378</v>
      </c>
      <c r="I3090">
        <v>7880.6592000000001</v>
      </c>
      <c r="J3090" s="2" t="s">
        <v>43</v>
      </c>
    </row>
    <row r="3091" spans="1:10" x14ac:dyDescent="0.35">
      <c r="A3091" s="1">
        <v>45895</v>
      </c>
      <c r="B3091" s="2" t="s">
        <v>34</v>
      </c>
      <c r="C3091" s="2" t="s">
        <v>29</v>
      </c>
      <c r="D3091" s="2" t="s">
        <v>12</v>
      </c>
      <c r="E3091" s="2" t="s">
        <v>35</v>
      </c>
      <c r="F3091">
        <v>261</v>
      </c>
      <c r="G3091">
        <v>103</v>
      </c>
      <c r="H3091">
        <v>26883</v>
      </c>
      <c r="I3091">
        <v>2367.1752000000001</v>
      </c>
      <c r="J3091" s="2" t="s">
        <v>43</v>
      </c>
    </row>
    <row r="3092" spans="1:10" x14ac:dyDescent="0.35">
      <c r="A3092" s="1">
        <v>45895</v>
      </c>
      <c r="B3092" s="2" t="s">
        <v>36</v>
      </c>
      <c r="C3092" s="2" t="s">
        <v>23</v>
      </c>
      <c r="D3092" s="2" t="s">
        <v>30</v>
      </c>
      <c r="E3092" s="2" t="s">
        <v>22</v>
      </c>
      <c r="F3092">
        <v>467</v>
      </c>
      <c r="G3092">
        <v>313</v>
      </c>
      <c r="H3092">
        <v>146171</v>
      </c>
      <c r="I3092">
        <v>23396.519799999998</v>
      </c>
      <c r="J3092" s="2" t="s">
        <v>43</v>
      </c>
    </row>
    <row r="3093" spans="1:10" x14ac:dyDescent="0.35">
      <c r="A3093" s="1">
        <v>45895</v>
      </c>
      <c r="B3093" s="2" t="s">
        <v>34</v>
      </c>
      <c r="C3093" s="2" t="s">
        <v>16</v>
      </c>
      <c r="D3093" s="2" t="s">
        <v>12</v>
      </c>
      <c r="E3093" s="2" t="s">
        <v>22</v>
      </c>
      <c r="F3093">
        <v>225</v>
      </c>
      <c r="G3093">
        <v>336</v>
      </c>
      <c r="H3093">
        <v>75600</v>
      </c>
      <c r="I3093">
        <v>12438.75</v>
      </c>
      <c r="J3093" s="2" t="s">
        <v>43</v>
      </c>
    </row>
    <row r="3094" spans="1:10" x14ac:dyDescent="0.35">
      <c r="A3094" s="1">
        <v>45895</v>
      </c>
      <c r="B3094" s="2" t="s">
        <v>26</v>
      </c>
      <c r="C3094" s="2" t="s">
        <v>27</v>
      </c>
      <c r="D3094" s="2" t="s">
        <v>12</v>
      </c>
      <c r="E3094" s="2" t="s">
        <v>24</v>
      </c>
      <c r="F3094">
        <v>597</v>
      </c>
      <c r="G3094">
        <v>137</v>
      </c>
      <c r="H3094">
        <v>81789</v>
      </c>
      <c r="I3094">
        <v>16638.641199999998</v>
      </c>
      <c r="J3094" s="2" t="s">
        <v>43</v>
      </c>
    </row>
    <row r="3095" spans="1:10" x14ac:dyDescent="0.35">
      <c r="A3095" s="1">
        <v>45896</v>
      </c>
      <c r="B3095" s="2" t="s">
        <v>10</v>
      </c>
      <c r="C3095" s="2" t="s">
        <v>29</v>
      </c>
      <c r="D3095" s="2" t="s">
        <v>17</v>
      </c>
      <c r="E3095" s="2" t="s">
        <v>33</v>
      </c>
      <c r="F3095">
        <v>85</v>
      </c>
      <c r="G3095">
        <v>103</v>
      </c>
      <c r="H3095">
        <v>8755</v>
      </c>
      <c r="I3095">
        <v>1175.6574000000001</v>
      </c>
      <c r="J3095" s="2" t="s">
        <v>43</v>
      </c>
    </row>
    <row r="3096" spans="1:10" x14ac:dyDescent="0.35">
      <c r="A3096" s="1">
        <v>45897</v>
      </c>
      <c r="B3096" s="2" t="s">
        <v>36</v>
      </c>
      <c r="C3096" s="2" t="s">
        <v>11</v>
      </c>
      <c r="D3096" s="2" t="s">
        <v>12</v>
      </c>
      <c r="E3096" s="2" t="s">
        <v>13</v>
      </c>
      <c r="F3096">
        <v>831</v>
      </c>
      <c r="G3096">
        <v>265</v>
      </c>
      <c r="H3096">
        <v>220215</v>
      </c>
      <c r="I3096">
        <v>24850.109400000001</v>
      </c>
      <c r="J3096" s="2" t="s">
        <v>43</v>
      </c>
    </row>
    <row r="3097" spans="1:10" x14ac:dyDescent="0.35">
      <c r="A3097" s="1">
        <v>45897</v>
      </c>
      <c r="B3097" s="2" t="s">
        <v>34</v>
      </c>
      <c r="C3097" s="2" t="s">
        <v>23</v>
      </c>
      <c r="D3097" s="2" t="s">
        <v>17</v>
      </c>
      <c r="E3097" s="2" t="s">
        <v>33</v>
      </c>
      <c r="F3097">
        <v>470</v>
      </c>
      <c r="G3097">
        <v>498</v>
      </c>
      <c r="H3097">
        <v>234060</v>
      </c>
      <c r="I3097">
        <v>35677.666400000002</v>
      </c>
      <c r="J3097" s="2" t="s">
        <v>43</v>
      </c>
    </row>
    <row r="3098" spans="1:10" x14ac:dyDescent="0.35">
      <c r="A3098" s="1">
        <v>45897</v>
      </c>
      <c r="B3098" s="2" t="s">
        <v>15</v>
      </c>
      <c r="C3098" s="2" t="s">
        <v>11</v>
      </c>
      <c r="D3098" s="2" t="s">
        <v>21</v>
      </c>
      <c r="E3098" s="2" t="s">
        <v>13</v>
      </c>
      <c r="F3098">
        <v>337</v>
      </c>
      <c r="G3098">
        <v>389</v>
      </c>
      <c r="H3098">
        <v>131093</v>
      </c>
      <c r="I3098">
        <v>10707.697099999999</v>
      </c>
      <c r="J3098" s="2" t="s">
        <v>43</v>
      </c>
    </row>
    <row r="3099" spans="1:10" x14ac:dyDescent="0.35">
      <c r="A3099" s="1">
        <v>45897</v>
      </c>
      <c r="B3099" s="2" t="s">
        <v>19</v>
      </c>
      <c r="C3099" s="2" t="s">
        <v>16</v>
      </c>
      <c r="D3099" s="2" t="s">
        <v>17</v>
      </c>
      <c r="E3099" s="2" t="s">
        <v>33</v>
      </c>
      <c r="F3099">
        <v>395</v>
      </c>
      <c r="G3099">
        <v>452</v>
      </c>
      <c r="H3099">
        <v>178540</v>
      </c>
      <c r="I3099">
        <v>30424.935600000001</v>
      </c>
      <c r="J3099" s="2" t="s">
        <v>43</v>
      </c>
    </row>
    <row r="3100" spans="1:10" x14ac:dyDescent="0.35">
      <c r="A3100" s="1">
        <v>45898</v>
      </c>
      <c r="B3100" s="2" t="s">
        <v>36</v>
      </c>
      <c r="C3100" s="2" t="s">
        <v>23</v>
      </c>
      <c r="D3100" s="2" t="s">
        <v>17</v>
      </c>
      <c r="E3100" s="2" t="s">
        <v>33</v>
      </c>
      <c r="F3100">
        <v>221</v>
      </c>
      <c r="G3100">
        <v>230</v>
      </c>
      <c r="H3100">
        <v>50830</v>
      </c>
      <c r="I3100">
        <v>7218.1463999999996</v>
      </c>
      <c r="J3100" s="2" t="s">
        <v>43</v>
      </c>
    </row>
    <row r="3101" spans="1:10" x14ac:dyDescent="0.35">
      <c r="A3101" s="1">
        <v>45898</v>
      </c>
      <c r="B3101" s="2" t="s">
        <v>26</v>
      </c>
      <c r="C3101" s="2" t="s">
        <v>16</v>
      </c>
      <c r="D3101" s="2" t="s">
        <v>30</v>
      </c>
      <c r="E3101" s="2" t="s">
        <v>13</v>
      </c>
      <c r="F3101">
        <v>234</v>
      </c>
      <c r="G3101">
        <v>242</v>
      </c>
      <c r="H3101">
        <v>56628</v>
      </c>
      <c r="I3101">
        <v>6574.2079999999996</v>
      </c>
      <c r="J3101" s="2" t="s">
        <v>43</v>
      </c>
    </row>
    <row r="3102" spans="1:10" x14ac:dyDescent="0.35">
      <c r="A3102" s="1">
        <v>45898</v>
      </c>
      <c r="B3102" s="2" t="s">
        <v>34</v>
      </c>
      <c r="C3102" s="2" t="s">
        <v>20</v>
      </c>
      <c r="D3102" s="2" t="s">
        <v>12</v>
      </c>
      <c r="E3102" s="2" t="s">
        <v>22</v>
      </c>
      <c r="F3102">
        <v>733</v>
      </c>
      <c r="G3102">
        <v>408</v>
      </c>
      <c r="H3102">
        <v>299064</v>
      </c>
      <c r="I3102">
        <v>73459.375599999999</v>
      </c>
      <c r="J3102" s="2" t="s">
        <v>43</v>
      </c>
    </row>
    <row r="3103" spans="1:10" x14ac:dyDescent="0.35">
      <c r="A3103" s="1">
        <v>45899</v>
      </c>
      <c r="B3103" s="2" t="s">
        <v>15</v>
      </c>
      <c r="C3103" s="2" t="s">
        <v>16</v>
      </c>
      <c r="D3103" s="2" t="s">
        <v>17</v>
      </c>
      <c r="E3103" s="2" t="s">
        <v>35</v>
      </c>
      <c r="F3103">
        <v>203</v>
      </c>
      <c r="G3103">
        <v>496</v>
      </c>
      <c r="H3103">
        <v>100688</v>
      </c>
      <c r="I3103">
        <v>8160.8733000000002</v>
      </c>
      <c r="J3103" s="2" t="s">
        <v>43</v>
      </c>
    </row>
    <row r="3104" spans="1:10" x14ac:dyDescent="0.35">
      <c r="A3104" s="1">
        <v>45899</v>
      </c>
      <c r="B3104" s="2" t="s">
        <v>25</v>
      </c>
      <c r="C3104" s="2" t="s">
        <v>16</v>
      </c>
      <c r="D3104" s="2" t="s">
        <v>12</v>
      </c>
      <c r="E3104" s="2" t="s">
        <v>24</v>
      </c>
      <c r="F3104">
        <v>910</v>
      </c>
      <c r="G3104">
        <v>198</v>
      </c>
      <c r="H3104">
        <v>180180</v>
      </c>
      <c r="I3104">
        <v>41583.322399999997</v>
      </c>
      <c r="J3104" s="2" t="s">
        <v>43</v>
      </c>
    </row>
    <row r="3105" spans="1:10" x14ac:dyDescent="0.35">
      <c r="A3105" s="1">
        <v>45899</v>
      </c>
      <c r="B3105" s="2" t="s">
        <v>34</v>
      </c>
      <c r="C3105" s="2" t="s">
        <v>27</v>
      </c>
      <c r="D3105" s="2" t="s">
        <v>21</v>
      </c>
      <c r="E3105" s="2" t="s">
        <v>18</v>
      </c>
      <c r="F3105">
        <v>60</v>
      </c>
      <c r="G3105">
        <v>196</v>
      </c>
      <c r="H3105">
        <v>11760</v>
      </c>
      <c r="I3105">
        <v>1747.7481</v>
      </c>
      <c r="J3105" s="2" t="s">
        <v>43</v>
      </c>
    </row>
    <row r="3106" spans="1:10" x14ac:dyDescent="0.35">
      <c r="A3106" s="1">
        <v>45899</v>
      </c>
      <c r="B3106" s="2" t="s">
        <v>36</v>
      </c>
      <c r="C3106" s="2" t="s">
        <v>20</v>
      </c>
      <c r="D3106" s="2" t="s">
        <v>21</v>
      </c>
      <c r="E3106" s="2" t="s">
        <v>33</v>
      </c>
      <c r="F3106">
        <v>80</v>
      </c>
      <c r="G3106">
        <v>125</v>
      </c>
      <c r="H3106">
        <v>10000</v>
      </c>
      <c r="I3106">
        <v>1750.0148999999999</v>
      </c>
      <c r="J3106" s="2" t="s">
        <v>43</v>
      </c>
    </row>
    <row r="3107" spans="1:10" x14ac:dyDescent="0.35">
      <c r="A3107" s="1">
        <v>45899</v>
      </c>
      <c r="B3107" s="2" t="s">
        <v>10</v>
      </c>
      <c r="C3107" s="2" t="s">
        <v>27</v>
      </c>
      <c r="D3107" s="2" t="s">
        <v>30</v>
      </c>
      <c r="E3107" s="2" t="s">
        <v>33</v>
      </c>
      <c r="F3107">
        <v>577</v>
      </c>
      <c r="G3107">
        <v>118</v>
      </c>
      <c r="H3107">
        <v>68086</v>
      </c>
      <c r="I3107">
        <v>8556.6916000000001</v>
      </c>
      <c r="J3107" s="2" t="s">
        <v>43</v>
      </c>
    </row>
    <row r="3108" spans="1:10" x14ac:dyDescent="0.35">
      <c r="A3108" s="1">
        <v>45900</v>
      </c>
      <c r="B3108" s="2" t="s">
        <v>36</v>
      </c>
      <c r="C3108" s="2" t="s">
        <v>11</v>
      </c>
      <c r="D3108" s="2" t="s">
        <v>30</v>
      </c>
      <c r="E3108" s="2" t="s">
        <v>13</v>
      </c>
      <c r="F3108">
        <v>835</v>
      </c>
      <c r="G3108">
        <v>266</v>
      </c>
      <c r="H3108">
        <v>222110</v>
      </c>
      <c r="I3108">
        <v>49078.154699999999</v>
      </c>
      <c r="J3108" s="2" t="s">
        <v>43</v>
      </c>
    </row>
    <row r="3109" spans="1:10" x14ac:dyDescent="0.35">
      <c r="A3109" s="1">
        <v>45900</v>
      </c>
      <c r="B3109" s="2" t="s">
        <v>19</v>
      </c>
      <c r="C3109" s="2" t="s">
        <v>23</v>
      </c>
      <c r="D3109" s="2" t="s">
        <v>12</v>
      </c>
      <c r="E3109" s="2" t="s">
        <v>18</v>
      </c>
      <c r="F3109">
        <v>448</v>
      </c>
      <c r="G3109">
        <v>496</v>
      </c>
      <c r="H3109">
        <v>222208</v>
      </c>
      <c r="I3109">
        <v>54730.323700000001</v>
      </c>
      <c r="J3109" s="2" t="s">
        <v>43</v>
      </c>
    </row>
    <row r="3110" spans="1:10" x14ac:dyDescent="0.35">
      <c r="A3110" s="1">
        <v>45900</v>
      </c>
      <c r="B3110" s="2" t="s">
        <v>10</v>
      </c>
      <c r="C3110" s="2" t="s">
        <v>20</v>
      </c>
      <c r="D3110" s="2" t="s">
        <v>30</v>
      </c>
      <c r="E3110" s="2" t="s">
        <v>22</v>
      </c>
      <c r="F3110">
        <v>602</v>
      </c>
      <c r="G3110">
        <v>119</v>
      </c>
      <c r="H3110">
        <v>71638</v>
      </c>
      <c r="I3110">
        <v>12946.0401</v>
      </c>
      <c r="J3110" s="2" t="s">
        <v>43</v>
      </c>
    </row>
    <row r="3111" spans="1:10" x14ac:dyDescent="0.35">
      <c r="A3111" s="1">
        <v>45900</v>
      </c>
      <c r="B3111" s="2" t="s">
        <v>25</v>
      </c>
      <c r="C3111" s="2" t="s">
        <v>16</v>
      </c>
      <c r="D3111" s="2" t="s">
        <v>12</v>
      </c>
      <c r="E3111" s="2" t="s">
        <v>13</v>
      </c>
      <c r="F3111">
        <v>133</v>
      </c>
      <c r="G3111">
        <v>232</v>
      </c>
      <c r="H3111">
        <v>30856</v>
      </c>
      <c r="I3111">
        <v>6260.0483000000004</v>
      </c>
      <c r="J3111" s="2" t="s">
        <v>43</v>
      </c>
    </row>
    <row r="3112" spans="1:10" x14ac:dyDescent="0.35">
      <c r="A3112" s="1">
        <v>45900</v>
      </c>
      <c r="B3112" s="2" t="s">
        <v>36</v>
      </c>
      <c r="C3112" s="2" t="s">
        <v>27</v>
      </c>
      <c r="D3112" s="2" t="s">
        <v>12</v>
      </c>
      <c r="E3112" s="2" t="s">
        <v>22</v>
      </c>
      <c r="F3112">
        <v>210</v>
      </c>
      <c r="G3112">
        <v>484</v>
      </c>
      <c r="H3112">
        <v>101640</v>
      </c>
      <c r="I3112">
        <v>15661.766</v>
      </c>
      <c r="J3112" s="2" t="s">
        <v>43</v>
      </c>
    </row>
    <row r="3113" spans="1:10" x14ac:dyDescent="0.35">
      <c r="A3113" s="1">
        <v>45900</v>
      </c>
      <c r="B3113" s="2" t="s">
        <v>31</v>
      </c>
      <c r="C3113" s="2" t="s">
        <v>27</v>
      </c>
      <c r="D3113" s="2" t="s">
        <v>30</v>
      </c>
      <c r="E3113" s="2" t="s">
        <v>22</v>
      </c>
      <c r="F3113">
        <v>258</v>
      </c>
      <c r="G3113">
        <v>395</v>
      </c>
      <c r="H3113">
        <v>101910</v>
      </c>
      <c r="I3113">
        <v>19824.701000000001</v>
      </c>
      <c r="J3113" s="2" t="s">
        <v>43</v>
      </c>
    </row>
    <row r="3114" spans="1:10" x14ac:dyDescent="0.35">
      <c r="A3114" s="1">
        <v>45901</v>
      </c>
      <c r="B3114" s="2" t="s">
        <v>26</v>
      </c>
      <c r="C3114" s="2" t="s">
        <v>16</v>
      </c>
      <c r="D3114" s="2" t="s">
        <v>17</v>
      </c>
      <c r="E3114" s="2" t="s">
        <v>18</v>
      </c>
      <c r="F3114">
        <v>774</v>
      </c>
      <c r="G3114">
        <v>296</v>
      </c>
      <c r="H3114">
        <v>229104</v>
      </c>
      <c r="I3114">
        <v>38659.065399999999</v>
      </c>
      <c r="J3114" s="2" t="s">
        <v>44</v>
      </c>
    </row>
    <row r="3115" spans="1:10" x14ac:dyDescent="0.35">
      <c r="A3115" s="1">
        <v>45901</v>
      </c>
      <c r="B3115" s="2" t="s">
        <v>26</v>
      </c>
      <c r="C3115" s="2" t="s">
        <v>20</v>
      </c>
      <c r="D3115" s="2" t="s">
        <v>17</v>
      </c>
      <c r="E3115" s="2" t="s">
        <v>24</v>
      </c>
      <c r="F3115">
        <v>936</v>
      </c>
      <c r="G3115">
        <v>400</v>
      </c>
      <c r="H3115">
        <v>374400</v>
      </c>
      <c r="I3115">
        <v>79270.624500000005</v>
      </c>
      <c r="J3115" s="2" t="s">
        <v>44</v>
      </c>
    </row>
    <row r="3116" spans="1:10" x14ac:dyDescent="0.35">
      <c r="A3116" s="1">
        <v>45902</v>
      </c>
      <c r="B3116" s="2" t="s">
        <v>26</v>
      </c>
      <c r="C3116" s="2" t="s">
        <v>20</v>
      </c>
      <c r="D3116" s="2" t="s">
        <v>30</v>
      </c>
      <c r="E3116" s="2" t="s">
        <v>32</v>
      </c>
      <c r="F3116">
        <v>786</v>
      </c>
      <c r="G3116">
        <v>116</v>
      </c>
      <c r="H3116">
        <v>91176</v>
      </c>
      <c r="I3116">
        <v>11500.990900000001</v>
      </c>
      <c r="J3116" s="2" t="s">
        <v>44</v>
      </c>
    </row>
    <row r="3117" spans="1:10" x14ac:dyDescent="0.35">
      <c r="A3117" s="1">
        <v>45902</v>
      </c>
      <c r="B3117" s="2" t="s">
        <v>31</v>
      </c>
      <c r="C3117" s="2" t="s">
        <v>11</v>
      </c>
      <c r="D3117" s="2" t="s">
        <v>30</v>
      </c>
      <c r="E3117" s="2" t="s">
        <v>35</v>
      </c>
      <c r="F3117">
        <v>600</v>
      </c>
      <c r="G3117">
        <v>190</v>
      </c>
      <c r="H3117">
        <v>114000</v>
      </c>
      <c r="I3117">
        <v>21149.376499999998</v>
      </c>
      <c r="J3117" s="2" t="s">
        <v>44</v>
      </c>
    </row>
    <row r="3118" spans="1:10" x14ac:dyDescent="0.35">
      <c r="A3118" s="1">
        <v>45903</v>
      </c>
      <c r="B3118" s="2" t="s">
        <v>31</v>
      </c>
      <c r="C3118" s="2" t="s">
        <v>23</v>
      </c>
      <c r="D3118" s="2" t="s">
        <v>12</v>
      </c>
      <c r="E3118" s="2" t="s">
        <v>32</v>
      </c>
      <c r="F3118">
        <v>989</v>
      </c>
      <c r="G3118">
        <v>166</v>
      </c>
      <c r="H3118">
        <v>164174</v>
      </c>
      <c r="I3118">
        <v>23708.3681</v>
      </c>
      <c r="J3118" s="2" t="s">
        <v>44</v>
      </c>
    </row>
    <row r="3119" spans="1:10" x14ac:dyDescent="0.35">
      <c r="A3119" s="1">
        <v>45903</v>
      </c>
      <c r="B3119" s="2" t="s">
        <v>25</v>
      </c>
      <c r="C3119" s="2" t="s">
        <v>23</v>
      </c>
      <c r="D3119" s="2" t="s">
        <v>12</v>
      </c>
      <c r="E3119" s="2" t="s">
        <v>18</v>
      </c>
      <c r="F3119">
        <v>702</v>
      </c>
      <c r="G3119">
        <v>466</v>
      </c>
      <c r="H3119">
        <v>327132</v>
      </c>
      <c r="I3119">
        <v>50293.628199999999</v>
      </c>
      <c r="J3119" s="2" t="s">
        <v>44</v>
      </c>
    </row>
    <row r="3120" spans="1:10" x14ac:dyDescent="0.35">
      <c r="A3120" s="1">
        <v>45903</v>
      </c>
      <c r="B3120" s="2" t="s">
        <v>25</v>
      </c>
      <c r="C3120" s="2" t="s">
        <v>27</v>
      </c>
      <c r="D3120" s="2" t="s">
        <v>17</v>
      </c>
      <c r="E3120" s="2" t="s">
        <v>22</v>
      </c>
      <c r="F3120">
        <v>322</v>
      </c>
      <c r="G3120">
        <v>269</v>
      </c>
      <c r="H3120">
        <v>86618</v>
      </c>
      <c r="I3120">
        <v>11802.7269</v>
      </c>
      <c r="J3120" s="2" t="s">
        <v>44</v>
      </c>
    </row>
    <row r="3121" spans="1:10" x14ac:dyDescent="0.35">
      <c r="A3121" s="1">
        <v>45904</v>
      </c>
      <c r="B3121" s="2" t="s">
        <v>31</v>
      </c>
      <c r="C3121" s="2" t="s">
        <v>29</v>
      </c>
      <c r="D3121" s="2" t="s">
        <v>21</v>
      </c>
      <c r="E3121" s="2" t="s">
        <v>13</v>
      </c>
      <c r="F3121">
        <v>313</v>
      </c>
      <c r="G3121">
        <v>459</v>
      </c>
      <c r="H3121">
        <v>143667</v>
      </c>
      <c r="I3121">
        <v>13335.6913</v>
      </c>
      <c r="J3121" s="2" t="s">
        <v>44</v>
      </c>
    </row>
    <row r="3122" spans="1:10" x14ac:dyDescent="0.35">
      <c r="A3122" s="1">
        <v>45904</v>
      </c>
      <c r="B3122" s="2" t="s">
        <v>25</v>
      </c>
      <c r="C3122" s="2" t="s">
        <v>11</v>
      </c>
      <c r="D3122" s="2" t="s">
        <v>21</v>
      </c>
      <c r="E3122" s="2" t="s">
        <v>32</v>
      </c>
      <c r="F3122">
        <v>704</v>
      </c>
      <c r="G3122">
        <v>429</v>
      </c>
      <c r="H3122">
        <v>302016</v>
      </c>
      <c r="I3122">
        <v>68071.133100000006</v>
      </c>
      <c r="J3122" s="2" t="s">
        <v>44</v>
      </c>
    </row>
    <row r="3123" spans="1:10" x14ac:dyDescent="0.35">
      <c r="A3123" s="1">
        <v>45904</v>
      </c>
      <c r="B3123" s="2" t="s">
        <v>10</v>
      </c>
      <c r="C3123" s="2" t="s">
        <v>27</v>
      </c>
      <c r="D3123" s="2" t="s">
        <v>17</v>
      </c>
      <c r="E3123" s="2" t="s">
        <v>33</v>
      </c>
      <c r="F3123">
        <v>914</v>
      </c>
      <c r="G3123">
        <v>159</v>
      </c>
      <c r="H3123">
        <v>145326</v>
      </c>
      <c r="I3123">
        <v>19978.723600000001</v>
      </c>
      <c r="J3123" s="2" t="s">
        <v>44</v>
      </c>
    </row>
    <row r="3124" spans="1:10" x14ac:dyDescent="0.35">
      <c r="A3124" s="1">
        <v>45905</v>
      </c>
      <c r="B3124" s="2" t="s">
        <v>34</v>
      </c>
      <c r="C3124" s="2" t="s">
        <v>20</v>
      </c>
      <c r="D3124" s="2" t="s">
        <v>17</v>
      </c>
      <c r="E3124" s="2" t="s">
        <v>35</v>
      </c>
      <c r="F3124">
        <v>311</v>
      </c>
      <c r="G3124">
        <v>166</v>
      </c>
      <c r="H3124">
        <v>51626</v>
      </c>
      <c r="I3124">
        <v>5666.6376</v>
      </c>
      <c r="J3124" s="2" t="s">
        <v>44</v>
      </c>
    </row>
    <row r="3125" spans="1:10" x14ac:dyDescent="0.35">
      <c r="A3125" s="1">
        <v>45906</v>
      </c>
      <c r="B3125" s="2" t="s">
        <v>34</v>
      </c>
      <c r="C3125" s="2" t="s">
        <v>20</v>
      </c>
      <c r="D3125" s="2" t="s">
        <v>17</v>
      </c>
      <c r="E3125" s="2" t="s">
        <v>35</v>
      </c>
      <c r="F3125">
        <v>246</v>
      </c>
      <c r="G3125">
        <v>241</v>
      </c>
      <c r="H3125">
        <v>59286</v>
      </c>
      <c r="I3125">
        <v>12215.6906</v>
      </c>
      <c r="J3125" s="2" t="s">
        <v>44</v>
      </c>
    </row>
    <row r="3126" spans="1:10" x14ac:dyDescent="0.35">
      <c r="A3126" s="1">
        <v>45906</v>
      </c>
      <c r="B3126" s="2" t="s">
        <v>26</v>
      </c>
      <c r="C3126" s="2" t="s">
        <v>29</v>
      </c>
      <c r="D3126" s="2" t="s">
        <v>30</v>
      </c>
      <c r="E3126" s="2" t="s">
        <v>18</v>
      </c>
      <c r="F3126">
        <v>801</v>
      </c>
      <c r="G3126">
        <v>496</v>
      </c>
      <c r="H3126">
        <v>397296</v>
      </c>
      <c r="I3126">
        <v>37702.631200000003</v>
      </c>
      <c r="J3126" s="2" t="s">
        <v>44</v>
      </c>
    </row>
    <row r="3127" spans="1:10" x14ac:dyDescent="0.35">
      <c r="A3127" s="1">
        <v>45906</v>
      </c>
      <c r="B3127" s="2" t="s">
        <v>25</v>
      </c>
      <c r="C3127" s="2" t="s">
        <v>11</v>
      </c>
      <c r="D3127" s="2" t="s">
        <v>12</v>
      </c>
      <c r="E3127" s="2" t="s">
        <v>33</v>
      </c>
      <c r="F3127">
        <v>980</v>
      </c>
      <c r="G3127">
        <v>267</v>
      </c>
      <c r="H3127">
        <v>261660</v>
      </c>
      <c r="I3127">
        <v>35178.301500000001</v>
      </c>
      <c r="J3127" s="2" t="s">
        <v>44</v>
      </c>
    </row>
    <row r="3128" spans="1:10" x14ac:dyDescent="0.35">
      <c r="A3128" s="1">
        <v>45906</v>
      </c>
      <c r="B3128" s="2" t="s">
        <v>26</v>
      </c>
      <c r="C3128" s="2" t="s">
        <v>16</v>
      </c>
      <c r="D3128" s="2" t="s">
        <v>12</v>
      </c>
      <c r="E3128" s="2" t="s">
        <v>18</v>
      </c>
      <c r="F3128">
        <v>824</v>
      </c>
      <c r="G3128">
        <v>496</v>
      </c>
      <c r="H3128">
        <v>408704</v>
      </c>
      <c r="I3128">
        <v>89858.379300000001</v>
      </c>
      <c r="J3128" s="2" t="s">
        <v>44</v>
      </c>
    </row>
    <row r="3129" spans="1:10" x14ac:dyDescent="0.35">
      <c r="A3129" s="1">
        <v>45907</v>
      </c>
      <c r="B3129" s="2" t="s">
        <v>31</v>
      </c>
      <c r="C3129" s="2" t="s">
        <v>23</v>
      </c>
      <c r="D3129" s="2" t="s">
        <v>30</v>
      </c>
      <c r="E3129" s="2" t="s">
        <v>22</v>
      </c>
      <c r="F3129">
        <v>589</v>
      </c>
      <c r="G3129">
        <v>382</v>
      </c>
      <c r="H3129">
        <v>224998</v>
      </c>
      <c r="I3129">
        <v>23508.5697</v>
      </c>
      <c r="J3129" s="2" t="s">
        <v>44</v>
      </c>
    </row>
    <row r="3130" spans="1:10" x14ac:dyDescent="0.35">
      <c r="A3130" s="1">
        <v>45907</v>
      </c>
      <c r="B3130" s="2" t="s">
        <v>25</v>
      </c>
      <c r="C3130" s="2" t="s">
        <v>20</v>
      </c>
      <c r="D3130" s="2" t="s">
        <v>30</v>
      </c>
      <c r="E3130" s="2" t="s">
        <v>28</v>
      </c>
      <c r="F3130">
        <v>311</v>
      </c>
      <c r="G3130">
        <v>487</v>
      </c>
      <c r="H3130">
        <v>151457</v>
      </c>
      <c r="I3130">
        <v>13080.347</v>
      </c>
      <c r="J3130" s="2" t="s">
        <v>44</v>
      </c>
    </row>
    <row r="3131" spans="1:10" x14ac:dyDescent="0.35">
      <c r="A3131" s="1">
        <v>45907</v>
      </c>
      <c r="B3131" s="2" t="s">
        <v>31</v>
      </c>
      <c r="C3131" s="2" t="s">
        <v>11</v>
      </c>
      <c r="D3131" s="2" t="s">
        <v>17</v>
      </c>
      <c r="E3131" s="2" t="s">
        <v>18</v>
      </c>
      <c r="F3131">
        <v>827</v>
      </c>
      <c r="G3131">
        <v>439</v>
      </c>
      <c r="H3131">
        <v>363053</v>
      </c>
      <c r="I3131">
        <v>36967.257299999997</v>
      </c>
      <c r="J3131" s="2" t="s">
        <v>44</v>
      </c>
    </row>
    <row r="3132" spans="1:10" x14ac:dyDescent="0.35">
      <c r="A3132" s="1">
        <v>45907</v>
      </c>
      <c r="B3132" s="2" t="s">
        <v>31</v>
      </c>
      <c r="C3132" s="2" t="s">
        <v>11</v>
      </c>
      <c r="D3132" s="2" t="s">
        <v>21</v>
      </c>
      <c r="E3132" s="2" t="s">
        <v>24</v>
      </c>
      <c r="F3132">
        <v>268</v>
      </c>
      <c r="G3132">
        <v>212</v>
      </c>
      <c r="H3132">
        <v>56816</v>
      </c>
      <c r="I3132">
        <v>5044.6647999999996</v>
      </c>
      <c r="J3132" s="2" t="s">
        <v>44</v>
      </c>
    </row>
    <row r="3133" spans="1:10" x14ac:dyDescent="0.35">
      <c r="A3133" s="1">
        <v>45908</v>
      </c>
      <c r="B3133" s="2" t="s">
        <v>19</v>
      </c>
      <c r="C3133" s="2" t="s">
        <v>23</v>
      </c>
      <c r="D3133" s="2" t="s">
        <v>30</v>
      </c>
      <c r="E3133" s="2" t="s">
        <v>13</v>
      </c>
      <c r="F3133">
        <v>896</v>
      </c>
      <c r="G3133">
        <v>134</v>
      </c>
      <c r="H3133">
        <v>120064</v>
      </c>
      <c r="I3133">
        <v>21045.1741</v>
      </c>
      <c r="J3133" s="2" t="s">
        <v>44</v>
      </c>
    </row>
    <row r="3134" spans="1:10" x14ac:dyDescent="0.35">
      <c r="A3134" s="1">
        <v>45908</v>
      </c>
      <c r="B3134" s="2" t="s">
        <v>15</v>
      </c>
      <c r="C3134" s="2" t="s">
        <v>29</v>
      </c>
      <c r="D3134" s="2" t="s">
        <v>30</v>
      </c>
      <c r="E3134" s="2" t="s">
        <v>22</v>
      </c>
      <c r="F3134">
        <v>682</v>
      </c>
      <c r="G3134">
        <v>286</v>
      </c>
      <c r="H3134">
        <v>195052</v>
      </c>
      <c r="I3134">
        <v>27807.899700000002</v>
      </c>
      <c r="J3134" s="2" t="s">
        <v>44</v>
      </c>
    </row>
    <row r="3135" spans="1:10" x14ac:dyDescent="0.35">
      <c r="A3135" s="1">
        <v>45908</v>
      </c>
      <c r="B3135" s="2" t="s">
        <v>10</v>
      </c>
      <c r="C3135" s="2" t="s">
        <v>23</v>
      </c>
      <c r="D3135" s="2" t="s">
        <v>30</v>
      </c>
      <c r="E3135" s="2" t="s">
        <v>33</v>
      </c>
      <c r="F3135">
        <v>116</v>
      </c>
      <c r="G3135">
        <v>202</v>
      </c>
      <c r="H3135">
        <v>23432</v>
      </c>
      <c r="I3135">
        <v>3986.6675</v>
      </c>
      <c r="J3135" s="2" t="s">
        <v>44</v>
      </c>
    </row>
    <row r="3136" spans="1:10" x14ac:dyDescent="0.35">
      <c r="A3136" s="1">
        <v>45908</v>
      </c>
      <c r="B3136" s="2" t="s">
        <v>34</v>
      </c>
      <c r="C3136" s="2" t="s">
        <v>23</v>
      </c>
      <c r="D3136" s="2" t="s">
        <v>17</v>
      </c>
      <c r="E3136" s="2" t="s">
        <v>22</v>
      </c>
      <c r="F3136">
        <v>292</v>
      </c>
      <c r="G3136">
        <v>486</v>
      </c>
      <c r="H3136">
        <v>141912</v>
      </c>
      <c r="I3136">
        <v>22821.047600000002</v>
      </c>
      <c r="J3136" s="2" t="s">
        <v>44</v>
      </c>
    </row>
    <row r="3137" spans="1:10" x14ac:dyDescent="0.35">
      <c r="A3137" s="1">
        <v>45909</v>
      </c>
      <c r="B3137" s="2" t="s">
        <v>15</v>
      </c>
      <c r="C3137" s="2" t="s">
        <v>23</v>
      </c>
      <c r="D3137" s="2" t="s">
        <v>12</v>
      </c>
      <c r="E3137" s="2" t="s">
        <v>33</v>
      </c>
      <c r="F3137">
        <v>165</v>
      </c>
      <c r="G3137">
        <v>247</v>
      </c>
      <c r="H3137">
        <v>40755</v>
      </c>
      <c r="I3137">
        <v>9141.1044000000002</v>
      </c>
      <c r="J3137" s="2" t="s">
        <v>44</v>
      </c>
    </row>
    <row r="3138" spans="1:10" x14ac:dyDescent="0.35">
      <c r="A3138" s="1">
        <v>45909</v>
      </c>
      <c r="B3138" s="2" t="s">
        <v>15</v>
      </c>
      <c r="C3138" s="2" t="s">
        <v>20</v>
      </c>
      <c r="D3138" s="2" t="s">
        <v>21</v>
      </c>
      <c r="E3138" s="2" t="s">
        <v>18</v>
      </c>
      <c r="F3138">
        <v>59</v>
      </c>
      <c r="G3138">
        <v>355</v>
      </c>
      <c r="H3138">
        <v>20945</v>
      </c>
      <c r="I3138">
        <v>1703.403</v>
      </c>
      <c r="J3138" s="2" t="s">
        <v>44</v>
      </c>
    </row>
    <row r="3139" spans="1:10" x14ac:dyDescent="0.35">
      <c r="A3139" s="1">
        <v>45909</v>
      </c>
      <c r="B3139" s="2" t="s">
        <v>25</v>
      </c>
      <c r="C3139" s="2" t="s">
        <v>20</v>
      </c>
      <c r="D3139" s="2" t="s">
        <v>21</v>
      </c>
      <c r="E3139" s="2" t="s">
        <v>35</v>
      </c>
      <c r="F3139">
        <v>827</v>
      </c>
      <c r="G3139">
        <v>185</v>
      </c>
      <c r="H3139">
        <v>152995</v>
      </c>
      <c r="I3139">
        <v>23657.876700000001</v>
      </c>
      <c r="J3139" s="2" t="s">
        <v>44</v>
      </c>
    </row>
    <row r="3140" spans="1:10" x14ac:dyDescent="0.35">
      <c r="A3140" s="1">
        <v>45909</v>
      </c>
      <c r="B3140" s="2" t="s">
        <v>26</v>
      </c>
      <c r="C3140" s="2" t="s">
        <v>29</v>
      </c>
      <c r="D3140" s="2" t="s">
        <v>30</v>
      </c>
      <c r="E3140" s="2" t="s">
        <v>24</v>
      </c>
      <c r="F3140">
        <v>750</v>
      </c>
      <c r="G3140">
        <v>339</v>
      </c>
      <c r="H3140">
        <v>254250</v>
      </c>
      <c r="I3140">
        <v>25596.676599999999</v>
      </c>
      <c r="J3140" s="2" t="s">
        <v>44</v>
      </c>
    </row>
    <row r="3141" spans="1:10" x14ac:dyDescent="0.35">
      <c r="A3141" s="1">
        <v>45910</v>
      </c>
      <c r="B3141" s="2" t="s">
        <v>36</v>
      </c>
      <c r="C3141" s="2" t="s">
        <v>11</v>
      </c>
      <c r="D3141" s="2" t="s">
        <v>21</v>
      </c>
      <c r="E3141" s="2" t="s">
        <v>22</v>
      </c>
      <c r="F3141">
        <v>334</v>
      </c>
      <c r="G3141">
        <v>190</v>
      </c>
      <c r="H3141">
        <v>63460</v>
      </c>
      <c r="I3141">
        <v>14795.402099999999</v>
      </c>
      <c r="J3141" s="2" t="s">
        <v>44</v>
      </c>
    </row>
    <row r="3142" spans="1:10" x14ac:dyDescent="0.35">
      <c r="A3142" s="1">
        <v>45910</v>
      </c>
      <c r="B3142" s="2" t="s">
        <v>15</v>
      </c>
      <c r="C3142" s="2" t="s">
        <v>20</v>
      </c>
      <c r="D3142" s="2" t="s">
        <v>17</v>
      </c>
      <c r="E3142" s="2" t="s">
        <v>28</v>
      </c>
      <c r="F3142">
        <v>934</v>
      </c>
      <c r="G3142">
        <v>449</v>
      </c>
      <c r="H3142">
        <v>419366</v>
      </c>
      <c r="I3142">
        <v>44435.374600000003</v>
      </c>
      <c r="J3142" s="2" t="s">
        <v>44</v>
      </c>
    </row>
    <row r="3143" spans="1:10" x14ac:dyDescent="0.35">
      <c r="A3143" s="1">
        <v>45910</v>
      </c>
      <c r="B3143" s="2" t="s">
        <v>36</v>
      </c>
      <c r="C3143" s="2" t="s">
        <v>29</v>
      </c>
      <c r="D3143" s="2" t="s">
        <v>17</v>
      </c>
      <c r="E3143" s="2" t="s">
        <v>35</v>
      </c>
      <c r="F3143">
        <v>398</v>
      </c>
      <c r="G3143">
        <v>322</v>
      </c>
      <c r="H3143">
        <v>128156</v>
      </c>
      <c r="I3143">
        <v>22680.5946</v>
      </c>
      <c r="J3143" s="2" t="s">
        <v>44</v>
      </c>
    </row>
    <row r="3144" spans="1:10" x14ac:dyDescent="0.35">
      <c r="A3144" s="1">
        <v>45910</v>
      </c>
      <c r="B3144" s="2" t="s">
        <v>19</v>
      </c>
      <c r="C3144" s="2" t="s">
        <v>11</v>
      </c>
      <c r="D3144" s="2" t="s">
        <v>12</v>
      </c>
      <c r="E3144" s="2" t="s">
        <v>33</v>
      </c>
      <c r="F3144">
        <v>310</v>
      </c>
      <c r="G3144">
        <v>481</v>
      </c>
      <c r="H3144">
        <v>149110</v>
      </c>
      <c r="I3144">
        <v>14779.0183</v>
      </c>
      <c r="J3144" s="2" t="s">
        <v>44</v>
      </c>
    </row>
    <row r="3145" spans="1:10" x14ac:dyDescent="0.35">
      <c r="A3145" s="1">
        <v>45910</v>
      </c>
      <c r="B3145" s="2" t="s">
        <v>25</v>
      </c>
      <c r="C3145" s="2" t="s">
        <v>16</v>
      </c>
      <c r="D3145" s="2" t="s">
        <v>12</v>
      </c>
      <c r="E3145" s="2" t="s">
        <v>33</v>
      </c>
      <c r="F3145">
        <v>220</v>
      </c>
      <c r="G3145">
        <v>354</v>
      </c>
      <c r="H3145">
        <v>77880</v>
      </c>
      <c r="I3145">
        <v>8555.8541000000005</v>
      </c>
      <c r="J3145" s="2" t="s">
        <v>44</v>
      </c>
    </row>
    <row r="3146" spans="1:10" x14ac:dyDescent="0.35">
      <c r="A3146" s="1">
        <v>45911</v>
      </c>
      <c r="B3146" s="2" t="s">
        <v>36</v>
      </c>
      <c r="C3146" s="2" t="s">
        <v>16</v>
      </c>
      <c r="D3146" s="2" t="s">
        <v>12</v>
      </c>
      <c r="E3146" s="2" t="s">
        <v>32</v>
      </c>
      <c r="F3146">
        <v>139</v>
      </c>
      <c r="G3146">
        <v>393</v>
      </c>
      <c r="H3146">
        <v>54627</v>
      </c>
      <c r="I3146">
        <v>4751.8325000000004</v>
      </c>
      <c r="J3146" s="2" t="s">
        <v>44</v>
      </c>
    </row>
    <row r="3147" spans="1:10" x14ac:dyDescent="0.35">
      <c r="A3147" s="1">
        <v>45911</v>
      </c>
      <c r="B3147" s="2" t="s">
        <v>36</v>
      </c>
      <c r="C3147" s="2" t="s">
        <v>16</v>
      </c>
      <c r="D3147" s="2" t="s">
        <v>12</v>
      </c>
      <c r="E3147" s="2" t="s">
        <v>35</v>
      </c>
      <c r="F3147">
        <v>161</v>
      </c>
      <c r="G3147">
        <v>474</v>
      </c>
      <c r="H3147">
        <v>76314</v>
      </c>
      <c r="I3147">
        <v>9976.2587999999996</v>
      </c>
      <c r="J3147" s="2" t="s">
        <v>44</v>
      </c>
    </row>
    <row r="3148" spans="1:10" x14ac:dyDescent="0.35">
      <c r="A3148" s="1">
        <v>45911</v>
      </c>
      <c r="B3148" s="2" t="s">
        <v>10</v>
      </c>
      <c r="C3148" s="2" t="s">
        <v>16</v>
      </c>
      <c r="D3148" s="2" t="s">
        <v>12</v>
      </c>
      <c r="E3148" s="2" t="s">
        <v>32</v>
      </c>
      <c r="F3148">
        <v>183</v>
      </c>
      <c r="G3148">
        <v>116</v>
      </c>
      <c r="H3148">
        <v>21228</v>
      </c>
      <c r="I3148">
        <v>2446.3816999999999</v>
      </c>
      <c r="J3148" s="2" t="s">
        <v>44</v>
      </c>
    </row>
    <row r="3149" spans="1:10" x14ac:dyDescent="0.35">
      <c r="A3149" s="1">
        <v>45911</v>
      </c>
      <c r="B3149" s="2" t="s">
        <v>31</v>
      </c>
      <c r="C3149" s="2" t="s">
        <v>27</v>
      </c>
      <c r="D3149" s="2" t="s">
        <v>17</v>
      </c>
      <c r="E3149" s="2" t="s">
        <v>32</v>
      </c>
      <c r="F3149">
        <v>414</v>
      </c>
      <c r="G3149">
        <v>245</v>
      </c>
      <c r="H3149">
        <v>101430</v>
      </c>
      <c r="I3149">
        <v>9162.4673999999995</v>
      </c>
      <c r="J3149" s="2" t="s">
        <v>44</v>
      </c>
    </row>
    <row r="3150" spans="1:10" x14ac:dyDescent="0.35">
      <c r="A3150" s="1">
        <v>45912</v>
      </c>
      <c r="B3150" s="2" t="s">
        <v>19</v>
      </c>
      <c r="C3150" s="2" t="s">
        <v>23</v>
      </c>
      <c r="D3150" s="2" t="s">
        <v>21</v>
      </c>
      <c r="E3150" s="2" t="s">
        <v>28</v>
      </c>
      <c r="F3150">
        <v>379</v>
      </c>
      <c r="G3150">
        <v>182</v>
      </c>
      <c r="H3150">
        <v>68978</v>
      </c>
      <c r="I3150">
        <v>14027.5854</v>
      </c>
      <c r="J3150" s="2" t="s">
        <v>44</v>
      </c>
    </row>
    <row r="3151" spans="1:10" x14ac:dyDescent="0.35">
      <c r="A3151" s="1">
        <v>45912</v>
      </c>
      <c r="B3151" s="2" t="s">
        <v>34</v>
      </c>
      <c r="C3151" s="2" t="s">
        <v>20</v>
      </c>
      <c r="D3151" s="2" t="s">
        <v>30</v>
      </c>
      <c r="E3151" s="2" t="s">
        <v>18</v>
      </c>
      <c r="F3151">
        <v>341</v>
      </c>
      <c r="G3151">
        <v>165</v>
      </c>
      <c r="H3151">
        <v>56265</v>
      </c>
      <c r="I3151">
        <v>6320.6705000000002</v>
      </c>
      <c r="J3151" s="2" t="s">
        <v>44</v>
      </c>
    </row>
    <row r="3152" spans="1:10" x14ac:dyDescent="0.35">
      <c r="A3152" s="1">
        <v>45912</v>
      </c>
      <c r="B3152" s="2" t="s">
        <v>10</v>
      </c>
      <c r="C3152" s="2" t="s">
        <v>23</v>
      </c>
      <c r="D3152" s="2" t="s">
        <v>30</v>
      </c>
      <c r="E3152" s="2" t="s">
        <v>28</v>
      </c>
      <c r="F3152">
        <v>481</v>
      </c>
      <c r="G3152">
        <v>259</v>
      </c>
      <c r="H3152">
        <v>124579</v>
      </c>
      <c r="I3152">
        <v>24022.743999999999</v>
      </c>
      <c r="J3152" s="2" t="s">
        <v>44</v>
      </c>
    </row>
    <row r="3153" spans="1:10" x14ac:dyDescent="0.35">
      <c r="A3153" s="1">
        <v>45913</v>
      </c>
      <c r="B3153" s="2" t="s">
        <v>26</v>
      </c>
      <c r="C3153" s="2" t="s">
        <v>20</v>
      </c>
      <c r="D3153" s="2" t="s">
        <v>21</v>
      </c>
      <c r="E3153" s="2" t="s">
        <v>35</v>
      </c>
      <c r="F3153">
        <v>448</v>
      </c>
      <c r="G3153">
        <v>262</v>
      </c>
      <c r="H3153">
        <v>117376</v>
      </c>
      <c r="I3153">
        <v>29051.8269</v>
      </c>
      <c r="J3153" s="2" t="s">
        <v>44</v>
      </c>
    </row>
    <row r="3154" spans="1:10" x14ac:dyDescent="0.35">
      <c r="A3154" s="1">
        <v>45914</v>
      </c>
      <c r="B3154" s="2" t="s">
        <v>31</v>
      </c>
      <c r="C3154" s="2" t="s">
        <v>27</v>
      </c>
      <c r="D3154" s="2" t="s">
        <v>30</v>
      </c>
      <c r="E3154" s="2" t="s">
        <v>32</v>
      </c>
      <c r="F3154">
        <v>566</v>
      </c>
      <c r="G3154">
        <v>237</v>
      </c>
      <c r="H3154">
        <v>134142</v>
      </c>
      <c r="I3154">
        <v>22423.35</v>
      </c>
      <c r="J3154" s="2" t="s">
        <v>44</v>
      </c>
    </row>
    <row r="3155" spans="1:10" x14ac:dyDescent="0.35">
      <c r="A3155" s="1">
        <v>45914</v>
      </c>
      <c r="B3155" s="2" t="s">
        <v>15</v>
      </c>
      <c r="C3155" s="2" t="s">
        <v>29</v>
      </c>
      <c r="D3155" s="2" t="s">
        <v>12</v>
      </c>
      <c r="E3155" s="2" t="s">
        <v>35</v>
      </c>
      <c r="F3155">
        <v>878</v>
      </c>
      <c r="G3155">
        <v>495</v>
      </c>
      <c r="H3155">
        <v>434610</v>
      </c>
      <c r="I3155">
        <v>64948.705300000001</v>
      </c>
      <c r="J3155" s="2" t="s">
        <v>44</v>
      </c>
    </row>
    <row r="3156" spans="1:10" x14ac:dyDescent="0.35">
      <c r="A3156" s="1">
        <v>45914</v>
      </c>
      <c r="B3156" s="2" t="s">
        <v>10</v>
      </c>
      <c r="C3156" s="2" t="s">
        <v>11</v>
      </c>
      <c r="D3156" s="2" t="s">
        <v>21</v>
      </c>
      <c r="E3156" s="2" t="s">
        <v>24</v>
      </c>
      <c r="F3156">
        <v>562</v>
      </c>
      <c r="G3156">
        <v>170</v>
      </c>
      <c r="H3156">
        <v>95540</v>
      </c>
      <c r="I3156">
        <v>13920.495000000001</v>
      </c>
      <c r="J3156" s="2" t="s">
        <v>44</v>
      </c>
    </row>
    <row r="3157" spans="1:10" x14ac:dyDescent="0.35">
      <c r="A3157" s="1">
        <v>45914</v>
      </c>
      <c r="B3157" s="2" t="s">
        <v>34</v>
      </c>
      <c r="C3157" s="2" t="s">
        <v>23</v>
      </c>
      <c r="D3157" s="2" t="s">
        <v>17</v>
      </c>
      <c r="E3157" s="2" t="s">
        <v>28</v>
      </c>
      <c r="F3157">
        <v>781</v>
      </c>
      <c r="G3157">
        <v>428</v>
      </c>
      <c r="H3157">
        <v>334268</v>
      </c>
      <c r="I3157">
        <v>58010.505499999999</v>
      </c>
      <c r="J3157" s="2" t="s">
        <v>44</v>
      </c>
    </row>
    <row r="3158" spans="1:10" x14ac:dyDescent="0.35">
      <c r="A3158" s="1">
        <v>45914</v>
      </c>
      <c r="B3158" s="2" t="s">
        <v>19</v>
      </c>
      <c r="C3158" s="2" t="s">
        <v>20</v>
      </c>
      <c r="D3158" s="2" t="s">
        <v>12</v>
      </c>
      <c r="E3158" s="2" t="s">
        <v>13</v>
      </c>
      <c r="F3158">
        <v>182</v>
      </c>
      <c r="G3158">
        <v>240</v>
      </c>
      <c r="H3158">
        <v>43680</v>
      </c>
      <c r="I3158">
        <v>6740.049</v>
      </c>
      <c r="J3158" s="2" t="s">
        <v>44</v>
      </c>
    </row>
    <row r="3159" spans="1:10" x14ac:dyDescent="0.35">
      <c r="A3159" s="1">
        <v>45914</v>
      </c>
      <c r="B3159" s="2" t="s">
        <v>15</v>
      </c>
      <c r="C3159" s="2" t="s">
        <v>29</v>
      </c>
      <c r="D3159" s="2" t="s">
        <v>30</v>
      </c>
      <c r="E3159" s="2" t="s">
        <v>13</v>
      </c>
      <c r="F3159">
        <v>974</v>
      </c>
      <c r="G3159">
        <v>382</v>
      </c>
      <c r="H3159">
        <v>372068</v>
      </c>
      <c r="I3159">
        <v>53936.656000000003</v>
      </c>
      <c r="J3159" s="2" t="s">
        <v>44</v>
      </c>
    </row>
    <row r="3160" spans="1:10" x14ac:dyDescent="0.35">
      <c r="A3160" s="1">
        <v>45915</v>
      </c>
      <c r="B3160" s="2" t="s">
        <v>10</v>
      </c>
      <c r="C3160" s="2" t="s">
        <v>20</v>
      </c>
      <c r="D3160" s="2" t="s">
        <v>30</v>
      </c>
      <c r="E3160" s="2" t="s">
        <v>32</v>
      </c>
      <c r="F3160">
        <v>528</v>
      </c>
      <c r="G3160">
        <v>355</v>
      </c>
      <c r="H3160">
        <v>187440</v>
      </c>
      <c r="I3160">
        <v>32578.5209</v>
      </c>
      <c r="J3160" s="2" t="s">
        <v>44</v>
      </c>
    </row>
    <row r="3161" spans="1:10" x14ac:dyDescent="0.35">
      <c r="A3161" s="1">
        <v>45915</v>
      </c>
      <c r="B3161" s="2" t="s">
        <v>10</v>
      </c>
      <c r="C3161" s="2" t="s">
        <v>16</v>
      </c>
      <c r="D3161" s="2" t="s">
        <v>17</v>
      </c>
      <c r="E3161" s="2" t="s">
        <v>22</v>
      </c>
      <c r="F3161">
        <v>301</v>
      </c>
      <c r="G3161">
        <v>457</v>
      </c>
      <c r="H3161">
        <v>137557</v>
      </c>
      <c r="I3161">
        <v>11008.6644</v>
      </c>
      <c r="J3161" s="2" t="s">
        <v>44</v>
      </c>
    </row>
    <row r="3162" spans="1:10" x14ac:dyDescent="0.35">
      <c r="A3162" s="1">
        <v>45915</v>
      </c>
      <c r="B3162" s="2" t="s">
        <v>25</v>
      </c>
      <c r="C3162" s="2" t="s">
        <v>23</v>
      </c>
      <c r="D3162" s="2" t="s">
        <v>21</v>
      </c>
      <c r="E3162" s="2" t="s">
        <v>35</v>
      </c>
      <c r="F3162">
        <v>232</v>
      </c>
      <c r="G3162">
        <v>191</v>
      </c>
      <c r="H3162">
        <v>44312</v>
      </c>
      <c r="I3162">
        <v>5948.3314</v>
      </c>
      <c r="J3162" s="2" t="s">
        <v>44</v>
      </c>
    </row>
    <row r="3163" spans="1:10" x14ac:dyDescent="0.35">
      <c r="A3163" s="1">
        <v>45916</v>
      </c>
      <c r="B3163" s="2" t="s">
        <v>19</v>
      </c>
      <c r="C3163" s="2" t="s">
        <v>11</v>
      </c>
      <c r="D3163" s="2" t="s">
        <v>12</v>
      </c>
      <c r="E3163" s="2" t="s">
        <v>18</v>
      </c>
      <c r="F3163">
        <v>233</v>
      </c>
      <c r="G3163">
        <v>424</v>
      </c>
      <c r="H3163">
        <v>98792</v>
      </c>
      <c r="I3163">
        <v>18566.5128</v>
      </c>
      <c r="J3163" s="2" t="s">
        <v>44</v>
      </c>
    </row>
    <row r="3164" spans="1:10" x14ac:dyDescent="0.35">
      <c r="A3164" s="1">
        <v>45916</v>
      </c>
      <c r="B3164" s="2" t="s">
        <v>19</v>
      </c>
      <c r="C3164" s="2" t="s">
        <v>16</v>
      </c>
      <c r="D3164" s="2" t="s">
        <v>17</v>
      </c>
      <c r="E3164" s="2" t="s">
        <v>28</v>
      </c>
      <c r="F3164">
        <v>431</v>
      </c>
      <c r="G3164">
        <v>389</v>
      </c>
      <c r="H3164">
        <v>167659</v>
      </c>
      <c r="I3164">
        <v>17228.3714</v>
      </c>
      <c r="J3164" s="2" t="s">
        <v>44</v>
      </c>
    </row>
    <row r="3165" spans="1:10" x14ac:dyDescent="0.35">
      <c r="A3165" s="1">
        <v>45916</v>
      </c>
      <c r="B3165" s="2" t="s">
        <v>34</v>
      </c>
      <c r="C3165" s="2" t="s">
        <v>20</v>
      </c>
      <c r="D3165" s="2" t="s">
        <v>17</v>
      </c>
      <c r="E3165" s="2" t="s">
        <v>32</v>
      </c>
      <c r="F3165">
        <v>762</v>
      </c>
      <c r="G3165">
        <v>163</v>
      </c>
      <c r="H3165">
        <v>124206</v>
      </c>
      <c r="I3165">
        <v>29173.6469</v>
      </c>
      <c r="J3165" s="2" t="s">
        <v>44</v>
      </c>
    </row>
    <row r="3166" spans="1:10" x14ac:dyDescent="0.35">
      <c r="A3166" s="1">
        <v>45916</v>
      </c>
      <c r="B3166" s="2" t="s">
        <v>34</v>
      </c>
      <c r="C3166" s="2" t="s">
        <v>23</v>
      </c>
      <c r="D3166" s="2" t="s">
        <v>21</v>
      </c>
      <c r="E3166" s="2" t="s">
        <v>13</v>
      </c>
      <c r="F3166">
        <v>660</v>
      </c>
      <c r="G3166">
        <v>441</v>
      </c>
      <c r="H3166">
        <v>291060</v>
      </c>
      <c r="I3166">
        <v>54247.995799999997</v>
      </c>
      <c r="J3166" s="2" t="s">
        <v>44</v>
      </c>
    </row>
    <row r="3167" spans="1:10" x14ac:dyDescent="0.35">
      <c r="A3167" s="1">
        <v>45916</v>
      </c>
      <c r="B3167" s="2" t="s">
        <v>25</v>
      </c>
      <c r="C3167" s="2" t="s">
        <v>27</v>
      </c>
      <c r="D3167" s="2" t="s">
        <v>30</v>
      </c>
      <c r="E3167" s="2" t="s">
        <v>24</v>
      </c>
      <c r="F3167">
        <v>593</v>
      </c>
      <c r="G3167">
        <v>143</v>
      </c>
      <c r="H3167">
        <v>84799</v>
      </c>
      <c r="I3167">
        <v>14592.501700000001</v>
      </c>
      <c r="J3167" s="2" t="s">
        <v>44</v>
      </c>
    </row>
    <row r="3168" spans="1:10" x14ac:dyDescent="0.35">
      <c r="A3168" s="1">
        <v>45916</v>
      </c>
      <c r="B3168" s="2" t="s">
        <v>15</v>
      </c>
      <c r="C3168" s="2" t="s">
        <v>27</v>
      </c>
      <c r="D3168" s="2" t="s">
        <v>21</v>
      </c>
      <c r="E3168" s="2" t="s">
        <v>22</v>
      </c>
      <c r="F3168">
        <v>272</v>
      </c>
      <c r="G3168">
        <v>239</v>
      </c>
      <c r="H3168">
        <v>65008</v>
      </c>
      <c r="I3168">
        <v>11682.909799999999</v>
      </c>
      <c r="J3168" s="2" t="s">
        <v>44</v>
      </c>
    </row>
    <row r="3169" spans="1:10" x14ac:dyDescent="0.35">
      <c r="A3169" s="1">
        <v>45917</v>
      </c>
      <c r="B3169" s="2" t="s">
        <v>10</v>
      </c>
      <c r="C3169" s="2" t="s">
        <v>11</v>
      </c>
      <c r="D3169" s="2" t="s">
        <v>21</v>
      </c>
      <c r="E3169" s="2" t="s">
        <v>32</v>
      </c>
      <c r="F3169">
        <v>453</v>
      </c>
      <c r="G3169">
        <v>473</v>
      </c>
      <c r="H3169">
        <v>214269</v>
      </c>
      <c r="I3169">
        <v>30661.040700000001</v>
      </c>
      <c r="J3169" s="2" t="s">
        <v>44</v>
      </c>
    </row>
    <row r="3170" spans="1:10" x14ac:dyDescent="0.35">
      <c r="A3170" s="1">
        <v>45918</v>
      </c>
      <c r="B3170" s="2" t="s">
        <v>10</v>
      </c>
      <c r="C3170" s="2" t="s">
        <v>29</v>
      </c>
      <c r="D3170" s="2" t="s">
        <v>30</v>
      </c>
      <c r="E3170" s="2" t="s">
        <v>33</v>
      </c>
      <c r="F3170">
        <v>317</v>
      </c>
      <c r="G3170">
        <v>305</v>
      </c>
      <c r="H3170">
        <v>96685</v>
      </c>
      <c r="I3170">
        <v>10932.182199999999</v>
      </c>
      <c r="J3170" s="2" t="s">
        <v>44</v>
      </c>
    </row>
    <row r="3171" spans="1:10" x14ac:dyDescent="0.35">
      <c r="A3171" s="1">
        <v>45918</v>
      </c>
      <c r="B3171" s="2" t="s">
        <v>15</v>
      </c>
      <c r="C3171" s="2" t="s">
        <v>27</v>
      </c>
      <c r="D3171" s="2" t="s">
        <v>17</v>
      </c>
      <c r="E3171" s="2" t="s">
        <v>18</v>
      </c>
      <c r="F3171">
        <v>880</v>
      </c>
      <c r="G3171">
        <v>211</v>
      </c>
      <c r="H3171">
        <v>185680</v>
      </c>
      <c r="I3171">
        <v>31817.609</v>
      </c>
      <c r="J3171" s="2" t="s">
        <v>44</v>
      </c>
    </row>
    <row r="3172" spans="1:10" x14ac:dyDescent="0.35">
      <c r="A3172" s="1">
        <v>45919</v>
      </c>
      <c r="B3172" s="2" t="s">
        <v>31</v>
      </c>
      <c r="C3172" s="2" t="s">
        <v>11</v>
      </c>
      <c r="D3172" s="2" t="s">
        <v>17</v>
      </c>
      <c r="E3172" s="2" t="s">
        <v>24</v>
      </c>
      <c r="F3172">
        <v>897</v>
      </c>
      <c r="G3172">
        <v>165</v>
      </c>
      <c r="H3172">
        <v>148005</v>
      </c>
      <c r="I3172">
        <v>27425.572800000002</v>
      </c>
      <c r="J3172" s="2" t="s">
        <v>44</v>
      </c>
    </row>
    <row r="3173" spans="1:10" x14ac:dyDescent="0.35">
      <c r="A3173" s="1">
        <v>45919</v>
      </c>
      <c r="B3173" s="2" t="s">
        <v>36</v>
      </c>
      <c r="C3173" s="2" t="s">
        <v>29</v>
      </c>
      <c r="D3173" s="2" t="s">
        <v>17</v>
      </c>
      <c r="E3173" s="2" t="s">
        <v>24</v>
      </c>
      <c r="F3173">
        <v>462</v>
      </c>
      <c r="G3173">
        <v>317</v>
      </c>
      <c r="H3173">
        <v>146454</v>
      </c>
      <c r="I3173">
        <v>12746.6698</v>
      </c>
      <c r="J3173" s="2" t="s">
        <v>44</v>
      </c>
    </row>
    <row r="3174" spans="1:10" x14ac:dyDescent="0.35">
      <c r="A3174" s="1">
        <v>45919</v>
      </c>
      <c r="B3174" s="2" t="s">
        <v>10</v>
      </c>
      <c r="C3174" s="2" t="s">
        <v>23</v>
      </c>
      <c r="D3174" s="2" t="s">
        <v>30</v>
      </c>
      <c r="E3174" s="2" t="s">
        <v>33</v>
      </c>
      <c r="F3174">
        <v>380</v>
      </c>
      <c r="G3174">
        <v>116</v>
      </c>
      <c r="H3174">
        <v>44080</v>
      </c>
      <c r="I3174">
        <v>7245.4519</v>
      </c>
      <c r="J3174" s="2" t="s">
        <v>44</v>
      </c>
    </row>
    <row r="3175" spans="1:10" x14ac:dyDescent="0.35">
      <c r="A3175" s="1">
        <v>45919</v>
      </c>
      <c r="B3175" s="2" t="s">
        <v>15</v>
      </c>
      <c r="C3175" s="2" t="s">
        <v>23</v>
      </c>
      <c r="D3175" s="2" t="s">
        <v>12</v>
      </c>
      <c r="E3175" s="2" t="s">
        <v>33</v>
      </c>
      <c r="F3175">
        <v>938</v>
      </c>
      <c r="G3175">
        <v>145</v>
      </c>
      <c r="H3175">
        <v>136010</v>
      </c>
      <c r="I3175">
        <v>19266.1011</v>
      </c>
      <c r="J3175" s="2" t="s">
        <v>44</v>
      </c>
    </row>
    <row r="3176" spans="1:10" x14ac:dyDescent="0.35">
      <c r="A3176" s="1">
        <v>45919</v>
      </c>
      <c r="B3176" s="2" t="s">
        <v>26</v>
      </c>
      <c r="C3176" s="2" t="s">
        <v>20</v>
      </c>
      <c r="D3176" s="2" t="s">
        <v>30</v>
      </c>
      <c r="E3176" s="2" t="s">
        <v>33</v>
      </c>
      <c r="F3176">
        <v>947</v>
      </c>
      <c r="G3176">
        <v>329</v>
      </c>
      <c r="H3176">
        <v>311563</v>
      </c>
      <c r="I3176">
        <v>53975.324200000003</v>
      </c>
      <c r="J3176" s="2" t="s">
        <v>44</v>
      </c>
    </row>
    <row r="3177" spans="1:10" x14ac:dyDescent="0.35">
      <c r="A3177" s="1">
        <v>45919</v>
      </c>
      <c r="B3177" s="2" t="s">
        <v>10</v>
      </c>
      <c r="C3177" s="2" t="s">
        <v>20</v>
      </c>
      <c r="D3177" s="2" t="s">
        <v>17</v>
      </c>
      <c r="E3177" s="2" t="s">
        <v>33</v>
      </c>
      <c r="F3177">
        <v>517</v>
      </c>
      <c r="G3177">
        <v>178</v>
      </c>
      <c r="H3177">
        <v>92026</v>
      </c>
      <c r="I3177">
        <v>15927.218999999999</v>
      </c>
      <c r="J3177" s="2" t="s">
        <v>44</v>
      </c>
    </row>
    <row r="3178" spans="1:10" x14ac:dyDescent="0.35">
      <c r="A3178" s="1">
        <v>45920</v>
      </c>
      <c r="B3178" s="2" t="s">
        <v>25</v>
      </c>
      <c r="C3178" s="2" t="s">
        <v>11</v>
      </c>
      <c r="D3178" s="2" t="s">
        <v>21</v>
      </c>
      <c r="E3178" s="2" t="s">
        <v>32</v>
      </c>
      <c r="F3178">
        <v>331</v>
      </c>
      <c r="G3178">
        <v>485</v>
      </c>
      <c r="H3178">
        <v>160535</v>
      </c>
      <c r="I3178">
        <v>22707.799599999998</v>
      </c>
      <c r="J3178" s="2" t="s">
        <v>44</v>
      </c>
    </row>
    <row r="3179" spans="1:10" x14ac:dyDescent="0.35">
      <c r="A3179" s="1">
        <v>45920</v>
      </c>
      <c r="B3179" s="2" t="s">
        <v>31</v>
      </c>
      <c r="C3179" s="2" t="s">
        <v>29</v>
      </c>
      <c r="D3179" s="2" t="s">
        <v>30</v>
      </c>
      <c r="E3179" s="2" t="s">
        <v>24</v>
      </c>
      <c r="F3179">
        <v>751</v>
      </c>
      <c r="G3179">
        <v>339</v>
      </c>
      <c r="H3179">
        <v>254589</v>
      </c>
      <c r="I3179">
        <v>53413.218999999997</v>
      </c>
      <c r="J3179" s="2" t="s">
        <v>44</v>
      </c>
    </row>
    <row r="3180" spans="1:10" x14ac:dyDescent="0.35">
      <c r="A3180" s="1">
        <v>45920</v>
      </c>
      <c r="B3180" s="2" t="s">
        <v>36</v>
      </c>
      <c r="C3180" s="2" t="s">
        <v>23</v>
      </c>
      <c r="D3180" s="2" t="s">
        <v>30</v>
      </c>
      <c r="E3180" s="2" t="s">
        <v>33</v>
      </c>
      <c r="F3180">
        <v>133</v>
      </c>
      <c r="G3180">
        <v>315</v>
      </c>
      <c r="H3180">
        <v>41895</v>
      </c>
      <c r="I3180">
        <v>7515.6369999999997</v>
      </c>
      <c r="J3180" s="2" t="s">
        <v>44</v>
      </c>
    </row>
    <row r="3181" spans="1:10" x14ac:dyDescent="0.35">
      <c r="A3181" s="1">
        <v>45920</v>
      </c>
      <c r="B3181" s="2" t="s">
        <v>36</v>
      </c>
      <c r="C3181" s="2" t="s">
        <v>20</v>
      </c>
      <c r="D3181" s="2" t="s">
        <v>17</v>
      </c>
      <c r="E3181" s="2" t="s">
        <v>32</v>
      </c>
      <c r="F3181">
        <v>160</v>
      </c>
      <c r="G3181">
        <v>360</v>
      </c>
      <c r="H3181">
        <v>57600</v>
      </c>
      <c r="I3181">
        <v>12485.99</v>
      </c>
      <c r="J3181" s="2" t="s">
        <v>44</v>
      </c>
    </row>
    <row r="3182" spans="1:10" x14ac:dyDescent="0.35">
      <c r="A3182" s="1">
        <v>45921</v>
      </c>
      <c r="B3182" s="2" t="s">
        <v>19</v>
      </c>
      <c r="C3182" s="2" t="s">
        <v>11</v>
      </c>
      <c r="D3182" s="2" t="s">
        <v>12</v>
      </c>
      <c r="E3182" s="2" t="s">
        <v>28</v>
      </c>
      <c r="F3182">
        <v>166</v>
      </c>
      <c r="G3182">
        <v>306</v>
      </c>
      <c r="H3182">
        <v>50796</v>
      </c>
      <c r="I3182">
        <v>8622.0427</v>
      </c>
      <c r="J3182" s="2" t="s">
        <v>44</v>
      </c>
    </row>
    <row r="3183" spans="1:10" x14ac:dyDescent="0.35">
      <c r="A3183" s="1">
        <v>45921</v>
      </c>
      <c r="B3183" s="2" t="s">
        <v>25</v>
      </c>
      <c r="C3183" s="2" t="s">
        <v>23</v>
      </c>
      <c r="D3183" s="2" t="s">
        <v>30</v>
      </c>
      <c r="E3183" s="2" t="s">
        <v>13</v>
      </c>
      <c r="F3183">
        <v>766</v>
      </c>
      <c r="G3183">
        <v>177</v>
      </c>
      <c r="H3183">
        <v>135582</v>
      </c>
      <c r="I3183">
        <v>12463.7183</v>
      </c>
      <c r="J3183" s="2" t="s">
        <v>44</v>
      </c>
    </row>
    <row r="3184" spans="1:10" x14ac:dyDescent="0.35">
      <c r="A3184" s="1">
        <v>45921</v>
      </c>
      <c r="B3184" s="2" t="s">
        <v>31</v>
      </c>
      <c r="C3184" s="2" t="s">
        <v>23</v>
      </c>
      <c r="D3184" s="2" t="s">
        <v>21</v>
      </c>
      <c r="E3184" s="2" t="s">
        <v>22</v>
      </c>
      <c r="F3184">
        <v>299</v>
      </c>
      <c r="G3184">
        <v>127</v>
      </c>
      <c r="H3184">
        <v>37973</v>
      </c>
      <c r="I3184">
        <v>5872.1073999999999</v>
      </c>
      <c r="J3184" s="2" t="s">
        <v>44</v>
      </c>
    </row>
    <row r="3185" spans="1:10" x14ac:dyDescent="0.35">
      <c r="A3185" s="1">
        <v>45922</v>
      </c>
      <c r="B3185" s="2" t="s">
        <v>31</v>
      </c>
      <c r="C3185" s="2" t="s">
        <v>16</v>
      </c>
      <c r="D3185" s="2" t="s">
        <v>12</v>
      </c>
      <c r="E3185" s="2" t="s">
        <v>35</v>
      </c>
      <c r="F3185">
        <v>54</v>
      </c>
      <c r="G3185">
        <v>350</v>
      </c>
      <c r="H3185">
        <v>18900</v>
      </c>
      <c r="I3185">
        <v>1553.3113000000001</v>
      </c>
      <c r="J3185" s="2" t="s">
        <v>44</v>
      </c>
    </row>
    <row r="3186" spans="1:10" x14ac:dyDescent="0.35">
      <c r="A3186" s="1">
        <v>45922</v>
      </c>
      <c r="B3186" s="2" t="s">
        <v>34</v>
      </c>
      <c r="C3186" s="2" t="s">
        <v>20</v>
      </c>
      <c r="D3186" s="2" t="s">
        <v>30</v>
      </c>
      <c r="E3186" s="2" t="s">
        <v>24</v>
      </c>
      <c r="F3186">
        <v>823</v>
      </c>
      <c r="G3186">
        <v>211</v>
      </c>
      <c r="H3186">
        <v>173653</v>
      </c>
      <c r="I3186">
        <v>14425.585300000001</v>
      </c>
      <c r="J3186" s="2" t="s">
        <v>44</v>
      </c>
    </row>
    <row r="3187" spans="1:10" x14ac:dyDescent="0.35">
      <c r="A3187" s="1">
        <v>45923</v>
      </c>
      <c r="B3187" s="2" t="s">
        <v>10</v>
      </c>
      <c r="C3187" s="2" t="s">
        <v>29</v>
      </c>
      <c r="D3187" s="2" t="s">
        <v>12</v>
      </c>
      <c r="E3187" s="2" t="s">
        <v>22</v>
      </c>
      <c r="F3187">
        <v>558</v>
      </c>
      <c r="G3187">
        <v>199</v>
      </c>
      <c r="H3187">
        <v>111042</v>
      </c>
      <c r="I3187">
        <v>17763.3105</v>
      </c>
      <c r="J3187" s="2" t="s">
        <v>44</v>
      </c>
    </row>
    <row r="3188" spans="1:10" x14ac:dyDescent="0.35">
      <c r="A3188" s="1">
        <v>45923</v>
      </c>
      <c r="B3188" s="2" t="s">
        <v>15</v>
      </c>
      <c r="C3188" s="2" t="s">
        <v>23</v>
      </c>
      <c r="D3188" s="2" t="s">
        <v>17</v>
      </c>
      <c r="E3188" s="2" t="s">
        <v>33</v>
      </c>
      <c r="F3188">
        <v>54</v>
      </c>
      <c r="G3188">
        <v>386</v>
      </c>
      <c r="H3188">
        <v>20844</v>
      </c>
      <c r="I3188">
        <v>2170.2872000000002</v>
      </c>
      <c r="J3188" s="2" t="s">
        <v>44</v>
      </c>
    </row>
    <row r="3189" spans="1:10" x14ac:dyDescent="0.35">
      <c r="A3189" s="1">
        <v>45923</v>
      </c>
      <c r="B3189" s="2" t="s">
        <v>19</v>
      </c>
      <c r="C3189" s="2" t="s">
        <v>29</v>
      </c>
      <c r="D3189" s="2" t="s">
        <v>17</v>
      </c>
      <c r="E3189" s="2" t="s">
        <v>24</v>
      </c>
      <c r="F3189">
        <v>857</v>
      </c>
      <c r="G3189">
        <v>385</v>
      </c>
      <c r="H3189">
        <v>329945</v>
      </c>
      <c r="I3189">
        <v>59089.245300000002</v>
      </c>
      <c r="J3189" s="2" t="s">
        <v>44</v>
      </c>
    </row>
    <row r="3190" spans="1:10" x14ac:dyDescent="0.35">
      <c r="A3190" s="1">
        <v>45924</v>
      </c>
      <c r="B3190" s="2" t="s">
        <v>25</v>
      </c>
      <c r="C3190" s="2" t="s">
        <v>23</v>
      </c>
      <c r="D3190" s="2" t="s">
        <v>30</v>
      </c>
      <c r="E3190" s="2" t="s">
        <v>33</v>
      </c>
      <c r="F3190">
        <v>412</v>
      </c>
      <c r="G3190">
        <v>239</v>
      </c>
      <c r="H3190">
        <v>98468</v>
      </c>
      <c r="I3190">
        <v>11139.4627</v>
      </c>
      <c r="J3190" s="2" t="s">
        <v>44</v>
      </c>
    </row>
    <row r="3191" spans="1:10" x14ac:dyDescent="0.35">
      <c r="A3191" s="1">
        <v>45924</v>
      </c>
      <c r="B3191" s="2" t="s">
        <v>26</v>
      </c>
      <c r="C3191" s="2" t="s">
        <v>29</v>
      </c>
      <c r="D3191" s="2" t="s">
        <v>17</v>
      </c>
      <c r="E3191" s="2" t="s">
        <v>32</v>
      </c>
      <c r="F3191">
        <v>796</v>
      </c>
      <c r="G3191">
        <v>281</v>
      </c>
      <c r="H3191">
        <v>223676</v>
      </c>
      <c r="I3191">
        <v>55544.467499999999</v>
      </c>
      <c r="J3191" s="2" t="s">
        <v>44</v>
      </c>
    </row>
    <row r="3192" spans="1:10" x14ac:dyDescent="0.35">
      <c r="A3192" s="1">
        <v>45924</v>
      </c>
      <c r="B3192" s="2" t="s">
        <v>10</v>
      </c>
      <c r="C3192" s="2" t="s">
        <v>23</v>
      </c>
      <c r="D3192" s="2" t="s">
        <v>30</v>
      </c>
      <c r="E3192" s="2" t="s">
        <v>24</v>
      </c>
      <c r="F3192">
        <v>369</v>
      </c>
      <c r="G3192">
        <v>183</v>
      </c>
      <c r="H3192">
        <v>67527</v>
      </c>
      <c r="I3192">
        <v>6157.1469999999999</v>
      </c>
      <c r="J3192" s="2" t="s">
        <v>44</v>
      </c>
    </row>
    <row r="3193" spans="1:10" x14ac:dyDescent="0.35">
      <c r="A3193" s="1">
        <v>45925</v>
      </c>
      <c r="B3193" s="2" t="s">
        <v>15</v>
      </c>
      <c r="C3193" s="2" t="s">
        <v>11</v>
      </c>
      <c r="D3193" s="2" t="s">
        <v>21</v>
      </c>
      <c r="E3193" s="2" t="s">
        <v>22</v>
      </c>
      <c r="F3193">
        <v>926</v>
      </c>
      <c r="G3193">
        <v>148</v>
      </c>
      <c r="H3193">
        <v>137048</v>
      </c>
      <c r="I3193">
        <v>17695.689999999999</v>
      </c>
      <c r="J3193" s="2" t="s">
        <v>44</v>
      </c>
    </row>
    <row r="3194" spans="1:10" x14ac:dyDescent="0.35">
      <c r="A3194" s="1">
        <v>45925</v>
      </c>
      <c r="B3194" s="2" t="s">
        <v>10</v>
      </c>
      <c r="C3194" s="2" t="s">
        <v>11</v>
      </c>
      <c r="D3194" s="2" t="s">
        <v>12</v>
      </c>
      <c r="E3194" s="2" t="s">
        <v>13</v>
      </c>
      <c r="F3194">
        <v>251</v>
      </c>
      <c r="G3194">
        <v>341</v>
      </c>
      <c r="H3194">
        <v>85591</v>
      </c>
      <c r="I3194">
        <v>20412.1397</v>
      </c>
      <c r="J3194" s="2" t="s">
        <v>44</v>
      </c>
    </row>
    <row r="3195" spans="1:10" x14ac:dyDescent="0.35">
      <c r="A3195" s="1">
        <v>45925</v>
      </c>
      <c r="B3195" s="2" t="s">
        <v>34</v>
      </c>
      <c r="C3195" s="2" t="s">
        <v>27</v>
      </c>
      <c r="D3195" s="2" t="s">
        <v>17</v>
      </c>
      <c r="E3195" s="2" t="s">
        <v>13</v>
      </c>
      <c r="F3195">
        <v>802</v>
      </c>
      <c r="G3195">
        <v>466</v>
      </c>
      <c r="H3195">
        <v>373732</v>
      </c>
      <c r="I3195">
        <v>54992.149599999997</v>
      </c>
      <c r="J3195" s="2" t="s">
        <v>44</v>
      </c>
    </row>
    <row r="3196" spans="1:10" x14ac:dyDescent="0.35">
      <c r="A3196" s="1">
        <v>45926</v>
      </c>
      <c r="B3196" s="2" t="s">
        <v>19</v>
      </c>
      <c r="C3196" s="2" t="s">
        <v>20</v>
      </c>
      <c r="D3196" s="2" t="s">
        <v>21</v>
      </c>
      <c r="E3196" s="2" t="s">
        <v>24</v>
      </c>
      <c r="F3196">
        <v>324</v>
      </c>
      <c r="G3196">
        <v>470</v>
      </c>
      <c r="H3196">
        <v>152280</v>
      </c>
      <c r="I3196">
        <v>15741.772999999999</v>
      </c>
      <c r="J3196" s="2" t="s">
        <v>44</v>
      </c>
    </row>
    <row r="3197" spans="1:10" x14ac:dyDescent="0.35">
      <c r="A3197" s="1">
        <v>45927</v>
      </c>
      <c r="B3197" s="2" t="s">
        <v>10</v>
      </c>
      <c r="C3197" s="2" t="s">
        <v>16</v>
      </c>
      <c r="D3197" s="2" t="s">
        <v>17</v>
      </c>
      <c r="E3197" s="2" t="s">
        <v>28</v>
      </c>
      <c r="F3197">
        <v>213</v>
      </c>
      <c r="G3197">
        <v>187</v>
      </c>
      <c r="H3197">
        <v>39831</v>
      </c>
      <c r="I3197">
        <v>3448.2696000000001</v>
      </c>
      <c r="J3197" s="2" t="s">
        <v>44</v>
      </c>
    </row>
    <row r="3198" spans="1:10" x14ac:dyDescent="0.35">
      <c r="A3198" s="1">
        <v>45927</v>
      </c>
      <c r="B3198" s="2" t="s">
        <v>25</v>
      </c>
      <c r="C3198" s="2" t="s">
        <v>20</v>
      </c>
      <c r="D3198" s="2" t="s">
        <v>12</v>
      </c>
      <c r="E3198" s="2" t="s">
        <v>35</v>
      </c>
      <c r="F3198">
        <v>746</v>
      </c>
      <c r="G3198">
        <v>315</v>
      </c>
      <c r="H3198">
        <v>234990</v>
      </c>
      <c r="I3198">
        <v>36821.717499999999</v>
      </c>
      <c r="J3198" s="2" t="s">
        <v>44</v>
      </c>
    </row>
    <row r="3199" spans="1:10" x14ac:dyDescent="0.35">
      <c r="A3199" s="1">
        <v>45927</v>
      </c>
      <c r="B3199" s="2" t="s">
        <v>19</v>
      </c>
      <c r="C3199" s="2" t="s">
        <v>29</v>
      </c>
      <c r="D3199" s="2" t="s">
        <v>30</v>
      </c>
      <c r="E3199" s="2" t="s">
        <v>22</v>
      </c>
      <c r="F3199">
        <v>728</v>
      </c>
      <c r="G3199">
        <v>335</v>
      </c>
      <c r="H3199">
        <v>243880</v>
      </c>
      <c r="I3199">
        <v>54387.302799999998</v>
      </c>
      <c r="J3199" s="2" t="s">
        <v>44</v>
      </c>
    </row>
    <row r="3200" spans="1:10" x14ac:dyDescent="0.35">
      <c r="A3200" s="1">
        <v>45928</v>
      </c>
      <c r="B3200" s="2" t="s">
        <v>36</v>
      </c>
      <c r="C3200" s="2" t="s">
        <v>27</v>
      </c>
      <c r="D3200" s="2" t="s">
        <v>17</v>
      </c>
      <c r="E3200" s="2" t="s">
        <v>13</v>
      </c>
      <c r="F3200">
        <v>520</v>
      </c>
      <c r="G3200">
        <v>210</v>
      </c>
      <c r="H3200">
        <v>109200</v>
      </c>
      <c r="I3200">
        <v>23493.071599999999</v>
      </c>
      <c r="J3200" s="2" t="s">
        <v>44</v>
      </c>
    </row>
    <row r="3201" spans="1:10" x14ac:dyDescent="0.35">
      <c r="A3201" s="1">
        <v>45929</v>
      </c>
      <c r="B3201" s="2" t="s">
        <v>10</v>
      </c>
      <c r="C3201" s="2" t="s">
        <v>23</v>
      </c>
      <c r="D3201" s="2" t="s">
        <v>17</v>
      </c>
      <c r="E3201" s="2" t="s">
        <v>33</v>
      </c>
      <c r="F3201">
        <v>524</v>
      </c>
      <c r="G3201">
        <v>275</v>
      </c>
      <c r="H3201">
        <v>144100</v>
      </c>
      <c r="I3201">
        <v>23438.6145</v>
      </c>
      <c r="J3201" s="2" t="s">
        <v>44</v>
      </c>
    </row>
    <row r="3202" spans="1:10" x14ac:dyDescent="0.35">
      <c r="A3202" s="1">
        <v>45929</v>
      </c>
      <c r="B3202" s="2" t="s">
        <v>34</v>
      </c>
      <c r="C3202" s="2" t="s">
        <v>20</v>
      </c>
      <c r="D3202" s="2" t="s">
        <v>12</v>
      </c>
      <c r="E3202" s="2" t="s">
        <v>18</v>
      </c>
      <c r="F3202">
        <v>847</v>
      </c>
      <c r="G3202">
        <v>350</v>
      </c>
      <c r="H3202">
        <v>296450</v>
      </c>
      <c r="I3202">
        <v>73285.533299999996</v>
      </c>
      <c r="J3202" s="2" t="s">
        <v>44</v>
      </c>
    </row>
    <row r="3203" spans="1:10" x14ac:dyDescent="0.35">
      <c r="A3203" s="1">
        <v>45930</v>
      </c>
      <c r="B3203" s="2" t="s">
        <v>10</v>
      </c>
      <c r="C3203" s="2" t="s">
        <v>27</v>
      </c>
      <c r="D3203" s="2" t="s">
        <v>30</v>
      </c>
      <c r="E3203" s="2" t="s">
        <v>32</v>
      </c>
      <c r="F3203">
        <v>468</v>
      </c>
      <c r="G3203">
        <v>463</v>
      </c>
      <c r="H3203">
        <v>216684</v>
      </c>
      <c r="I3203">
        <v>26364.250100000001</v>
      </c>
      <c r="J3203" s="2" t="s">
        <v>44</v>
      </c>
    </row>
    <row r="3204" spans="1:10" x14ac:dyDescent="0.35">
      <c r="A3204" s="1">
        <v>45930</v>
      </c>
      <c r="B3204" s="2" t="s">
        <v>34</v>
      </c>
      <c r="C3204" s="2" t="s">
        <v>29</v>
      </c>
      <c r="D3204" s="2" t="s">
        <v>21</v>
      </c>
      <c r="E3204" s="2" t="s">
        <v>18</v>
      </c>
      <c r="F3204">
        <v>914</v>
      </c>
      <c r="G3204">
        <v>480</v>
      </c>
      <c r="H3204">
        <v>438720</v>
      </c>
      <c r="I3204">
        <v>74664.018200000006</v>
      </c>
      <c r="J3204" s="2" t="s">
        <v>44</v>
      </c>
    </row>
    <row r="3205" spans="1:10" x14ac:dyDescent="0.35">
      <c r="A3205" s="1">
        <v>45930</v>
      </c>
      <c r="B3205" s="2" t="s">
        <v>19</v>
      </c>
      <c r="C3205" s="2" t="s">
        <v>27</v>
      </c>
      <c r="D3205" s="2" t="s">
        <v>17</v>
      </c>
      <c r="E3205" s="2" t="s">
        <v>24</v>
      </c>
      <c r="F3205">
        <v>748</v>
      </c>
      <c r="G3205">
        <v>407</v>
      </c>
      <c r="H3205">
        <v>304436</v>
      </c>
      <c r="I3205">
        <v>41701.9879</v>
      </c>
      <c r="J3205" s="2" t="s">
        <v>44</v>
      </c>
    </row>
    <row r="3206" spans="1:10" x14ac:dyDescent="0.35">
      <c r="A3206" s="1">
        <v>45931</v>
      </c>
      <c r="B3206" s="2" t="s">
        <v>25</v>
      </c>
      <c r="C3206" s="2" t="s">
        <v>20</v>
      </c>
      <c r="D3206" s="2" t="s">
        <v>12</v>
      </c>
      <c r="E3206" s="2" t="s">
        <v>18</v>
      </c>
      <c r="F3206">
        <v>285</v>
      </c>
      <c r="G3206">
        <v>475</v>
      </c>
      <c r="H3206">
        <v>135375</v>
      </c>
      <c r="I3206">
        <v>30524.200799999999</v>
      </c>
      <c r="J3206" s="2" t="s">
        <v>45</v>
      </c>
    </row>
    <row r="3207" spans="1:10" x14ac:dyDescent="0.35">
      <c r="A3207" s="1">
        <v>45931</v>
      </c>
      <c r="B3207" s="2" t="s">
        <v>19</v>
      </c>
      <c r="C3207" s="2" t="s">
        <v>16</v>
      </c>
      <c r="D3207" s="2" t="s">
        <v>30</v>
      </c>
      <c r="E3207" s="2" t="s">
        <v>28</v>
      </c>
      <c r="F3207">
        <v>462</v>
      </c>
      <c r="G3207">
        <v>358</v>
      </c>
      <c r="H3207">
        <v>165396</v>
      </c>
      <c r="I3207">
        <v>19780.570899999999</v>
      </c>
      <c r="J3207" s="2" t="s">
        <v>45</v>
      </c>
    </row>
    <row r="3208" spans="1:10" x14ac:dyDescent="0.35">
      <c r="A3208" s="1">
        <v>45931</v>
      </c>
      <c r="B3208" s="2" t="s">
        <v>25</v>
      </c>
      <c r="C3208" s="2" t="s">
        <v>20</v>
      </c>
      <c r="D3208" s="2" t="s">
        <v>21</v>
      </c>
      <c r="E3208" s="2" t="s">
        <v>33</v>
      </c>
      <c r="F3208">
        <v>640</v>
      </c>
      <c r="G3208">
        <v>398</v>
      </c>
      <c r="H3208">
        <v>254720</v>
      </c>
      <c r="I3208">
        <v>20790.890800000001</v>
      </c>
      <c r="J3208" s="2" t="s">
        <v>45</v>
      </c>
    </row>
    <row r="3209" spans="1:10" x14ac:dyDescent="0.35">
      <c r="A3209" s="1">
        <v>45932</v>
      </c>
      <c r="B3209" s="2" t="s">
        <v>15</v>
      </c>
      <c r="C3209" s="2" t="s">
        <v>16</v>
      </c>
      <c r="D3209" s="2" t="s">
        <v>21</v>
      </c>
      <c r="E3209" s="2" t="s">
        <v>18</v>
      </c>
      <c r="F3209">
        <v>157</v>
      </c>
      <c r="G3209">
        <v>455</v>
      </c>
      <c r="H3209">
        <v>71435</v>
      </c>
      <c r="I3209">
        <v>12720.7772</v>
      </c>
      <c r="J3209" s="2" t="s">
        <v>45</v>
      </c>
    </row>
    <row r="3210" spans="1:10" x14ac:dyDescent="0.35">
      <c r="A3210" s="1">
        <v>45933</v>
      </c>
      <c r="B3210" s="2" t="s">
        <v>25</v>
      </c>
      <c r="C3210" s="2" t="s">
        <v>20</v>
      </c>
      <c r="D3210" s="2" t="s">
        <v>21</v>
      </c>
      <c r="E3210" s="2" t="s">
        <v>24</v>
      </c>
      <c r="F3210">
        <v>430</v>
      </c>
      <c r="G3210">
        <v>227</v>
      </c>
      <c r="H3210">
        <v>97610</v>
      </c>
      <c r="I3210">
        <v>21951.685600000001</v>
      </c>
      <c r="J3210" s="2" t="s">
        <v>45</v>
      </c>
    </row>
    <row r="3211" spans="1:10" x14ac:dyDescent="0.35">
      <c r="A3211" s="1">
        <v>45933</v>
      </c>
      <c r="B3211" s="2" t="s">
        <v>15</v>
      </c>
      <c r="C3211" s="2" t="s">
        <v>16</v>
      </c>
      <c r="D3211" s="2" t="s">
        <v>17</v>
      </c>
      <c r="E3211" s="2" t="s">
        <v>13</v>
      </c>
      <c r="F3211">
        <v>292</v>
      </c>
      <c r="G3211">
        <v>363</v>
      </c>
      <c r="H3211">
        <v>105996</v>
      </c>
      <c r="I3211">
        <v>20928.348399999999</v>
      </c>
      <c r="J3211" s="2" t="s">
        <v>45</v>
      </c>
    </row>
    <row r="3212" spans="1:10" x14ac:dyDescent="0.35">
      <c r="A3212" s="1">
        <v>45933</v>
      </c>
      <c r="B3212" s="2" t="s">
        <v>31</v>
      </c>
      <c r="C3212" s="2" t="s">
        <v>20</v>
      </c>
      <c r="D3212" s="2" t="s">
        <v>12</v>
      </c>
      <c r="E3212" s="2" t="s">
        <v>33</v>
      </c>
      <c r="F3212">
        <v>840</v>
      </c>
      <c r="G3212">
        <v>476</v>
      </c>
      <c r="H3212">
        <v>399840</v>
      </c>
      <c r="I3212">
        <v>91946.534199999995</v>
      </c>
      <c r="J3212" s="2" t="s">
        <v>45</v>
      </c>
    </row>
    <row r="3213" spans="1:10" x14ac:dyDescent="0.35">
      <c r="A3213" s="1">
        <v>45933</v>
      </c>
      <c r="B3213" s="2" t="s">
        <v>10</v>
      </c>
      <c r="C3213" s="2" t="s">
        <v>27</v>
      </c>
      <c r="D3213" s="2" t="s">
        <v>12</v>
      </c>
      <c r="E3213" s="2" t="s">
        <v>33</v>
      </c>
      <c r="F3213">
        <v>273</v>
      </c>
      <c r="G3213">
        <v>188</v>
      </c>
      <c r="H3213">
        <v>51324</v>
      </c>
      <c r="I3213">
        <v>7439.8469999999998</v>
      </c>
      <c r="J3213" s="2" t="s">
        <v>45</v>
      </c>
    </row>
    <row r="3214" spans="1:10" x14ac:dyDescent="0.35">
      <c r="A3214" s="1">
        <v>45933</v>
      </c>
      <c r="B3214" s="2" t="s">
        <v>10</v>
      </c>
      <c r="C3214" s="2" t="s">
        <v>29</v>
      </c>
      <c r="D3214" s="2" t="s">
        <v>30</v>
      </c>
      <c r="E3214" s="2" t="s">
        <v>28</v>
      </c>
      <c r="F3214">
        <v>50</v>
      </c>
      <c r="G3214">
        <v>407</v>
      </c>
      <c r="H3214">
        <v>20350</v>
      </c>
      <c r="I3214">
        <v>2355.5162999999998</v>
      </c>
      <c r="J3214" s="2" t="s">
        <v>45</v>
      </c>
    </row>
    <row r="3215" spans="1:10" x14ac:dyDescent="0.35">
      <c r="A3215" s="1">
        <v>45934</v>
      </c>
      <c r="B3215" s="2" t="s">
        <v>19</v>
      </c>
      <c r="C3215" s="2" t="s">
        <v>27</v>
      </c>
      <c r="D3215" s="2" t="s">
        <v>30</v>
      </c>
      <c r="E3215" s="2" t="s">
        <v>13</v>
      </c>
      <c r="F3215">
        <v>182</v>
      </c>
      <c r="G3215">
        <v>186</v>
      </c>
      <c r="H3215">
        <v>33852</v>
      </c>
      <c r="I3215">
        <v>6150.7161999999998</v>
      </c>
      <c r="J3215" s="2" t="s">
        <v>45</v>
      </c>
    </row>
    <row r="3216" spans="1:10" x14ac:dyDescent="0.35">
      <c r="A3216" s="1">
        <v>45934</v>
      </c>
      <c r="B3216" s="2" t="s">
        <v>15</v>
      </c>
      <c r="C3216" s="2" t="s">
        <v>29</v>
      </c>
      <c r="D3216" s="2" t="s">
        <v>30</v>
      </c>
      <c r="E3216" s="2" t="s">
        <v>13</v>
      </c>
      <c r="F3216">
        <v>717</v>
      </c>
      <c r="G3216">
        <v>410</v>
      </c>
      <c r="H3216">
        <v>293970</v>
      </c>
      <c r="I3216">
        <v>48206.5746</v>
      </c>
      <c r="J3216" s="2" t="s">
        <v>45</v>
      </c>
    </row>
    <row r="3217" spans="1:10" x14ac:dyDescent="0.35">
      <c r="A3217" s="1">
        <v>45934</v>
      </c>
      <c r="B3217" s="2" t="s">
        <v>31</v>
      </c>
      <c r="C3217" s="2" t="s">
        <v>20</v>
      </c>
      <c r="D3217" s="2" t="s">
        <v>30</v>
      </c>
      <c r="E3217" s="2" t="s">
        <v>35</v>
      </c>
      <c r="F3217">
        <v>156</v>
      </c>
      <c r="G3217">
        <v>328</v>
      </c>
      <c r="H3217">
        <v>51168</v>
      </c>
      <c r="I3217">
        <v>6273.8387000000002</v>
      </c>
      <c r="J3217" s="2" t="s">
        <v>45</v>
      </c>
    </row>
    <row r="3218" spans="1:10" x14ac:dyDescent="0.35">
      <c r="A3218" s="1">
        <v>45934</v>
      </c>
      <c r="B3218" s="2" t="s">
        <v>10</v>
      </c>
      <c r="C3218" s="2" t="s">
        <v>16</v>
      </c>
      <c r="D3218" s="2" t="s">
        <v>17</v>
      </c>
      <c r="E3218" s="2" t="s">
        <v>32</v>
      </c>
      <c r="F3218">
        <v>64</v>
      </c>
      <c r="G3218">
        <v>245</v>
      </c>
      <c r="H3218">
        <v>15680</v>
      </c>
      <c r="I3218">
        <v>3050.2111</v>
      </c>
      <c r="J3218" s="2" t="s">
        <v>45</v>
      </c>
    </row>
    <row r="3219" spans="1:10" x14ac:dyDescent="0.35">
      <c r="A3219" s="1">
        <v>45934</v>
      </c>
      <c r="B3219" s="2" t="s">
        <v>26</v>
      </c>
      <c r="C3219" s="2" t="s">
        <v>27</v>
      </c>
      <c r="D3219" s="2" t="s">
        <v>21</v>
      </c>
      <c r="E3219" s="2" t="s">
        <v>28</v>
      </c>
      <c r="F3219">
        <v>695</v>
      </c>
      <c r="G3219">
        <v>495</v>
      </c>
      <c r="H3219">
        <v>344025</v>
      </c>
      <c r="I3219">
        <v>68596.053499999995</v>
      </c>
      <c r="J3219" s="2" t="s">
        <v>45</v>
      </c>
    </row>
    <row r="3220" spans="1:10" x14ac:dyDescent="0.35">
      <c r="A3220" s="1">
        <v>45935</v>
      </c>
      <c r="B3220" s="2" t="s">
        <v>25</v>
      </c>
      <c r="C3220" s="2" t="s">
        <v>27</v>
      </c>
      <c r="D3220" s="2" t="s">
        <v>17</v>
      </c>
      <c r="E3220" s="2" t="s">
        <v>32</v>
      </c>
      <c r="F3220">
        <v>152</v>
      </c>
      <c r="G3220">
        <v>420</v>
      </c>
      <c r="H3220">
        <v>63840</v>
      </c>
      <c r="I3220">
        <v>10219.1844</v>
      </c>
      <c r="J3220" s="2" t="s">
        <v>45</v>
      </c>
    </row>
    <row r="3221" spans="1:10" x14ac:dyDescent="0.35">
      <c r="A3221" s="1">
        <v>45935</v>
      </c>
      <c r="B3221" s="2" t="s">
        <v>19</v>
      </c>
      <c r="C3221" s="2" t="s">
        <v>16</v>
      </c>
      <c r="D3221" s="2" t="s">
        <v>12</v>
      </c>
      <c r="E3221" s="2" t="s">
        <v>13</v>
      </c>
      <c r="F3221">
        <v>495</v>
      </c>
      <c r="G3221">
        <v>420</v>
      </c>
      <c r="H3221">
        <v>207900</v>
      </c>
      <c r="I3221">
        <v>44785.913500000002</v>
      </c>
      <c r="J3221" s="2" t="s">
        <v>45</v>
      </c>
    </row>
    <row r="3222" spans="1:10" x14ac:dyDescent="0.35">
      <c r="A3222" s="1">
        <v>45935</v>
      </c>
      <c r="B3222" s="2" t="s">
        <v>36</v>
      </c>
      <c r="C3222" s="2" t="s">
        <v>16</v>
      </c>
      <c r="D3222" s="2" t="s">
        <v>30</v>
      </c>
      <c r="E3222" s="2" t="s">
        <v>24</v>
      </c>
      <c r="F3222">
        <v>697</v>
      </c>
      <c r="G3222">
        <v>179</v>
      </c>
      <c r="H3222">
        <v>124763</v>
      </c>
      <c r="I3222">
        <v>18479.652699999999</v>
      </c>
      <c r="J3222" s="2" t="s">
        <v>45</v>
      </c>
    </row>
    <row r="3223" spans="1:10" x14ac:dyDescent="0.35">
      <c r="A3223" s="1">
        <v>45935</v>
      </c>
      <c r="B3223" s="2" t="s">
        <v>10</v>
      </c>
      <c r="C3223" s="2" t="s">
        <v>27</v>
      </c>
      <c r="D3223" s="2" t="s">
        <v>12</v>
      </c>
      <c r="E3223" s="2" t="s">
        <v>33</v>
      </c>
      <c r="F3223">
        <v>500</v>
      </c>
      <c r="G3223">
        <v>245</v>
      </c>
      <c r="H3223">
        <v>122500</v>
      </c>
      <c r="I3223">
        <v>13499.684300000001</v>
      </c>
      <c r="J3223" s="2" t="s">
        <v>45</v>
      </c>
    </row>
    <row r="3224" spans="1:10" x14ac:dyDescent="0.35">
      <c r="A3224" s="1">
        <v>45935</v>
      </c>
      <c r="B3224" s="2" t="s">
        <v>34</v>
      </c>
      <c r="C3224" s="2" t="s">
        <v>16</v>
      </c>
      <c r="D3224" s="2" t="s">
        <v>17</v>
      </c>
      <c r="E3224" s="2" t="s">
        <v>28</v>
      </c>
      <c r="F3224">
        <v>400</v>
      </c>
      <c r="G3224">
        <v>409</v>
      </c>
      <c r="H3224">
        <v>163600</v>
      </c>
      <c r="I3224">
        <v>40181.741399999999</v>
      </c>
      <c r="J3224" s="2" t="s">
        <v>45</v>
      </c>
    </row>
    <row r="3225" spans="1:10" x14ac:dyDescent="0.35">
      <c r="A3225" s="1">
        <v>45936</v>
      </c>
      <c r="B3225" s="2" t="s">
        <v>26</v>
      </c>
      <c r="C3225" s="2" t="s">
        <v>20</v>
      </c>
      <c r="D3225" s="2" t="s">
        <v>12</v>
      </c>
      <c r="E3225" s="2" t="s">
        <v>18</v>
      </c>
      <c r="F3225">
        <v>601</v>
      </c>
      <c r="G3225">
        <v>248</v>
      </c>
      <c r="H3225">
        <v>149048</v>
      </c>
      <c r="I3225">
        <v>29788.369600000002</v>
      </c>
      <c r="J3225" s="2" t="s">
        <v>45</v>
      </c>
    </row>
    <row r="3226" spans="1:10" x14ac:dyDescent="0.35">
      <c r="A3226" s="1">
        <v>45936</v>
      </c>
      <c r="B3226" s="2" t="s">
        <v>34</v>
      </c>
      <c r="C3226" s="2" t="s">
        <v>27</v>
      </c>
      <c r="D3226" s="2" t="s">
        <v>30</v>
      </c>
      <c r="E3226" s="2" t="s">
        <v>35</v>
      </c>
      <c r="F3226">
        <v>456</v>
      </c>
      <c r="G3226">
        <v>257</v>
      </c>
      <c r="H3226">
        <v>117192</v>
      </c>
      <c r="I3226">
        <v>11965.441800000001</v>
      </c>
      <c r="J3226" s="2" t="s">
        <v>45</v>
      </c>
    </row>
    <row r="3227" spans="1:10" x14ac:dyDescent="0.35">
      <c r="A3227" s="1">
        <v>45936</v>
      </c>
      <c r="B3227" s="2" t="s">
        <v>31</v>
      </c>
      <c r="C3227" s="2" t="s">
        <v>16</v>
      </c>
      <c r="D3227" s="2" t="s">
        <v>12</v>
      </c>
      <c r="E3227" s="2" t="s">
        <v>32</v>
      </c>
      <c r="F3227">
        <v>347</v>
      </c>
      <c r="G3227">
        <v>105</v>
      </c>
      <c r="H3227">
        <v>36435</v>
      </c>
      <c r="I3227">
        <v>3148.6781999999998</v>
      </c>
      <c r="J3227" s="2" t="s">
        <v>45</v>
      </c>
    </row>
    <row r="3228" spans="1:10" x14ac:dyDescent="0.35">
      <c r="A3228" s="1">
        <v>45937</v>
      </c>
      <c r="B3228" s="2" t="s">
        <v>36</v>
      </c>
      <c r="C3228" s="2" t="s">
        <v>11</v>
      </c>
      <c r="D3228" s="2" t="s">
        <v>30</v>
      </c>
      <c r="E3228" s="2" t="s">
        <v>35</v>
      </c>
      <c r="F3228">
        <v>185</v>
      </c>
      <c r="G3228">
        <v>345</v>
      </c>
      <c r="H3228">
        <v>63825</v>
      </c>
      <c r="I3228">
        <v>8424.3485000000001</v>
      </c>
      <c r="J3228" s="2" t="s">
        <v>45</v>
      </c>
    </row>
    <row r="3229" spans="1:10" x14ac:dyDescent="0.35">
      <c r="A3229" s="1">
        <v>45937</v>
      </c>
      <c r="B3229" s="2" t="s">
        <v>15</v>
      </c>
      <c r="C3229" s="2" t="s">
        <v>20</v>
      </c>
      <c r="D3229" s="2" t="s">
        <v>17</v>
      </c>
      <c r="E3229" s="2" t="s">
        <v>32</v>
      </c>
      <c r="F3229">
        <v>62</v>
      </c>
      <c r="G3229">
        <v>326</v>
      </c>
      <c r="H3229">
        <v>20212</v>
      </c>
      <c r="I3229">
        <v>4053.4915999999998</v>
      </c>
      <c r="J3229" s="2" t="s">
        <v>45</v>
      </c>
    </row>
    <row r="3230" spans="1:10" x14ac:dyDescent="0.35">
      <c r="A3230" s="1">
        <v>45938</v>
      </c>
      <c r="B3230" s="2" t="s">
        <v>19</v>
      </c>
      <c r="C3230" s="2" t="s">
        <v>16</v>
      </c>
      <c r="D3230" s="2" t="s">
        <v>21</v>
      </c>
      <c r="E3230" s="2" t="s">
        <v>28</v>
      </c>
      <c r="F3230">
        <v>760</v>
      </c>
      <c r="G3230">
        <v>447</v>
      </c>
      <c r="H3230">
        <v>339720</v>
      </c>
      <c r="I3230">
        <v>38330.907500000001</v>
      </c>
      <c r="J3230" s="2" t="s">
        <v>45</v>
      </c>
    </row>
    <row r="3231" spans="1:10" x14ac:dyDescent="0.35">
      <c r="A3231" s="1">
        <v>45938</v>
      </c>
      <c r="B3231" s="2" t="s">
        <v>34</v>
      </c>
      <c r="C3231" s="2" t="s">
        <v>27</v>
      </c>
      <c r="D3231" s="2" t="s">
        <v>21</v>
      </c>
      <c r="E3231" s="2" t="s">
        <v>13</v>
      </c>
      <c r="F3231">
        <v>397</v>
      </c>
      <c r="G3231">
        <v>370</v>
      </c>
      <c r="H3231">
        <v>146890</v>
      </c>
      <c r="I3231">
        <v>13717.9629</v>
      </c>
      <c r="J3231" s="2" t="s">
        <v>45</v>
      </c>
    </row>
    <row r="3232" spans="1:10" x14ac:dyDescent="0.35">
      <c r="A3232" s="1">
        <v>45938</v>
      </c>
      <c r="B3232" s="2" t="s">
        <v>15</v>
      </c>
      <c r="C3232" s="2" t="s">
        <v>11</v>
      </c>
      <c r="D3232" s="2" t="s">
        <v>30</v>
      </c>
      <c r="E3232" s="2" t="s">
        <v>32</v>
      </c>
      <c r="F3232">
        <v>243</v>
      </c>
      <c r="G3232">
        <v>474</v>
      </c>
      <c r="H3232">
        <v>115182</v>
      </c>
      <c r="I3232">
        <v>15784.246300000001</v>
      </c>
      <c r="J3232" s="2" t="s">
        <v>45</v>
      </c>
    </row>
    <row r="3233" spans="1:10" x14ac:dyDescent="0.35">
      <c r="A3233" s="1">
        <v>45938</v>
      </c>
      <c r="B3233" s="2" t="s">
        <v>36</v>
      </c>
      <c r="C3233" s="2" t="s">
        <v>29</v>
      </c>
      <c r="D3233" s="2" t="s">
        <v>17</v>
      </c>
      <c r="E3233" s="2" t="s">
        <v>35</v>
      </c>
      <c r="F3233">
        <v>879</v>
      </c>
      <c r="G3233">
        <v>407</v>
      </c>
      <c r="H3233">
        <v>357753</v>
      </c>
      <c r="I3233">
        <v>77923.701300000001</v>
      </c>
      <c r="J3233" s="2" t="s">
        <v>45</v>
      </c>
    </row>
    <row r="3234" spans="1:10" x14ac:dyDescent="0.35">
      <c r="A3234" s="1">
        <v>45939</v>
      </c>
      <c r="B3234" s="2" t="s">
        <v>25</v>
      </c>
      <c r="C3234" s="2" t="s">
        <v>20</v>
      </c>
      <c r="D3234" s="2" t="s">
        <v>30</v>
      </c>
      <c r="E3234" s="2" t="s">
        <v>28</v>
      </c>
      <c r="F3234">
        <v>508</v>
      </c>
      <c r="G3234">
        <v>490</v>
      </c>
      <c r="H3234">
        <v>248920</v>
      </c>
      <c r="I3234">
        <v>51328.486700000001</v>
      </c>
      <c r="J3234" s="2" t="s">
        <v>45</v>
      </c>
    </row>
    <row r="3235" spans="1:10" x14ac:dyDescent="0.35">
      <c r="A3235" s="1">
        <v>45939</v>
      </c>
      <c r="B3235" s="2" t="s">
        <v>36</v>
      </c>
      <c r="C3235" s="2" t="s">
        <v>20</v>
      </c>
      <c r="D3235" s="2" t="s">
        <v>17</v>
      </c>
      <c r="E3235" s="2" t="s">
        <v>32</v>
      </c>
      <c r="F3235">
        <v>766</v>
      </c>
      <c r="G3235">
        <v>360</v>
      </c>
      <c r="H3235">
        <v>275760</v>
      </c>
      <c r="I3235">
        <v>22207.267</v>
      </c>
      <c r="J3235" s="2" t="s">
        <v>45</v>
      </c>
    </row>
    <row r="3236" spans="1:10" x14ac:dyDescent="0.35">
      <c r="A3236" s="1">
        <v>45939</v>
      </c>
      <c r="B3236" s="2" t="s">
        <v>34</v>
      </c>
      <c r="C3236" s="2" t="s">
        <v>23</v>
      </c>
      <c r="D3236" s="2" t="s">
        <v>17</v>
      </c>
      <c r="E3236" s="2" t="s">
        <v>32</v>
      </c>
      <c r="F3236">
        <v>108</v>
      </c>
      <c r="G3236">
        <v>164</v>
      </c>
      <c r="H3236">
        <v>17712</v>
      </c>
      <c r="I3236">
        <v>3266.7397000000001</v>
      </c>
      <c r="J3236" s="2" t="s">
        <v>45</v>
      </c>
    </row>
    <row r="3237" spans="1:10" x14ac:dyDescent="0.35">
      <c r="A3237" s="1">
        <v>45939</v>
      </c>
      <c r="B3237" s="2" t="s">
        <v>31</v>
      </c>
      <c r="C3237" s="2" t="s">
        <v>27</v>
      </c>
      <c r="D3237" s="2" t="s">
        <v>12</v>
      </c>
      <c r="E3237" s="2" t="s">
        <v>32</v>
      </c>
      <c r="F3237">
        <v>185</v>
      </c>
      <c r="G3237">
        <v>410</v>
      </c>
      <c r="H3237">
        <v>75850</v>
      </c>
      <c r="I3237">
        <v>11689.6057</v>
      </c>
      <c r="J3237" s="2" t="s">
        <v>45</v>
      </c>
    </row>
    <row r="3238" spans="1:10" x14ac:dyDescent="0.35">
      <c r="A3238" s="1">
        <v>45939</v>
      </c>
      <c r="B3238" s="2" t="s">
        <v>34</v>
      </c>
      <c r="C3238" s="2" t="s">
        <v>20</v>
      </c>
      <c r="D3238" s="2" t="s">
        <v>12</v>
      </c>
      <c r="E3238" s="2" t="s">
        <v>24</v>
      </c>
      <c r="F3238">
        <v>734</v>
      </c>
      <c r="G3238">
        <v>460</v>
      </c>
      <c r="H3238">
        <v>337640</v>
      </c>
      <c r="I3238">
        <v>46280.343999999997</v>
      </c>
      <c r="J3238" s="2" t="s">
        <v>45</v>
      </c>
    </row>
    <row r="3239" spans="1:10" x14ac:dyDescent="0.35">
      <c r="A3239" s="1">
        <v>45940</v>
      </c>
      <c r="B3239" s="2" t="s">
        <v>19</v>
      </c>
      <c r="C3239" s="2" t="s">
        <v>16</v>
      </c>
      <c r="D3239" s="2" t="s">
        <v>30</v>
      </c>
      <c r="E3239" s="2" t="s">
        <v>18</v>
      </c>
      <c r="F3239">
        <v>725</v>
      </c>
      <c r="G3239">
        <v>351</v>
      </c>
      <c r="H3239">
        <v>254475</v>
      </c>
      <c r="I3239">
        <v>33450.680500000002</v>
      </c>
      <c r="J3239" s="2" t="s">
        <v>45</v>
      </c>
    </row>
    <row r="3240" spans="1:10" x14ac:dyDescent="0.35">
      <c r="A3240" s="1">
        <v>45940</v>
      </c>
      <c r="B3240" s="2" t="s">
        <v>19</v>
      </c>
      <c r="C3240" s="2" t="s">
        <v>27</v>
      </c>
      <c r="D3240" s="2" t="s">
        <v>17</v>
      </c>
      <c r="E3240" s="2" t="s">
        <v>22</v>
      </c>
      <c r="F3240">
        <v>876</v>
      </c>
      <c r="G3240">
        <v>120</v>
      </c>
      <c r="H3240">
        <v>105120</v>
      </c>
      <c r="I3240">
        <v>10469.3285</v>
      </c>
      <c r="J3240" s="2" t="s">
        <v>45</v>
      </c>
    </row>
    <row r="3241" spans="1:10" x14ac:dyDescent="0.35">
      <c r="A3241" s="1">
        <v>45940</v>
      </c>
      <c r="B3241" s="2" t="s">
        <v>34</v>
      </c>
      <c r="C3241" s="2" t="s">
        <v>20</v>
      </c>
      <c r="D3241" s="2" t="s">
        <v>21</v>
      </c>
      <c r="E3241" s="2" t="s">
        <v>24</v>
      </c>
      <c r="F3241">
        <v>718</v>
      </c>
      <c r="G3241">
        <v>116</v>
      </c>
      <c r="H3241">
        <v>83288</v>
      </c>
      <c r="I3241">
        <v>10697.349700000001</v>
      </c>
      <c r="J3241" s="2" t="s">
        <v>45</v>
      </c>
    </row>
    <row r="3242" spans="1:10" x14ac:dyDescent="0.35">
      <c r="A3242" s="1">
        <v>45940</v>
      </c>
      <c r="B3242" s="2" t="s">
        <v>19</v>
      </c>
      <c r="C3242" s="2" t="s">
        <v>23</v>
      </c>
      <c r="D3242" s="2" t="s">
        <v>17</v>
      </c>
      <c r="E3242" s="2" t="s">
        <v>32</v>
      </c>
      <c r="F3242">
        <v>199</v>
      </c>
      <c r="G3242">
        <v>491</v>
      </c>
      <c r="H3242">
        <v>97709</v>
      </c>
      <c r="I3242">
        <v>22588.925800000001</v>
      </c>
      <c r="J3242" s="2" t="s">
        <v>45</v>
      </c>
    </row>
    <row r="3243" spans="1:10" x14ac:dyDescent="0.35">
      <c r="A3243" s="1">
        <v>45940</v>
      </c>
      <c r="B3243" s="2" t="s">
        <v>10</v>
      </c>
      <c r="C3243" s="2" t="s">
        <v>27</v>
      </c>
      <c r="D3243" s="2" t="s">
        <v>30</v>
      </c>
      <c r="E3243" s="2" t="s">
        <v>35</v>
      </c>
      <c r="F3243">
        <v>977</v>
      </c>
      <c r="G3243">
        <v>341</v>
      </c>
      <c r="H3243">
        <v>333157</v>
      </c>
      <c r="I3243">
        <v>37727.773999999998</v>
      </c>
      <c r="J3243" s="2" t="s">
        <v>45</v>
      </c>
    </row>
    <row r="3244" spans="1:10" x14ac:dyDescent="0.35">
      <c r="A3244" s="1">
        <v>45941</v>
      </c>
      <c r="B3244" s="2" t="s">
        <v>34</v>
      </c>
      <c r="C3244" s="2" t="s">
        <v>27</v>
      </c>
      <c r="D3244" s="2" t="s">
        <v>17</v>
      </c>
      <c r="E3244" s="2" t="s">
        <v>24</v>
      </c>
      <c r="F3244">
        <v>469</v>
      </c>
      <c r="G3244">
        <v>187</v>
      </c>
      <c r="H3244">
        <v>87703</v>
      </c>
      <c r="I3244">
        <v>20309.269199999999</v>
      </c>
      <c r="J3244" s="2" t="s">
        <v>45</v>
      </c>
    </row>
    <row r="3245" spans="1:10" x14ac:dyDescent="0.35">
      <c r="A3245" s="1">
        <v>45941</v>
      </c>
      <c r="B3245" s="2" t="s">
        <v>34</v>
      </c>
      <c r="C3245" s="2" t="s">
        <v>29</v>
      </c>
      <c r="D3245" s="2" t="s">
        <v>12</v>
      </c>
      <c r="E3245" s="2" t="s">
        <v>24</v>
      </c>
      <c r="F3245">
        <v>974</v>
      </c>
      <c r="G3245">
        <v>119</v>
      </c>
      <c r="H3245">
        <v>115906</v>
      </c>
      <c r="I3245">
        <v>16220.4445</v>
      </c>
      <c r="J3245" s="2" t="s">
        <v>45</v>
      </c>
    </row>
    <row r="3246" spans="1:10" x14ac:dyDescent="0.35">
      <c r="A3246" s="1">
        <v>45941</v>
      </c>
      <c r="B3246" s="2" t="s">
        <v>26</v>
      </c>
      <c r="C3246" s="2" t="s">
        <v>20</v>
      </c>
      <c r="D3246" s="2" t="s">
        <v>12</v>
      </c>
      <c r="E3246" s="2" t="s">
        <v>24</v>
      </c>
      <c r="F3246">
        <v>444</v>
      </c>
      <c r="G3246">
        <v>232</v>
      </c>
      <c r="H3246">
        <v>103008</v>
      </c>
      <c r="I3246">
        <v>21549.9015</v>
      </c>
      <c r="J3246" s="2" t="s">
        <v>45</v>
      </c>
    </row>
    <row r="3247" spans="1:10" x14ac:dyDescent="0.35">
      <c r="A3247" s="1">
        <v>45941</v>
      </c>
      <c r="B3247" s="2" t="s">
        <v>10</v>
      </c>
      <c r="C3247" s="2" t="s">
        <v>27</v>
      </c>
      <c r="D3247" s="2" t="s">
        <v>30</v>
      </c>
      <c r="E3247" s="2" t="s">
        <v>32</v>
      </c>
      <c r="F3247">
        <v>246</v>
      </c>
      <c r="G3247">
        <v>116</v>
      </c>
      <c r="H3247">
        <v>28536</v>
      </c>
      <c r="I3247">
        <v>5378.5712000000003</v>
      </c>
      <c r="J3247" s="2" t="s">
        <v>45</v>
      </c>
    </row>
    <row r="3248" spans="1:10" x14ac:dyDescent="0.35">
      <c r="A3248" s="1">
        <v>45941</v>
      </c>
      <c r="B3248" s="2" t="s">
        <v>26</v>
      </c>
      <c r="C3248" s="2" t="s">
        <v>29</v>
      </c>
      <c r="D3248" s="2" t="s">
        <v>30</v>
      </c>
      <c r="E3248" s="2" t="s">
        <v>18</v>
      </c>
      <c r="F3248">
        <v>246</v>
      </c>
      <c r="G3248">
        <v>398</v>
      </c>
      <c r="H3248">
        <v>97908</v>
      </c>
      <c r="I3248">
        <v>8499.4223999999995</v>
      </c>
      <c r="J3248" s="2" t="s">
        <v>45</v>
      </c>
    </row>
    <row r="3249" spans="1:10" x14ac:dyDescent="0.35">
      <c r="A3249" s="1">
        <v>45941</v>
      </c>
      <c r="B3249" s="2" t="s">
        <v>34</v>
      </c>
      <c r="C3249" s="2" t="s">
        <v>16</v>
      </c>
      <c r="D3249" s="2" t="s">
        <v>30</v>
      </c>
      <c r="E3249" s="2" t="s">
        <v>13</v>
      </c>
      <c r="F3249">
        <v>298</v>
      </c>
      <c r="G3249">
        <v>182</v>
      </c>
      <c r="H3249">
        <v>54236</v>
      </c>
      <c r="I3249">
        <v>7777.3537999999999</v>
      </c>
      <c r="J3249" s="2" t="s">
        <v>45</v>
      </c>
    </row>
    <row r="3250" spans="1:10" x14ac:dyDescent="0.35">
      <c r="A3250" s="1">
        <v>45941</v>
      </c>
      <c r="B3250" s="2" t="s">
        <v>26</v>
      </c>
      <c r="C3250" s="2" t="s">
        <v>23</v>
      </c>
      <c r="D3250" s="2" t="s">
        <v>21</v>
      </c>
      <c r="E3250" s="2" t="s">
        <v>22</v>
      </c>
      <c r="F3250">
        <v>972</v>
      </c>
      <c r="G3250">
        <v>462</v>
      </c>
      <c r="H3250">
        <v>449064</v>
      </c>
      <c r="I3250">
        <v>52052.492100000003</v>
      </c>
      <c r="J3250" s="2" t="s">
        <v>45</v>
      </c>
    </row>
    <row r="3251" spans="1:10" x14ac:dyDescent="0.35">
      <c r="A3251" s="1">
        <v>45941</v>
      </c>
      <c r="B3251" s="2" t="s">
        <v>15</v>
      </c>
      <c r="C3251" s="2" t="s">
        <v>29</v>
      </c>
      <c r="D3251" s="2" t="s">
        <v>30</v>
      </c>
      <c r="E3251" s="2" t="s">
        <v>33</v>
      </c>
      <c r="F3251">
        <v>911</v>
      </c>
      <c r="G3251">
        <v>499</v>
      </c>
      <c r="H3251">
        <v>454589</v>
      </c>
      <c r="I3251">
        <v>100940.4406</v>
      </c>
      <c r="J3251" s="2" t="s">
        <v>45</v>
      </c>
    </row>
    <row r="3252" spans="1:10" x14ac:dyDescent="0.35">
      <c r="A3252" s="1">
        <v>45942</v>
      </c>
      <c r="B3252" s="2" t="s">
        <v>25</v>
      </c>
      <c r="C3252" s="2" t="s">
        <v>20</v>
      </c>
      <c r="D3252" s="2" t="s">
        <v>21</v>
      </c>
      <c r="E3252" s="2" t="s">
        <v>18</v>
      </c>
      <c r="F3252">
        <v>217</v>
      </c>
      <c r="G3252">
        <v>269</v>
      </c>
      <c r="H3252">
        <v>58373</v>
      </c>
      <c r="I3252">
        <v>6734.7047000000002</v>
      </c>
      <c r="J3252" s="2" t="s">
        <v>45</v>
      </c>
    </row>
    <row r="3253" spans="1:10" x14ac:dyDescent="0.35">
      <c r="A3253" s="1">
        <v>45942</v>
      </c>
      <c r="B3253" s="2" t="s">
        <v>25</v>
      </c>
      <c r="C3253" s="2" t="s">
        <v>16</v>
      </c>
      <c r="D3253" s="2" t="s">
        <v>30</v>
      </c>
      <c r="E3253" s="2" t="s">
        <v>33</v>
      </c>
      <c r="F3253">
        <v>672</v>
      </c>
      <c r="G3253">
        <v>170</v>
      </c>
      <c r="H3253">
        <v>114240</v>
      </c>
      <c r="I3253">
        <v>19562.705099999999</v>
      </c>
      <c r="J3253" s="2" t="s">
        <v>45</v>
      </c>
    </row>
    <row r="3254" spans="1:10" x14ac:dyDescent="0.35">
      <c r="A3254" s="1">
        <v>45942</v>
      </c>
      <c r="B3254" s="2" t="s">
        <v>26</v>
      </c>
      <c r="C3254" s="2" t="s">
        <v>20</v>
      </c>
      <c r="D3254" s="2" t="s">
        <v>17</v>
      </c>
      <c r="E3254" s="2" t="s">
        <v>13</v>
      </c>
      <c r="F3254">
        <v>268</v>
      </c>
      <c r="G3254">
        <v>133</v>
      </c>
      <c r="H3254">
        <v>35644</v>
      </c>
      <c r="I3254">
        <v>4455.4544999999998</v>
      </c>
      <c r="J3254" s="2" t="s">
        <v>45</v>
      </c>
    </row>
    <row r="3255" spans="1:10" x14ac:dyDescent="0.35">
      <c r="A3255" s="1">
        <v>45943</v>
      </c>
      <c r="B3255" s="2" t="s">
        <v>25</v>
      </c>
      <c r="C3255" s="2" t="s">
        <v>29</v>
      </c>
      <c r="D3255" s="2" t="s">
        <v>21</v>
      </c>
      <c r="E3255" s="2" t="s">
        <v>24</v>
      </c>
      <c r="F3255">
        <v>409</v>
      </c>
      <c r="G3255">
        <v>222</v>
      </c>
      <c r="H3255">
        <v>90798</v>
      </c>
      <c r="I3255">
        <v>10243.109700000001</v>
      </c>
      <c r="J3255" s="2" t="s">
        <v>45</v>
      </c>
    </row>
    <row r="3256" spans="1:10" x14ac:dyDescent="0.35">
      <c r="A3256" s="1">
        <v>45943</v>
      </c>
      <c r="B3256" s="2" t="s">
        <v>36</v>
      </c>
      <c r="C3256" s="2" t="s">
        <v>11</v>
      </c>
      <c r="D3256" s="2" t="s">
        <v>17</v>
      </c>
      <c r="E3256" s="2" t="s">
        <v>32</v>
      </c>
      <c r="F3256">
        <v>391</v>
      </c>
      <c r="G3256">
        <v>488</v>
      </c>
      <c r="H3256">
        <v>190808</v>
      </c>
      <c r="I3256">
        <v>18444.001799999998</v>
      </c>
      <c r="J3256" s="2" t="s">
        <v>45</v>
      </c>
    </row>
    <row r="3257" spans="1:10" x14ac:dyDescent="0.35">
      <c r="A3257" s="1">
        <v>45943</v>
      </c>
      <c r="B3257" s="2" t="s">
        <v>34</v>
      </c>
      <c r="C3257" s="2" t="s">
        <v>16</v>
      </c>
      <c r="D3257" s="2" t="s">
        <v>17</v>
      </c>
      <c r="E3257" s="2" t="s">
        <v>24</v>
      </c>
      <c r="F3257">
        <v>386</v>
      </c>
      <c r="G3257">
        <v>174</v>
      </c>
      <c r="H3257">
        <v>67164</v>
      </c>
      <c r="I3257">
        <v>14615.649299999999</v>
      </c>
      <c r="J3257" s="2" t="s">
        <v>45</v>
      </c>
    </row>
    <row r="3258" spans="1:10" x14ac:dyDescent="0.35">
      <c r="A3258" s="1">
        <v>45943</v>
      </c>
      <c r="B3258" s="2" t="s">
        <v>25</v>
      </c>
      <c r="C3258" s="2" t="s">
        <v>29</v>
      </c>
      <c r="D3258" s="2" t="s">
        <v>17</v>
      </c>
      <c r="E3258" s="2" t="s">
        <v>13</v>
      </c>
      <c r="F3258">
        <v>735</v>
      </c>
      <c r="G3258">
        <v>426</v>
      </c>
      <c r="H3258">
        <v>313110</v>
      </c>
      <c r="I3258">
        <v>37431.096799999999</v>
      </c>
      <c r="J3258" s="2" t="s">
        <v>45</v>
      </c>
    </row>
    <row r="3259" spans="1:10" x14ac:dyDescent="0.35">
      <c r="A3259" s="1">
        <v>45943</v>
      </c>
      <c r="B3259" s="2" t="s">
        <v>31</v>
      </c>
      <c r="C3259" s="2" t="s">
        <v>20</v>
      </c>
      <c r="D3259" s="2" t="s">
        <v>17</v>
      </c>
      <c r="E3259" s="2" t="s">
        <v>33</v>
      </c>
      <c r="F3259">
        <v>171</v>
      </c>
      <c r="G3259">
        <v>485</v>
      </c>
      <c r="H3259">
        <v>82935</v>
      </c>
      <c r="I3259">
        <v>16768.831699999999</v>
      </c>
      <c r="J3259" s="2" t="s">
        <v>45</v>
      </c>
    </row>
    <row r="3260" spans="1:10" x14ac:dyDescent="0.35">
      <c r="A3260" s="1">
        <v>45943</v>
      </c>
      <c r="B3260" s="2" t="s">
        <v>19</v>
      </c>
      <c r="C3260" s="2" t="s">
        <v>16</v>
      </c>
      <c r="D3260" s="2" t="s">
        <v>30</v>
      </c>
      <c r="E3260" s="2" t="s">
        <v>32</v>
      </c>
      <c r="F3260">
        <v>718</v>
      </c>
      <c r="G3260">
        <v>448</v>
      </c>
      <c r="H3260">
        <v>321664</v>
      </c>
      <c r="I3260">
        <v>31312.408500000001</v>
      </c>
      <c r="J3260" s="2" t="s">
        <v>45</v>
      </c>
    </row>
    <row r="3261" spans="1:10" x14ac:dyDescent="0.35">
      <c r="A3261" s="1">
        <v>45944</v>
      </c>
      <c r="B3261" s="2" t="s">
        <v>31</v>
      </c>
      <c r="C3261" s="2" t="s">
        <v>20</v>
      </c>
      <c r="D3261" s="2" t="s">
        <v>17</v>
      </c>
      <c r="E3261" s="2" t="s">
        <v>28</v>
      </c>
      <c r="F3261">
        <v>932</v>
      </c>
      <c r="G3261">
        <v>435</v>
      </c>
      <c r="H3261">
        <v>405420</v>
      </c>
      <c r="I3261">
        <v>63599.037199999999</v>
      </c>
      <c r="J3261" s="2" t="s">
        <v>45</v>
      </c>
    </row>
    <row r="3262" spans="1:10" x14ac:dyDescent="0.35">
      <c r="A3262" s="1">
        <v>45944</v>
      </c>
      <c r="B3262" s="2" t="s">
        <v>31</v>
      </c>
      <c r="C3262" s="2" t="s">
        <v>11</v>
      </c>
      <c r="D3262" s="2" t="s">
        <v>30</v>
      </c>
      <c r="E3262" s="2" t="s">
        <v>35</v>
      </c>
      <c r="F3262">
        <v>563</v>
      </c>
      <c r="G3262">
        <v>323</v>
      </c>
      <c r="H3262">
        <v>181849</v>
      </c>
      <c r="I3262">
        <v>28373.4355</v>
      </c>
      <c r="J3262" s="2" t="s">
        <v>45</v>
      </c>
    </row>
    <row r="3263" spans="1:10" x14ac:dyDescent="0.35">
      <c r="A3263" s="1">
        <v>45944</v>
      </c>
      <c r="B3263" s="2" t="s">
        <v>36</v>
      </c>
      <c r="C3263" s="2" t="s">
        <v>11</v>
      </c>
      <c r="D3263" s="2" t="s">
        <v>12</v>
      </c>
      <c r="E3263" s="2" t="s">
        <v>24</v>
      </c>
      <c r="F3263">
        <v>557</v>
      </c>
      <c r="G3263">
        <v>215</v>
      </c>
      <c r="H3263">
        <v>119755</v>
      </c>
      <c r="I3263">
        <v>22344.513599999998</v>
      </c>
      <c r="J3263" s="2" t="s">
        <v>45</v>
      </c>
    </row>
    <row r="3264" spans="1:10" x14ac:dyDescent="0.35">
      <c r="A3264" s="1">
        <v>45945</v>
      </c>
      <c r="B3264" s="2" t="s">
        <v>25</v>
      </c>
      <c r="C3264" s="2" t="s">
        <v>23</v>
      </c>
      <c r="D3264" s="2" t="s">
        <v>17</v>
      </c>
      <c r="E3264" s="2" t="s">
        <v>33</v>
      </c>
      <c r="F3264">
        <v>839</v>
      </c>
      <c r="G3264">
        <v>399</v>
      </c>
      <c r="H3264">
        <v>334761</v>
      </c>
      <c r="I3264">
        <v>73387.569300000003</v>
      </c>
      <c r="J3264" s="2" t="s">
        <v>45</v>
      </c>
    </row>
    <row r="3265" spans="1:10" x14ac:dyDescent="0.35">
      <c r="A3265" s="1">
        <v>45946</v>
      </c>
      <c r="B3265" s="2" t="s">
        <v>36</v>
      </c>
      <c r="C3265" s="2" t="s">
        <v>16</v>
      </c>
      <c r="D3265" s="2" t="s">
        <v>21</v>
      </c>
      <c r="E3265" s="2" t="s">
        <v>28</v>
      </c>
      <c r="F3265">
        <v>240</v>
      </c>
      <c r="G3265">
        <v>417</v>
      </c>
      <c r="H3265">
        <v>100080</v>
      </c>
      <c r="I3265">
        <v>24825.883000000002</v>
      </c>
      <c r="J3265" s="2" t="s">
        <v>45</v>
      </c>
    </row>
    <row r="3266" spans="1:10" x14ac:dyDescent="0.35">
      <c r="A3266" s="1">
        <v>45946</v>
      </c>
      <c r="B3266" s="2" t="s">
        <v>10</v>
      </c>
      <c r="C3266" s="2" t="s">
        <v>29</v>
      </c>
      <c r="D3266" s="2" t="s">
        <v>30</v>
      </c>
      <c r="E3266" s="2" t="s">
        <v>13</v>
      </c>
      <c r="F3266">
        <v>244</v>
      </c>
      <c r="G3266">
        <v>488</v>
      </c>
      <c r="H3266">
        <v>119072</v>
      </c>
      <c r="I3266">
        <v>25744.1299</v>
      </c>
      <c r="J3266" s="2" t="s">
        <v>45</v>
      </c>
    </row>
    <row r="3267" spans="1:10" x14ac:dyDescent="0.35">
      <c r="A3267" s="1">
        <v>45946</v>
      </c>
      <c r="B3267" s="2" t="s">
        <v>31</v>
      </c>
      <c r="C3267" s="2" t="s">
        <v>27</v>
      </c>
      <c r="D3267" s="2" t="s">
        <v>30</v>
      </c>
      <c r="E3267" s="2" t="s">
        <v>32</v>
      </c>
      <c r="F3267">
        <v>565</v>
      </c>
      <c r="G3267">
        <v>388</v>
      </c>
      <c r="H3267">
        <v>219220</v>
      </c>
      <c r="I3267">
        <v>47520.326399999998</v>
      </c>
      <c r="J3267" s="2" t="s">
        <v>45</v>
      </c>
    </row>
    <row r="3268" spans="1:10" x14ac:dyDescent="0.35">
      <c r="A3268" s="1">
        <v>45946</v>
      </c>
      <c r="B3268" s="2" t="s">
        <v>31</v>
      </c>
      <c r="C3268" s="2" t="s">
        <v>20</v>
      </c>
      <c r="D3268" s="2" t="s">
        <v>30</v>
      </c>
      <c r="E3268" s="2" t="s">
        <v>32</v>
      </c>
      <c r="F3268">
        <v>335</v>
      </c>
      <c r="G3268">
        <v>349</v>
      </c>
      <c r="H3268">
        <v>116915</v>
      </c>
      <c r="I3268">
        <v>11033.592699999999</v>
      </c>
      <c r="J3268" s="2" t="s">
        <v>45</v>
      </c>
    </row>
    <row r="3269" spans="1:10" x14ac:dyDescent="0.35">
      <c r="A3269" s="1">
        <v>45946</v>
      </c>
      <c r="B3269" s="2" t="s">
        <v>31</v>
      </c>
      <c r="C3269" s="2" t="s">
        <v>23</v>
      </c>
      <c r="D3269" s="2" t="s">
        <v>12</v>
      </c>
      <c r="E3269" s="2" t="s">
        <v>22</v>
      </c>
      <c r="F3269">
        <v>729</v>
      </c>
      <c r="G3269">
        <v>349</v>
      </c>
      <c r="H3269">
        <v>254421</v>
      </c>
      <c r="I3269">
        <v>45061.437899999997</v>
      </c>
      <c r="J3269" s="2" t="s">
        <v>45</v>
      </c>
    </row>
    <row r="3270" spans="1:10" x14ac:dyDescent="0.35">
      <c r="A3270" s="1">
        <v>45947</v>
      </c>
      <c r="B3270" s="2" t="s">
        <v>19</v>
      </c>
      <c r="C3270" s="2" t="s">
        <v>20</v>
      </c>
      <c r="D3270" s="2" t="s">
        <v>30</v>
      </c>
      <c r="E3270" s="2" t="s">
        <v>24</v>
      </c>
      <c r="F3270">
        <v>65</v>
      </c>
      <c r="G3270">
        <v>401</v>
      </c>
      <c r="H3270">
        <v>26065</v>
      </c>
      <c r="I3270">
        <v>3464.5848999999998</v>
      </c>
      <c r="J3270" s="2" t="s">
        <v>45</v>
      </c>
    </row>
    <row r="3271" spans="1:10" x14ac:dyDescent="0.35">
      <c r="A3271" s="1">
        <v>45947</v>
      </c>
      <c r="B3271" s="2" t="s">
        <v>10</v>
      </c>
      <c r="C3271" s="2" t="s">
        <v>27</v>
      </c>
      <c r="D3271" s="2" t="s">
        <v>12</v>
      </c>
      <c r="E3271" s="2" t="s">
        <v>33</v>
      </c>
      <c r="F3271">
        <v>290</v>
      </c>
      <c r="G3271">
        <v>330</v>
      </c>
      <c r="H3271">
        <v>95700</v>
      </c>
      <c r="I3271">
        <v>11178.111800000001</v>
      </c>
      <c r="J3271" s="2" t="s">
        <v>45</v>
      </c>
    </row>
    <row r="3272" spans="1:10" x14ac:dyDescent="0.35">
      <c r="A3272" s="1">
        <v>45947</v>
      </c>
      <c r="B3272" s="2" t="s">
        <v>25</v>
      </c>
      <c r="C3272" s="2" t="s">
        <v>16</v>
      </c>
      <c r="D3272" s="2" t="s">
        <v>30</v>
      </c>
      <c r="E3272" s="2" t="s">
        <v>18</v>
      </c>
      <c r="F3272">
        <v>951</v>
      </c>
      <c r="G3272">
        <v>148</v>
      </c>
      <c r="H3272">
        <v>140748</v>
      </c>
      <c r="I3272">
        <v>18889.667799999999</v>
      </c>
      <c r="J3272" s="2" t="s">
        <v>45</v>
      </c>
    </row>
    <row r="3273" spans="1:10" x14ac:dyDescent="0.35">
      <c r="A3273" s="1">
        <v>45948</v>
      </c>
      <c r="B3273" s="2" t="s">
        <v>36</v>
      </c>
      <c r="C3273" s="2" t="s">
        <v>11</v>
      </c>
      <c r="D3273" s="2" t="s">
        <v>21</v>
      </c>
      <c r="E3273" s="2" t="s">
        <v>22</v>
      </c>
      <c r="F3273">
        <v>101</v>
      </c>
      <c r="G3273">
        <v>258</v>
      </c>
      <c r="H3273">
        <v>26058</v>
      </c>
      <c r="I3273">
        <v>3028.991</v>
      </c>
      <c r="J3273" s="2" t="s">
        <v>45</v>
      </c>
    </row>
    <row r="3274" spans="1:10" x14ac:dyDescent="0.35">
      <c r="A3274" s="1">
        <v>45948</v>
      </c>
      <c r="B3274" s="2" t="s">
        <v>10</v>
      </c>
      <c r="C3274" s="2" t="s">
        <v>29</v>
      </c>
      <c r="D3274" s="2" t="s">
        <v>17</v>
      </c>
      <c r="E3274" s="2" t="s">
        <v>28</v>
      </c>
      <c r="F3274">
        <v>859</v>
      </c>
      <c r="G3274">
        <v>337</v>
      </c>
      <c r="H3274">
        <v>289483</v>
      </c>
      <c r="I3274">
        <v>37841.251700000001</v>
      </c>
      <c r="J3274" s="2" t="s">
        <v>45</v>
      </c>
    </row>
    <row r="3275" spans="1:10" x14ac:dyDescent="0.35">
      <c r="A3275" s="1">
        <v>45948</v>
      </c>
      <c r="B3275" s="2" t="s">
        <v>36</v>
      </c>
      <c r="C3275" s="2" t="s">
        <v>20</v>
      </c>
      <c r="D3275" s="2" t="s">
        <v>21</v>
      </c>
      <c r="E3275" s="2" t="s">
        <v>22</v>
      </c>
      <c r="F3275">
        <v>422</v>
      </c>
      <c r="G3275">
        <v>385</v>
      </c>
      <c r="H3275">
        <v>162470</v>
      </c>
      <c r="I3275">
        <v>16986.574100000002</v>
      </c>
      <c r="J3275" s="2" t="s">
        <v>45</v>
      </c>
    </row>
    <row r="3276" spans="1:10" x14ac:dyDescent="0.35">
      <c r="A3276" s="1">
        <v>45948</v>
      </c>
      <c r="B3276" s="2" t="s">
        <v>19</v>
      </c>
      <c r="C3276" s="2" t="s">
        <v>29</v>
      </c>
      <c r="D3276" s="2" t="s">
        <v>21</v>
      </c>
      <c r="E3276" s="2" t="s">
        <v>28</v>
      </c>
      <c r="F3276">
        <v>218</v>
      </c>
      <c r="G3276">
        <v>196</v>
      </c>
      <c r="H3276">
        <v>42728</v>
      </c>
      <c r="I3276">
        <v>3798.1765999999998</v>
      </c>
      <c r="J3276" s="2" t="s">
        <v>45</v>
      </c>
    </row>
    <row r="3277" spans="1:10" x14ac:dyDescent="0.35">
      <c r="A3277" s="1">
        <v>45949</v>
      </c>
      <c r="B3277" s="2" t="s">
        <v>26</v>
      </c>
      <c r="C3277" s="2" t="s">
        <v>16</v>
      </c>
      <c r="D3277" s="2" t="s">
        <v>12</v>
      </c>
      <c r="E3277" s="2" t="s">
        <v>35</v>
      </c>
      <c r="F3277">
        <v>904</v>
      </c>
      <c r="G3277">
        <v>329</v>
      </c>
      <c r="H3277">
        <v>297416</v>
      </c>
      <c r="I3277">
        <v>54126.895299999996</v>
      </c>
      <c r="J3277" s="2" t="s">
        <v>45</v>
      </c>
    </row>
    <row r="3278" spans="1:10" x14ac:dyDescent="0.35">
      <c r="A3278" s="1">
        <v>45949</v>
      </c>
      <c r="B3278" s="2" t="s">
        <v>36</v>
      </c>
      <c r="C3278" s="2" t="s">
        <v>27</v>
      </c>
      <c r="D3278" s="2" t="s">
        <v>12</v>
      </c>
      <c r="E3278" s="2" t="s">
        <v>33</v>
      </c>
      <c r="F3278">
        <v>463</v>
      </c>
      <c r="G3278">
        <v>164</v>
      </c>
      <c r="H3278">
        <v>75932</v>
      </c>
      <c r="I3278">
        <v>10738.888199999999</v>
      </c>
      <c r="J3278" s="2" t="s">
        <v>45</v>
      </c>
    </row>
    <row r="3279" spans="1:10" x14ac:dyDescent="0.35">
      <c r="A3279" s="1">
        <v>45950</v>
      </c>
      <c r="B3279" s="2" t="s">
        <v>10</v>
      </c>
      <c r="C3279" s="2" t="s">
        <v>16</v>
      </c>
      <c r="D3279" s="2" t="s">
        <v>30</v>
      </c>
      <c r="E3279" s="2" t="s">
        <v>33</v>
      </c>
      <c r="F3279">
        <v>998</v>
      </c>
      <c r="G3279">
        <v>448</v>
      </c>
      <c r="H3279">
        <v>447104</v>
      </c>
      <c r="I3279">
        <v>74610.453699999998</v>
      </c>
      <c r="J3279" s="2" t="s">
        <v>45</v>
      </c>
    </row>
    <row r="3280" spans="1:10" x14ac:dyDescent="0.35">
      <c r="A3280" s="1">
        <v>45950</v>
      </c>
      <c r="B3280" s="2" t="s">
        <v>25</v>
      </c>
      <c r="C3280" s="2" t="s">
        <v>29</v>
      </c>
      <c r="D3280" s="2" t="s">
        <v>30</v>
      </c>
      <c r="E3280" s="2" t="s">
        <v>22</v>
      </c>
      <c r="F3280">
        <v>178</v>
      </c>
      <c r="G3280">
        <v>208</v>
      </c>
      <c r="H3280">
        <v>37024</v>
      </c>
      <c r="I3280">
        <v>6442.7781999999997</v>
      </c>
      <c r="J3280" s="2" t="s">
        <v>45</v>
      </c>
    </row>
    <row r="3281" spans="1:10" x14ac:dyDescent="0.35">
      <c r="A3281" s="1">
        <v>45950</v>
      </c>
      <c r="B3281" s="2" t="s">
        <v>31</v>
      </c>
      <c r="C3281" s="2" t="s">
        <v>11</v>
      </c>
      <c r="D3281" s="2" t="s">
        <v>30</v>
      </c>
      <c r="E3281" s="2" t="s">
        <v>35</v>
      </c>
      <c r="F3281">
        <v>74</v>
      </c>
      <c r="G3281">
        <v>239</v>
      </c>
      <c r="H3281">
        <v>17686</v>
      </c>
      <c r="I3281">
        <v>1609.7384999999999</v>
      </c>
      <c r="J3281" s="2" t="s">
        <v>45</v>
      </c>
    </row>
    <row r="3282" spans="1:10" x14ac:dyDescent="0.35">
      <c r="A3282" s="1">
        <v>45951</v>
      </c>
      <c r="B3282" s="2" t="s">
        <v>19</v>
      </c>
      <c r="C3282" s="2" t="s">
        <v>16</v>
      </c>
      <c r="D3282" s="2" t="s">
        <v>21</v>
      </c>
      <c r="E3282" s="2" t="s">
        <v>28</v>
      </c>
      <c r="F3282">
        <v>557</v>
      </c>
      <c r="G3282">
        <v>473</v>
      </c>
      <c r="H3282">
        <v>263461</v>
      </c>
      <c r="I3282">
        <v>44699.512000000002</v>
      </c>
      <c r="J3282" s="2" t="s">
        <v>45</v>
      </c>
    </row>
    <row r="3283" spans="1:10" x14ac:dyDescent="0.35">
      <c r="A3283" s="1">
        <v>45951</v>
      </c>
      <c r="B3283" s="2" t="s">
        <v>31</v>
      </c>
      <c r="C3283" s="2" t="s">
        <v>16</v>
      </c>
      <c r="D3283" s="2" t="s">
        <v>17</v>
      </c>
      <c r="E3283" s="2" t="s">
        <v>18</v>
      </c>
      <c r="F3283">
        <v>751</v>
      </c>
      <c r="G3283">
        <v>235</v>
      </c>
      <c r="H3283">
        <v>176485</v>
      </c>
      <c r="I3283">
        <v>25744.146100000002</v>
      </c>
      <c r="J3283" s="2" t="s">
        <v>45</v>
      </c>
    </row>
    <row r="3284" spans="1:10" x14ac:dyDescent="0.35">
      <c r="A3284" s="1">
        <v>45951</v>
      </c>
      <c r="B3284" s="2" t="s">
        <v>19</v>
      </c>
      <c r="C3284" s="2" t="s">
        <v>23</v>
      </c>
      <c r="D3284" s="2" t="s">
        <v>30</v>
      </c>
      <c r="E3284" s="2" t="s">
        <v>24</v>
      </c>
      <c r="F3284">
        <v>582</v>
      </c>
      <c r="G3284">
        <v>414</v>
      </c>
      <c r="H3284">
        <v>240948</v>
      </c>
      <c r="I3284">
        <v>41592.130700000002</v>
      </c>
      <c r="J3284" s="2" t="s">
        <v>45</v>
      </c>
    </row>
    <row r="3285" spans="1:10" x14ac:dyDescent="0.35">
      <c r="A3285" s="1">
        <v>45951</v>
      </c>
      <c r="B3285" s="2" t="s">
        <v>26</v>
      </c>
      <c r="C3285" s="2" t="s">
        <v>29</v>
      </c>
      <c r="D3285" s="2" t="s">
        <v>30</v>
      </c>
      <c r="E3285" s="2" t="s">
        <v>13</v>
      </c>
      <c r="F3285">
        <v>381</v>
      </c>
      <c r="G3285">
        <v>288</v>
      </c>
      <c r="H3285">
        <v>109728</v>
      </c>
      <c r="I3285">
        <v>10524.946900000001</v>
      </c>
      <c r="J3285" s="2" t="s">
        <v>45</v>
      </c>
    </row>
    <row r="3286" spans="1:10" x14ac:dyDescent="0.35">
      <c r="A3286" s="1">
        <v>45951</v>
      </c>
      <c r="B3286" s="2" t="s">
        <v>26</v>
      </c>
      <c r="C3286" s="2" t="s">
        <v>20</v>
      </c>
      <c r="D3286" s="2" t="s">
        <v>21</v>
      </c>
      <c r="E3286" s="2" t="s">
        <v>18</v>
      </c>
      <c r="F3286">
        <v>982</v>
      </c>
      <c r="G3286">
        <v>425</v>
      </c>
      <c r="H3286">
        <v>417350</v>
      </c>
      <c r="I3286">
        <v>35629.843099999998</v>
      </c>
      <c r="J3286" s="2" t="s">
        <v>45</v>
      </c>
    </row>
    <row r="3287" spans="1:10" x14ac:dyDescent="0.35">
      <c r="A3287" s="1">
        <v>45952</v>
      </c>
      <c r="B3287" s="2" t="s">
        <v>26</v>
      </c>
      <c r="C3287" s="2" t="s">
        <v>23</v>
      </c>
      <c r="D3287" s="2" t="s">
        <v>21</v>
      </c>
      <c r="E3287" s="2" t="s">
        <v>28</v>
      </c>
      <c r="F3287">
        <v>128</v>
      </c>
      <c r="G3287">
        <v>444</v>
      </c>
      <c r="H3287">
        <v>56832</v>
      </c>
      <c r="I3287">
        <v>9759.6376</v>
      </c>
      <c r="J3287" s="2" t="s">
        <v>45</v>
      </c>
    </row>
    <row r="3288" spans="1:10" x14ac:dyDescent="0.35">
      <c r="A3288" s="1">
        <v>45953</v>
      </c>
      <c r="B3288" s="2" t="s">
        <v>34</v>
      </c>
      <c r="C3288" s="2" t="s">
        <v>16</v>
      </c>
      <c r="D3288" s="2" t="s">
        <v>17</v>
      </c>
      <c r="E3288" s="2" t="s">
        <v>28</v>
      </c>
      <c r="F3288">
        <v>609</v>
      </c>
      <c r="G3288">
        <v>117</v>
      </c>
      <c r="H3288">
        <v>71253</v>
      </c>
      <c r="I3288">
        <v>9309.3024000000005</v>
      </c>
      <c r="J3288" s="2" t="s">
        <v>45</v>
      </c>
    </row>
    <row r="3289" spans="1:10" x14ac:dyDescent="0.35">
      <c r="A3289" s="1">
        <v>45953</v>
      </c>
      <c r="B3289" s="2" t="s">
        <v>36</v>
      </c>
      <c r="C3289" s="2" t="s">
        <v>27</v>
      </c>
      <c r="D3289" s="2" t="s">
        <v>30</v>
      </c>
      <c r="E3289" s="2" t="s">
        <v>18</v>
      </c>
      <c r="F3289">
        <v>116</v>
      </c>
      <c r="G3289">
        <v>497</v>
      </c>
      <c r="H3289">
        <v>57652</v>
      </c>
      <c r="I3289">
        <v>8282.0833000000002</v>
      </c>
      <c r="J3289" s="2" t="s">
        <v>45</v>
      </c>
    </row>
    <row r="3290" spans="1:10" x14ac:dyDescent="0.35">
      <c r="A3290" s="1">
        <v>45953</v>
      </c>
      <c r="B3290" s="2" t="s">
        <v>19</v>
      </c>
      <c r="C3290" s="2" t="s">
        <v>23</v>
      </c>
      <c r="D3290" s="2" t="s">
        <v>30</v>
      </c>
      <c r="E3290" s="2" t="s">
        <v>32</v>
      </c>
      <c r="F3290">
        <v>336</v>
      </c>
      <c r="G3290">
        <v>186</v>
      </c>
      <c r="H3290">
        <v>62496</v>
      </c>
      <c r="I3290">
        <v>6027.1633000000002</v>
      </c>
      <c r="J3290" s="2" t="s">
        <v>45</v>
      </c>
    </row>
    <row r="3291" spans="1:10" x14ac:dyDescent="0.35">
      <c r="A3291" s="1">
        <v>45953</v>
      </c>
      <c r="B3291" s="2" t="s">
        <v>36</v>
      </c>
      <c r="C3291" s="2" t="s">
        <v>20</v>
      </c>
      <c r="D3291" s="2" t="s">
        <v>21</v>
      </c>
      <c r="E3291" s="2" t="s">
        <v>28</v>
      </c>
      <c r="F3291">
        <v>241</v>
      </c>
      <c r="G3291">
        <v>321</v>
      </c>
      <c r="H3291">
        <v>77361</v>
      </c>
      <c r="I3291">
        <v>12105.626899999999</v>
      </c>
      <c r="J3291" s="2" t="s">
        <v>45</v>
      </c>
    </row>
    <row r="3292" spans="1:10" x14ac:dyDescent="0.35">
      <c r="A3292" s="1">
        <v>45954</v>
      </c>
      <c r="B3292" s="2" t="s">
        <v>26</v>
      </c>
      <c r="C3292" s="2" t="s">
        <v>29</v>
      </c>
      <c r="D3292" s="2" t="s">
        <v>21</v>
      </c>
      <c r="E3292" s="2" t="s">
        <v>22</v>
      </c>
      <c r="F3292">
        <v>900</v>
      </c>
      <c r="G3292">
        <v>128</v>
      </c>
      <c r="H3292">
        <v>115200</v>
      </c>
      <c r="I3292">
        <v>20428.881700000002</v>
      </c>
      <c r="J3292" s="2" t="s">
        <v>45</v>
      </c>
    </row>
    <row r="3293" spans="1:10" x14ac:dyDescent="0.35">
      <c r="A3293" s="1">
        <v>45955</v>
      </c>
      <c r="B3293" s="2" t="s">
        <v>36</v>
      </c>
      <c r="C3293" s="2" t="s">
        <v>20</v>
      </c>
      <c r="D3293" s="2" t="s">
        <v>30</v>
      </c>
      <c r="E3293" s="2" t="s">
        <v>35</v>
      </c>
      <c r="F3293">
        <v>251</v>
      </c>
      <c r="G3293">
        <v>416</v>
      </c>
      <c r="H3293">
        <v>104416</v>
      </c>
      <c r="I3293">
        <v>11999.8858</v>
      </c>
      <c r="J3293" s="2" t="s">
        <v>45</v>
      </c>
    </row>
    <row r="3294" spans="1:10" x14ac:dyDescent="0.35">
      <c r="A3294" s="1">
        <v>45955</v>
      </c>
      <c r="B3294" s="2" t="s">
        <v>10</v>
      </c>
      <c r="C3294" s="2" t="s">
        <v>11</v>
      </c>
      <c r="D3294" s="2" t="s">
        <v>12</v>
      </c>
      <c r="E3294" s="2" t="s">
        <v>13</v>
      </c>
      <c r="F3294">
        <v>431</v>
      </c>
      <c r="G3294">
        <v>466</v>
      </c>
      <c r="H3294">
        <v>200846</v>
      </c>
      <c r="I3294">
        <v>22704.182700000001</v>
      </c>
      <c r="J3294" s="2" t="s">
        <v>45</v>
      </c>
    </row>
    <row r="3295" spans="1:10" x14ac:dyDescent="0.35">
      <c r="A3295" s="1">
        <v>45955</v>
      </c>
      <c r="B3295" s="2" t="s">
        <v>10</v>
      </c>
      <c r="C3295" s="2" t="s">
        <v>29</v>
      </c>
      <c r="D3295" s="2" t="s">
        <v>17</v>
      </c>
      <c r="E3295" s="2" t="s">
        <v>24</v>
      </c>
      <c r="F3295">
        <v>494</v>
      </c>
      <c r="G3295">
        <v>464</v>
      </c>
      <c r="H3295">
        <v>229216</v>
      </c>
      <c r="I3295">
        <v>38840.606399999997</v>
      </c>
      <c r="J3295" s="2" t="s">
        <v>45</v>
      </c>
    </row>
    <row r="3296" spans="1:10" x14ac:dyDescent="0.35">
      <c r="A3296" s="1">
        <v>45956</v>
      </c>
      <c r="B3296" s="2" t="s">
        <v>19</v>
      </c>
      <c r="C3296" s="2" t="s">
        <v>11</v>
      </c>
      <c r="D3296" s="2" t="s">
        <v>21</v>
      </c>
      <c r="E3296" s="2" t="s">
        <v>22</v>
      </c>
      <c r="F3296">
        <v>667</v>
      </c>
      <c r="G3296">
        <v>315</v>
      </c>
      <c r="H3296">
        <v>210105</v>
      </c>
      <c r="I3296">
        <v>33725.063900000001</v>
      </c>
      <c r="J3296" s="2" t="s">
        <v>45</v>
      </c>
    </row>
    <row r="3297" spans="1:10" x14ac:dyDescent="0.35">
      <c r="A3297" s="1">
        <v>45957</v>
      </c>
      <c r="B3297" s="2" t="s">
        <v>34</v>
      </c>
      <c r="C3297" s="2" t="s">
        <v>20</v>
      </c>
      <c r="D3297" s="2" t="s">
        <v>17</v>
      </c>
      <c r="E3297" s="2" t="s">
        <v>18</v>
      </c>
      <c r="F3297">
        <v>338</v>
      </c>
      <c r="G3297">
        <v>439</v>
      </c>
      <c r="H3297">
        <v>148382</v>
      </c>
      <c r="I3297">
        <v>12678.6981</v>
      </c>
      <c r="J3297" s="2" t="s">
        <v>45</v>
      </c>
    </row>
    <row r="3298" spans="1:10" x14ac:dyDescent="0.35">
      <c r="A3298" s="1">
        <v>45957</v>
      </c>
      <c r="B3298" s="2" t="s">
        <v>34</v>
      </c>
      <c r="C3298" s="2" t="s">
        <v>29</v>
      </c>
      <c r="D3298" s="2" t="s">
        <v>30</v>
      </c>
      <c r="E3298" s="2" t="s">
        <v>32</v>
      </c>
      <c r="F3298">
        <v>311</v>
      </c>
      <c r="G3298">
        <v>241</v>
      </c>
      <c r="H3298">
        <v>74951</v>
      </c>
      <c r="I3298">
        <v>12710.764499999999</v>
      </c>
      <c r="J3298" s="2" t="s">
        <v>45</v>
      </c>
    </row>
    <row r="3299" spans="1:10" x14ac:dyDescent="0.35">
      <c r="A3299" s="1">
        <v>45957</v>
      </c>
      <c r="B3299" s="2" t="s">
        <v>25</v>
      </c>
      <c r="C3299" s="2" t="s">
        <v>29</v>
      </c>
      <c r="D3299" s="2" t="s">
        <v>12</v>
      </c>
      <c r="E3299" s="2" t="s">
        <v>18</v>
      </c>
      <c r="F3299">
        <v>912</v>
      </c>
      <c r="G3299">
        <v>283</v>
      </c>
      <c r="H3299">
        <v>258096</v>
      </c>
      <c r="I3299">
        <v>52035.072399999997</v>
      </c>
      <c r="J3299" s="2" t="s">
        <v>45</v>
      </c>
    </row>
    <row r="3300" spans="1:10" x14ac:dyDescent="0.35">
      <c r="A3300" s="1">
        <v>45957</v>
      </c>
      <c r="B3300" s="2" t="s">
        <v>10</v>
      </c>
      <c r="C3300" s="2" t="s">
        <v>11</v>
      </c>
      <c r="D3300" s="2" t="s">
        <v>17</v>
      </c>
      <c r="E3300" s="2" t="s">
        <v>32</v>
      </c>
      <c r="F3300">
        <v>842</v>
      </c>
      <c r="G3300">
        <v>464</v>
      </c>
      <c r="H3300">
        <v>390688</v>
      </c>
      <c r="I3300">
        <v>86267.081900000005</v>
      </c>
      <c r="J3300" s="2" t="s">
        <v>45</v>
      </c>
    </row>
    <row r="3301" spans="1:10" x14ac:dyDescent="0.35">
      <c r="A3301" s="1">
        <v>45957</v>
      </c>
      <c r="B3301" s="2" t="s">
        <v>31</v>
      </c>
      <c r="C3301" s="2" t="s">
        <v>27</v>
      </c>
      <c r="D3301" s="2" t="s">
        <v>17</v>
      </c>
      <c r="E3301" s="2" t="s">
        <v>32</v>
      </c>
      <c r="F3301">
        <v>667</v>
      </c>
      <c r="G3301">
        <v>461</v>
      </c>
      <c r="H3301">
        <v>307487</v>
      </c>
      <c r="I3301">
        <v>31406.059499999999</v>
      </c>
      <c r="J3301" s="2" t="s">
        <v>45</v>
      </c>
    </row>
    <row r="3302" spans="1:10" x14ac:dyDescent="0.35">
      <c r="A3302" s="1">
        <v>45958</v>
      </c>
      <c r="B3302" s="2" t="s">
        <v>31</v>
      </c>
      <c r="C3302" s="2" t="s">
        <v>16</v>
      </c>
      <c r="D3302" s="2" t="s">
        <v>30</v>
      </c>
      <c r="E3302" s="2" t="s">
        <v>35</v>
      </c>
      <c r="F3302">
        <v>637</v>
      </c>
      <c r="G3302">
        <v>333</v>
      </c>
      <c r="H3302">
        <v>212121</v>
      </c>
      <c r="I3302">
        <v>19537.196100000001</v>
      </c>
      <c r="J3302" s="2" t="s">
        <v>45</v>
      </c>
    </row>
    <row r="3303" spans="1:10" x14ac:dyDescent="0.35">
      <c r="A3303" s="1">
        <v>45958</v>
      </c>
      <c r="B3303" s="2" t="s">
        <v>36</v>
      </c>
      <c r="C3303" s="2" t="s">
        <v>20</v>
      </c>
      <c r="D3303" s="2" t="s">
        <v>21</v>
      </c>
      <c r="E3303" s="2" t="s">
        <v>33</v>
      </c>
      <c r="F3303">
        <v>93</v>
      </c>
      <c r="G3303">
        <v>453</v>
      </c>
      <c r="H3303">
        <v>42129</v>
      </c>
      <c r="I3303">
        <v>5206.0137000000004</v>
      </c>
      <c r="J3303" s="2" t="s">
        <v>45</v>
      </c>
    </row>
    <row r="3304" spans="1:10" x14ac:dyDescent="0.35">
      <c r="A3304" s="1">
        <v>45958</v>
      </c>
      <c r="B3304" s="2" t="s">
        <v>15</v>
      </c>
      <c r="C3304" s="2" t="s">
        <v>20</v>
      </c>
      <c r="D3304" s="2" t="s">
        <v>12</v>
      </c>
      <c r="E3304" s="2" t="s">
        <v>24</v>
      </c>
      <c r="F3304">
        <v>336</v>
      </c>
      <c r="G3304">
        <v>479</v>
      </c>
      <c r="H3304">
        <v>160944</v>
      </c>
      <c r="I3304">
        <v>28155.5798</v>
      </c>
      <c r="J3304" s="2" t="s">
        <v>45</v>
      </c>
    </row>
    <row r="3305" spans="1:10" x14ac:dyDescent="0.35">
      <c r="A3305" s="1">
        <v>45958</v>
      </c>
      <c r="B3305" s="2" t="s">
        <v>15</v>
      </c>
      <c r="C3305" s="2" t="s">
        <v>16</v>
      </c>
      <c r="D3305" s="2" t="s">
        <v>21</v>
      </c>
      <c r="E3305" s="2" t="s">
        <v>13</v>
      </c>
      <c r="F3305">
        <v>616</v>
      </c>
      <c r="G3305">
        <v>214</v>
      </c>
      <c r="H3305">
        <v>131824</v>
      </c>
      <c r="I3305">
        <v>20562.6783</v>
      </c>
      <c r="J3305" s="2" t="s">
        <v>45</v>
      </c>
    </row>
    <row r="3306" spans="1:10" x14ac:dyDescent="0.35">
      <c r="A3306" s="1">
        <v>45958</v>
      </c>
      <c r="B3306" s="2" t="s">
        <v>36</v>
      </c>
      <c r="C3306" s="2" t="s">
        <v>11</v>
      </c>
      <c r="D3306" s="2" t="s">
        <v>17</v>
      </c>
      <c r="E3306" s="2" t="s">
        <v>18</v>
      </c>
      <c r="F3306">
        <v>540</v>
      </c>
      <c r="G3306">
        <v>401</v>
      </c>
      <c r="H3306">
        <v>216540</v>
      </c>
      <c r="I3306">
        <v>40672.829400000002</v>
      </c>
      <c r="J3306" s="2" t="s">
        <v>45</v>
      </c>
    </row>
    <row r="3307" spans="1:10" x14ac:dyDescent="0.35">
      <c r="A3307" s="1">
        <v>45959</v>
      </c>
      <c r="B3307" s="2" t="s">
        <v>15</v>
      </c>
      <c r="C3307" s="2" t="s">
        <v>23</v>
      </c>
      <c r="D3307" s="2" t="s">
        <v>12</v>
      </c>
      <c r="E3307" s="2" t="s">
        <v>33</v>
      </c>
      <c r="F3307">
        <v>534</v>
      </c>
      <c r="G3307">
        <v>273</v>
      </c>
      <c r="H3307">
        <v>145782</v>
      </c>
      <c r="I3307">
        <v>16654.8387</v>
      </c>
      <c r="J3307" s="2" t="s">
        <v>45</v>
      </c>
    </row>
    <row r="3308" spans="1:10" x14ac:dyDescent="0.35">
      <c r="A3308" s="1">
        <v>45960</v>
      </c>
      <c r="B3308" s="2" t="s">
        <v>10</v>
      </c>
      <c r="C3308" s="2" t="s">
        <v>23</v>
      </c>
      <c r="D3308" s="2" t="s">
        <v>30</v>
      </c>
      <c r="E3308" s="2" t="s">
        <v>22</v>
      </c>
      <c r="F3308">
        <v>196</v>
      </c>
      <c r="G3308">
        <v>140</v>
      </c>
      <c r="H3308">
        <v>27440</v>
      </c>
      <c r="I3308">
        <v>4851.0896000000002</v>
      </c>
      <c r="J3308" s="2" t="s">
        <v>45</v>
      </c>
    </row>
    <row r="3309" spans="1:10" x14ac:dyDescent="0.35">
      <c r="A3309" s="1">
        <v>45960</v>
      </c>
      <c r="B3309" s="2" t="s">
        <v>31</v>
      </c>
      <c r="C3309" s="2" t="s">
        <v>29</v>
      </c>
      <c r="D3309" s="2" t="s">
        <v>21</v>
      </c>
      <c r="E3309" s="2" t="s">
        <v>13</v>
      </c>
      <c r="F3309">
        <v>692</v>
      </c>
      <c r="G3309">
        <v>297</v>
      </c>
      <c r="H3309">
        <v>205524</v>
      </c>
      <c r="I3309">
        <v>41756.052199999998</v>
      </c>
      <c r="J3309" s="2" t="s">
        <v>45</v>
      </c>
    </row>
    <row r="3310" spans="1:10" x14ac:dyDescent="0.35">
      <c r="A3310" s="1">
        <v>45960</v>
      </c>
      <c r="B3310" s="2" t="s">
        <v>10</v>
      </c>
      <c r="C3310" s="2" t="s">
        <v>23</v>
      </c>
      <c r="D3310" s="2" t="s">
        <v>12</v>
      </c>
      <c r="E3310" s="2" t="s">
        <v>18</v>
      </c>
      <c r="F3310">
        <v>702</v>
      </c>
      <c r="G3310">
        <v>132</v>
      </c>
      <c r="H3310">
        <v>92664</v>
      </c>
      <c r="I3310">
        <v>16619.873500000002</v>
      </c>
      <c r="J3310" s="2" t="s">
        <v>45</v>
      </c>
    </row>
    <row r="3311" spans="1:10" x14ac:dyDescent="0.35">
      <c r="A3311" s="1">
        <v>45960</v>
      </c>
      <c r="B3311" s="2" t="s">
        <v>10</v>
      </c>
      <c r="C3311" s="2" t="s">
        <v>29</v>
      </c>
      <c r="D3311" s="2" t="s">
        <v>12</v>
      </c>
      <c r="E3311" s="2" t="s">
        <v>24</v>
      </c>
      <c r="F3311">
        <v>241</v>
      </c>
      <c r="G3311">
        <v>252</v>
      </c>
      <c r="H3311">
        <v>60732</v>
      </c>
      <c r="I3311">
        <v>6821.5033999999996</v>
      </c>
      <c r="J3311" s="2" t="s">
        <v>45</v>
      </c>
    </row>
    <row r="3312" spans="1:10" x14ac:dyDescent="0.35">
      <c r="A3312" s="1">
        <v>45961</v>
      </c>
      <c r="B3312" s="2" t="s">
        <v>15</v>
      </c>
      <c r="C3312" s="2" t="s">
        <v>11</v>
      </c>
      <c r="D3312" s="2" t="s">
        <v>30</v>
      </c>
      <c r="E3312" s="2" t="s">
        <v>13</v>
      </c>
      <c r="F3312">
        <v>490</v>
      </c>
      <c r="G3312">
        <v>168</v>
      </c>
      <c r="H3312">
        <v>82320</v>
      </c>
      <c r="I3312">
        <v>6987.7947999999997</v>
      </c>
      <c r="J3312" s="2" t="s">
        <v>45</v>
      </c>
    </row>
    <row r="3313" spans="1:10" x14ac:dyDescent="0.35">
      <c r="A3313" s="1">
        <v>45962</v>
      </c>
      <c r="B3313" s="2" t="s">
        <v>31</v>
      </c>
      <c r="C3313" s="2" t="s">
        <v>27</v>
      </c>
      <c r="D3313" s="2" t="s">
        <v>30</v>
      </c>
      <c r="E3313" s="2" t="s">
        <v>22</v>
      </c>
      <c r="F3313">
        <v>461</v>
      </c>
      <c r="G3313">
        <v>101</v>
      </c>
      <c r="H3313">
        <v>46561</v>
      </c>
      <c r="I3313">
        <v>10596.1976</v>
      </c>
      <c r="J3313" s="2" t="s">
        <v>46</v>
      </c>
    </row>
    <row r="3314" spans="1:10" x14ac:dyDescent="0.35">
      <c r="A3314" s="1">
        <v>45962</v>
      </c>
      <c r="B3314" s="2" t="s">
        <v>26</v>
      </c>
      <c r="C3314" s="2" t="s">
        <v>23</v>
      </c>
      <c r="D3314" s="2" t="s">
        <v>17</v>
      </c>
      <c r="E3314" s="2" t="s">
        <v>18</v>
      </c>
      <c r="F3314">
        <v>183</v>
      </c>
      <c r="G3314">
        <v>189</v>
      </c>
      <c r="H3314">
        <v>34587</v>
      </c>
      <c r="I3314">
        <v>5641.4467999999997</v>
      </c>
      <c r="J3314" s="2" t="s">
        <v>46</v>
      </c>
    </row>
    <row r="3315" spans="1:10" x14ac:dyDescent="0.35">
      <c r="A3315" s="1">
        <v>45962</v>
      </c>
      <c r="B3315" s="2" t="s">
        <v>36</v>
      </c>
      <c r="C3315" s="2" t="s">
        <v>29</v>
      </c>
      <c r="D3315" s="2" t="s">
        <v>17</v>
      </c>
      <c r="E3315" s="2" t="s">
        <v>13</v>
      </c>
      <c r="F3315">
        <v>334</v>
      </c>
      <c r="G3315">
        <v>452</v>
      </c>
      <c r="H3315">
        <v>150968</v>
      </c>
      <c r="I3315">
        <v>29958.9912</v>
      </c>
      <c r="J3315" s="2" t="s">
        <v>46</v>
      </c>
    </row>
    <row r="3316" spans="1:10" x14ac:dyDescent="0.35">
      <c r="A3316" s="1">
        <v>45962</v>
      </c>
      <c r="B3316" s="2" t="s">
        <v>31</v>
      </c>
      <c r="C3316" s="2" t="s">
        <v>16</v>
      </c>
      <c r="D3316" s="2" t="s">
        <v>12</v>
      </c>
      <c r="E3316" s="2" t="s">
        <v>35</v>
      </c>
      <c r="F3316">
        <v>104</v>
      </c>
      <c r="G3316">
        <v>433</v>
      </c>
      <c r="H3316">
        <v>45032</v>
      </c>
      <c r="I3316">
        <v>10411.205400000001</v>
      </c>
      <c r="J3316" s="2" t="s">
        <v>46</v>
      </c>
    </row>
    <row r="3317" spans="1:10" x14ac:dyDescent="0.35">
      <c r="A3317" s="1">
        <v>45962</v>
      </c>
      <c r="B3317" s="2" t="s">
        <v>15</v>
      </c>
      <c r="C3317" s="2" t="s">
        <v>11</v>
      </c>
      <c r="D3317" s="2" t="s">
        <v>30</v>
      </c>
      <c r="E3317" s="2" t="s">
        <v>35</v>
      </c>
      <c r="F3317">
        <v>285</v>
      </c>
      <c r="G3317">
        <v>457</v>
      </c>
      <c r="H3317">
        <v>130245</v>
      </c>
      <c r="I3317">
        <v>24211.1057</v>
      </c>
      <c r="J3317" s="2" t="s">
        <v>46</v>
      </c>
    </row>
    <row r="3318" spans="1:10" x14ac:dyDescent="0.35">
      <c r="A3318" s="1">
        <v>45962</v>
      </c>
      <c r="B3318" s="2" t="s">
        <v>10</v>
      </c>
      <c r="C3318" s="2" t="s">
        <v>29</v>
      </c>
      <c r="D3318" s="2" t="s">
        <v>21</v>
      </c>
      <c r="E3318" s="2" t="s">
        <v>22</v>
      </c>
      <c r="F3318">
        <v>457</v>
      </c>
      <c r="G3318">
        <v>432</v>
      </c>
      <c r="H3318">
        <v>197424</v>
      </c>
      <c r="I3318">
        <v>28473.6512</v>
      </c>
      <c r="J3318" s="2" t="s">
        <v>46</v>
      </c>
    </row>
    <row r="3319" spans="1:10" x14ac:dyDescent="0.35">
      <c r="A3319" s="1">
        <v>45962</v>
      </c>
      <c r="B3319" s="2" t="s">
        <v>15</v>
      </c>
      <c r="C3319" s="2" t="s">
        <v>29</v>
      </c>
      <c r="D3319" s="2" t="s">
        <v>30</v>
      </c>
      <c r="E3319" s="2" t="s">
        <v>33</v>
      </c>
      <c r="F3319">
        <v>779</v>
      </c>
      <c r="G3319">
        <v>366</v>
      </c>
      <c r="H3319">
        <v>285114</v>
      </c>
      <c r="I3319">
        <v>37562.925499999998</v>
      </c>
      <c r="J3319" s="2" t="s">
        <v>46</v>
      </c>
    </row>
    <row r="3320" spans="1:10" x14ac:dyDescent="0.35">
      <c r="A3320" s="1">
        <v>45962</v>
      </c>
      <c r="B3320" s="2" t="s">
        <v>10</v>
      </c>
      <c r="C3320" s="2" t="s">
        <v>27</v>
      </c>
      <c r="D3320" s="2" t="s">
        <v>17</v>
      </c>
      <c r="E3320" s="2" t="s">
        <v>28</v>
      </c>
      <c r="F3320">
        <v>656</v>
      </c>
      <c r="G3320">
        <v>196</v>
      </c>
      <c r="H3320">
        <v>128576</v>
      </c>
      <c r="I3320">
        <v>25971.703099999999</v>
      </c>
      <c r="J3320" s="2" t="s">
        <v>46</v>
      </c>
    </row>
    <row r="3321" spans="1:10" x14ac:dyDescent="0.35">
      <c r="A3321" s="1">
        <v>45963</v>
      </c>
      <c r="B3321" s="2" t="s">
        <v>10</v>
      </c>
      <c r="C3321" s="2" t="s">
        <v>11</v>
      </c>
      <c r="D3321" s="2" t="s">
        <v>17</v>
      </c>
      <c r="E3321" s="2" t="s">
        <v>33</v>
      </c>
      <c r="F3321">
        <v>544</v>
      </c>
      <c r="G3321">
        <v>307</v>
      </c>
      <c r="H3321">
        <v>167008</v>
      </c>
      <c r="I3321">
        <v>19679.2425</v>
      </c>
      <c r="J3321" s="2" t="s">
        <v>46</v>
      </c>
    </row>
    <row r="3322" spans="1:10" x14ac:dyDescent="0.35">
      <c r="A3322" s="1">
        <v>45963</v>
      </c>
      <c r="B3322" s="2" t="s">
        <v>19</v>
      </c>
      <c r="C3322" s="2" t="s">
        <v>16</v>
      </c>
      <c r="D3322" s="2" t="s">
        <v>12</v>
      </c>
      <c r="E3322" s="2" t="s">
        <v>28</v>
      </c>
      <c r="F3322">
        <v>177</v>
      </c>
      <c r="G3322">
        <v>328</v>
      </c>
      <c r="H3322">
        <v>58056</v>
      </c>
      <c r="I3322">
        <v>8460.6736000000001</v>
      </c>
      <c r="J3322" s="2" t="s">
        <v>46</v>
      </c>
    </row>
    <row r="3323" spans="1:10" x14ac:dyDescent="0.35">
      <c r="A3323" s="1">
        <v>45963</v>
      </c>
      <c r="B3323" s="2" t="s">
        <v>36</v>
      </c>
      <c r="C3323" s="2" t="s">
        <v>29</v>
      </c>
      <c r="D3323" s="2" t="s">
        <v>12</v>
      </c>
      <c r="E3323" s="2" t="s">
        <v>28</v>
      </c>
      <c r="F3323">
        <v>709</v>
      </c>
      <c r="G3323">
        <v>237</v>
      </c>
      <c r="H3323">
        <v>168033</v>
      </c>
      <c r="I3323">
        <v>27477.231800000001</v>
      </c>
      <c r="J3323" s="2" t="s">
        <v>46</v>
      </c>
    </row>
    <row r="3324" spans="1:10" x14ac:dyDescent="0.35">
      <c r="A3324" s="1">
        <v>45963</v>
      </c>
      <c r="B3324" s="2" t="s">
        <v>34</v>
      </c>
      <c r="C3324" s="2" t="s">
        <v>29</v>
      </c>
      <c r="D3324" s="2" t="s">
        <v>12</v>
      </c>
      <c r="E3324" s="2" t="s">
        <v>33</v>
      </c>
      <c r="F3324">
        <v>265</v>
      </c>
      <c r="G3324">
        <v>137</v>
      </c>
      <c r="H3324">
        <v>36305</v>
      </c>
      <c r="I3324">
        <v>6276.5043999999998</v>
      </c>
      <c r="J3324" s="2" t="s">
        <v>46</v>
      </c>
    </row>
    <row r="3325" spans="1:10" x14ac:dyDescent="0.35">
      <c r="A3325" s="1">
        <v>45963</v>
      </c>
      <c r="B3325" s="2" t="s">
        <v>31</v>
      </c>
      <c r="C3325" s="2" t="s">
        <v>23</v>
      </c>
      <c r="D3325" s="2" t="s">
        <v>12</v>
      </c>
      <c r="E3325" s="2" t="s">
        <v>13</v>
      </c>
      <c r="F3325">
        <v>128</v>
      </c>
      <c r="G3325">
        <v>456</v>
      </c>
      <c r="H3325">
        <v>58368</v>
      </c>
      <c r="I3325">
        <v>11423.7127</v>
      </c>
      <c r="J3325" s="2" t="s">
        <v>46</v>
      </c>
    </row>
    <row r="3326" spans="1:10" x14ac:dyDescent="0.35">
      <c r="A3326" s="1">
        <v>45963</v>
      </c>
      <c r="B3326" s="2" t="s">
        <v>31</v>
      </c>
      <c r="C3326" s="2" t="s">
        <v>11</v>
      </c>
      <c r="D3326" s="2" t="s">
        <v>17</v>
      </c>
      <c r="E3326" s="2" t="s">
        <v>22</v>
      </c>
      <c r="F3326">
        <v>80</v>
      </c>
      <c r="G3326">
        <v>211</v>
      </c>
      <c r="H3326">
        <v>16880</v>
      </c>
      <c r="I3326">
        <v>3570.9704999999999</v>
      </c>
      <c r="J3326" s="2" t="s">
        <v>46</v>
      </c>
    </row>
    <row r="3327" spans="1:10" x14ac:dyDescent="0.35">
      <c r="A3327" s="1">
        <v>45964</v>
      </c>
      <c r="B3327" s="2" t="s">
        <v>19</v>
      </c>
      <c r="C3327" s="2" t="s">
        <v>20</v>
      </c>
      <c r="D3327" s="2" t="s">
        <v>21</v>
      </c>
      <c r="E3327" s="2" t="s">
        <v>24</v>
      </c>
      <c r="F3327">
        <v>91</v>
      </c>
      <c r="G3327">
        <v>293</v>
      </c>
      <c r="H3327">
        <v>26663</v>
      </c>
      <c r="I3327">
        <v>5704.6806999999999</v>
      </c>
      <c r="J3327" s="2" t="s">
        <v>46</v>
      </c>
    </row>
    <row r="3328" spans="1:10" x14ac:dyDescent="0.35">
      <c r="A3328" s="1">
        <v>45964</v>
      </c>
      <c r="B3328" s="2" t="s">
        <v>31</v>
      </c>
      <c r="C3328" s="2" t="s">
        <v>11</v>
      </c>
      <c r="D3328" s="2" t="s">
        <v>12</v>
      </c>
      <c r="E3328" s="2" t="s">
        <v>33</v>
      </c>
      <c r="F3328">
        <v>586</v>
      </c>
      <c r="G3328">
        <v>234</v>
      </c>
      <c r="H3328">
        <v>137124</v>
      </c>
      <c r="I3328">
        <v>25913.308799999999</v>
      </c>
      <c r="J3328" s="2" t="s">
        <v>46</v>
      </c>
    </row>
    <row r="3329" spans="1:10" x14ac:dyDescent="0.35">
      <c r="A3329" s="1">
        <v>45965</v>
      </c>
      <c r="B3329" s="2" t="s">
        <v>19</v>
      </c>
      <c r="C3329" s="2" t="s">
        <v>27</v>
      </c>
      <c r="D3329" s="2" t="s">
        <v>12</v>
      </c>
      <c r="E3329" s="2" t="s">
        <v>22</v>
      </c>
      <c r="F3329">
        <v>198</v>
      </c>
      <c r="G3329">
        <v>198</v>
      </c>
      <c r="H3329">
        <v>39204</v>
      </c>
      <c r="I3329">
        <v>4323.5168000000003</v>
      </c>
      <c r="J3329" s="2" t="s">
        <v>46</v>
      </c>
    </row>
    <row r="3330" spans="1:10" x14ac:dyDescent="0.35">
      <c r="A3330" s="1">
        <v>45965</v>
      </c>
      <c r="B3330" s="2" t="s">
        <v>26</v>
      </c>
      <c r="C3330" s="2" t="s">
        <v>27</v>
      </c>
      <c r="D3330" s="2" t="s">
        <v>21</v>
      </c>
      <c r="E3330" s="2" t="s">
        <v>28</v>
      </c>
      <c r="F3330">
        <v>81</v>
      </c>
      <c r="G3330">
        <v>373</v>
      </c>
      <c r="H3330">
        <v>30213</v>
      </c>
      <c r="I3330">
        <v>3760.7766999999999</v>
      </c>
      <c r="J3330" s="2" t="s">
        <v>46</v>
      </c>
    </row>
    <row r="3331" spans="1:10" x14ac:dyDescent="0.35">
      <c r="A3331" s="1">
        <v>45965</v>
      </c>
      <c r="B3331" s="2" t="s">
        <v>31</v>
      </c>
      <c r="C3331" s="2" t="s">
        <v>16</v>
      </c>
      <c r="D3331" s="2" t="s">
        <v>12</v>
      </c>
      <c r="E3331" s="2" t="s">
        <v>32</v>
      </c>
      <c r="F3331">
        <v>260</v>
      </c>
      <c r="G3331">
        <v>224</v>
      </c>
      <c r="H3331">
        <v>58240</v>
      </c>
      <c r="I3331">
        <v>6651.7673000000004</v>
      </c>
      <c r="J3331" s="2" t="s">
        <v>46</v>
      </c>
    </row>
    <row r="3332" spans="1:10" x14ac:dyDescent="0.35">
      <c r="A3332" s="1">
        <v>45966</v>
      </c>
      <c r="B3332" s="2" t="s">
        <v>36</v>
      </c>
      <c r="C3332" s="2" t="s">
        <v>29</v>
      </c>
      <c r="D3332" s="2" t="s">
        <v>17</v>
      </c>
      <c r="E3332" s="2" t="s">
        <v>33</v>
      </c>
      <c r="F3332">
        <v>849</v>
      </c>
      <c r="G3332">
        <v>251</v>
      </c>
      <c r="H3332">
        <v>213099</v>
      </c>
      <c r="I3332">
        <v>24811.3423</v>
      </c>
      <c r="J3332" s="2" t="s">
        <v>46</v>
      </c>
    </row>
    <row r="3333" spans="1:10" x14ac:dyDescent="0.35">
      <c r="A3333" s="1">
        <v>45966</v>
      </c>
      <c r="B3333" s="2" t="s">
        <v>34</v>
      </c>
      <c r="C3333" s="2" t="s">
        <v>27</v>
      </c>
      <c r="D3333" s="2" t="s">
        <v>21</v>
      </c>
      <c r="E3333" s="2" t="s">
        <v>18</v>
      </c>
      <c r="F3333">
        <v>306</v>
      </c>
      <c r="G3333">
        <v>496</v>
      </c>
      <c r="H3333">
        <v>151776</v>
      </c>
      <c r="I3333">
        <v>30591.274399999998</v>
      </c>
      <c r="J3333" s="2" t="s">
        <v>46</v>
      </c>
    </row>
    <row r="3334" spans="1:10" x14ac:dyDescent="0.35">
      <c r="A3334" s="1">
        <v>45966</v>
      </c>
      <c r="B3334" s="2" t="s">
        <v>25</v>
      </c>
      <c r="C3334" s="2" t="s">
        <v>29</v>
      </c>
      <c r="D3334" s="2" t="s">
        <v>21</v>
      </c>
      <c r="E3334" s="2" t="s">
        <v>13</v>
      </c>
      <c r="F3334">
        <v>483</v>
      </c>
      <c r="G3334">
        <v>198</v>
      </c>
      <c r="H3334">
        <v>95634</v>
      </c>
      <c r="I3334">
        <v>17325.382399999999</v>
      </c>
      <c r="J3334" s="2" t="s">
        <v>46</v>
      </c>
    </row>
    <row r="3335" spans="1:10" x14ac:dyDescent="0.35">
      <c r="A3335" s="1">
        <v>45966</v>
      </c>
      <c r="B3335" s="2" t="s">
        <v>26</v>
      </c>
      <c r="C3335" s="2" t="s">
        <v>11</v>
      </c>
      <c r="D3335" s="2" t="s">
        <v>21</v>
      </c>
      <c r="E3335" s="2" t="s">
        <v>35</v>
      </c>
      <c r="F3335">
        <v>629</v>
      </c>
      <c r="G3335">
        <v>309</v>
      </c>
      <c r="H3335">
        <v>194361</v>
      </c>
      <c r="I3335">
        <v>45396.730600000003</v>
      </c>
      <c r="J3335" s="2" t="s">
        <v>46</v>
      </c>
    </row>
    <row r="3336" spans="1:10" x14ac:dyDescent="0.35">
      <c r="A3336" s="1">
        <v>45967</v>
      </c>
      <c r="B3336" s="2" t="s">
        <v>15</v>
      </c>
      <c r="C3336" s="2" t="s">
        <v>29</v>
      </c>
      <c r="D3336" s="2" t="s">
        <v>17</v>
      </c>
      <c r="E3336" s="2" t="s">
        <v>33</v>
      </c>
      <c r="F3336">
        <v>863</v>
      </c>
      <c r="G3336">
        <v>194</v>
      </c>
      <c r="H3336">
        <v>167422</v>
      </c>
      <c r="I3336">
        <v>38713.057500000003</v>
      </c>
      <c r="J3336" s="2" t="s">
        <v>46</v>
      </c>
    </row>
    <row r="3337" spans="1:10" x14ac:dyDescent="0.35">
      <c r="A3337" s="1">
        <v>45967</v>
      </c>
      <c r="B3337" s="2" t="s">
        <v>34</v>
      </c>
      <c r="C3337" s="2" t="s">
        <v>11</v>
      </c>
      <c r="D3337" s="2" t="s">
        <v>21</v>
      </c>
      <c r="E3337" s="2" t="s">
        <v>22</v>
      </c>
      <c r="F3337">
        <v>378</v>
      </c>
      <c r="G3337">
        <v>260</v>
      </c>
      <c r="H3337">
        <v>98280</v>
      </c>
      <c r="I3337">
        <v>11447.8843</v>
      </c>
      <c r="J3337" s="2" t="s">
        <v>46</v>
      </c>
    </row>
    <row r="3338" spans="1:10" x14ac:dyDescent="0.35">
      <c r="A3338" s="1">
        <v>45967</v>
      </c>
      <c r="B3338" s="2" t="s">
        <v>15</v>
      </c>
      <c r="C3338" s="2" t="s">
        <v>23</v>
      </c>
      <c r="D3338" s="2" t="s">
        <v>30</v>
      </c>
      <c r="E3338" s="2" t="s">
        <v>13</v>
      </c>
      <c r="F3338">
        <v>773</v>
      </c>
      <c r="G3338">
        <v>415</v>
      </c>
      <c r="H3338">
        <v>320795</v>
      </c>
      <c r="I3338">
        <v>35995.636100000003</v>
      </c>
      <c r="J3338" s="2" t="s">
        <v>46</v>
      </c>
    </row>
    <row r="3339" spans="1:10" x14ac:dyDescent="0.35">
      <c r="A3339" s="1">
        <v>45967</v>
      </c>
      <c r="B3339" s="2" t="s">
        <v>25</v>
      </c>
      <c r="C3339" s="2" t="s">
        <v>23</v>
      </c>
      <c r="D3339" s="2" t="s">
        <v>21</v>
      </c>
      <c r="E3339" s="2" t="s">
        <v>22</v>
      </c>
      <c r="F3339">
        <v>780</v>
      </c>
      <c r="G3339">
        <v>303</v>
      </c>
      <c r="H3339">
        <v>236340</v>
      </c>
      <c r="I3339">
        <v>58918.819600000003</v>
      </c>
      <c r="J3339" s="2" t="s">
        <v>46</v>
      </c>
    </row>
    <row r="3340" spans="1:10" x14ac:dyDescent="0.35">
      <c r="A3340" s="1">
        <v>45967</v>
      </c>
      <c r="B3340" s="2" t="s">
        <v>25</v>
      </c>
      <c r="C3340" s="2" t="s">
        <v>16</v>
      </c>
      <c r="D3340" s="2" t="s">
        <v>17</v>
      </c>
      <c r="E3340" s="2" t="s">
        <v>33</v>
      </c>
      <c r="F3340">
        <v>128</v>
      </c>
      <c r="G3340">
        <v>331</v>
      </c>
      <c r="H3340">
        <v>42368</v>
      </c>
      <c r="I3340">
        <v>7917.2536</v>
      </c>
      <c r="J3340" s="2" t="s">
        <v>46</v>
      </c>
    </row>
    <row r="3341" spans="1:10" x14ac:dyDescent="0.35">
      <c r="A3341" s="1">
        <v>45967</v>
      </c>
      <c r="B3341" s="2" t="s">
        <v>10</v>
      </c>
      <c r="C3341" s="2" t="s">
        <v>11</v>
      </c>
      <c r="D3341" s="2" t="s">
        <v>12</v>
      </c>
      <c r="E3341" s="2" t="s">
        <v>22</v>
      </c>
      <c r="F3341">
        <v>673</v>
      </c>
      <c r="G3341">
        <v>382</v>
      </c>
      <c r="H3341">
        <v>257086</v>
      </c>
      <c r="I3341">
        <v>46933.6011</v>
      </c>
      <c r="J3341" s="2" t="s">
        <v>46</v>
      </c>
    </row>
    <row r="3342" spans="1:10" x14ac:dyDescent="0.35">
      <c r="A3342" s="1">
        <v>45968</v>
      </c>
      <c r="B3342" s="2" t="s">
        <v>36</v>
      </c>
      <c r="C3342" s="2" t="s">
        <v>11</v>
      </c>
      <c r="D3342" s="2" t="s">
        <v>17</v>
      </c>
      <c r="E3342" s="2" t="s">
        <v>24</v>
      </c>
      <c r="F3342">
        <v>812</v>
      </c>
      <c r="G3342">
        <v>499</v>
      </c>
      <c r="H3342">
        <v>405188</v>
      </c>
      <c r="I3342">
        <v>77471.934399999998</v>
      </c>
      <c r="J3342" s="2" t="s">
        <v>46</v>
      </c>
    </row>
    <row r="3343" spans="1:10" x14ac:dyDescent="0.35">
      <c r="A3343" s="1">
        <v>45969</v>
      </c>
      <c r="B3343" s="2" t="s">
        <v>36</v>
      </c>
      <c r="C3343" s="2" t="s">
        <v>11</v>
      </c>
      <c r="D3343" s="2" t="s">
        <v>12</v>
      </c>
      <c r="E3343" s="2" t="s">
        <v>28</v>
      </c>
      <c r="F3343">
        <v>504</v>
      </c>
      <c r="G3343">
        <v>249</v>
      </c>
      <c r="H3343">
        <v>125496</v>
      </c>
      <c r="I3343">
        <v>25330.198499999999</v>
      </c>
      <c r="J3343" s="2" t="s">
        <v>46</v>
      </c>
    </row>
    <row r="3344" spans="1:10" x14ac:dyDescent="0.35">
      <c r="A3344" s="1">
        <v>45969</v>
      </c>
      <c r="B3344" s="2" t="s">
        <v>31</v>
      </c>
      <c r="C3344" s="2" t="s">
        <v>20</v>
      </c>
      <c r="D3344" s="2" t="s">
        <v>17</v>
      </c>
      <c r="E3344" s="2" t="s">
        <v>22</v>
      </c>
      <c r="F3344">
        <v>457</v>
      </c>
      <c r="G3344">
        <v>420</v>
      </c>
      <c r="H3344">
        <v>191940</v>
      </c>
      <c r="I3344">
        <v>41170.582399999999</v>
      </c>
      <c r="J3344" s="2" t="s">
        <v>46</v>
      </c>
    </row>
    <row r="3345" spans="1:10" x14ac:dyDescent="0.35">
      <c r="A3345" s="1">
        <v>45969</v>
      </c>
      <c r="B3345" s="2" t="s">
        <v>19</v>
      </c>
      <c r="C3345" s="2" t="s">
        <v>20</v>
      </c>
      <c r="D3345" s="2" t="s">
        <v>12</v>
      </c>
      <c r="E3345" s="2" t="s">
        <v>28</v>
      </c>
      <c r="F3345">
        <v>697</v>
      </c>
      <c r="G3345">
        <v>211</v>
      </c>
      <c r="H3345">
        <v>147067</v>
      </c>
      <c r="I3345">
        <v>22873.7592</v>
      </c>
      <c r="J3345" s="2" t="s">
        <v>46</v>
      </c>
    </row>
    <row r="3346" spans="1:10" x14ac:dyDescent="0.35">
      <c r="A3346" s="1">
        <v>45970</v>
      </c>
      <c r="B3346" s="2" t="s">
        <v>34</v>
      </c>
      <c r="C3346" s="2" t="s">
        <v>20</v>
      </c>
      <c r="D3346" s="2" t="s">
        <v>30</v>
      </c>
      <c r="E3346" s="2" t="s">
        <v>18</v>
      </c>
      <c r="F3346">
        <v>693</v>
      </c>
      <c r="G3346">
        <v>354</v>
      </c>
      <c r="H3346">
        <v>245322</v>
      </c>
      <c r="I3346">
        <v>35487.914799999999</v>
      </c>
      <c r="J3346" s="2" t="s">
        <v>46</v>
      </c>
    </row>
    <row r="3347" spans="1:10" x14ac:dyDescent="0.35">
      <c r="A3347" s="1">
        <v>45970</v>
      </c>
      <c r="B3347" s="2" t="s">
        <v>10</v>
      </c>
      <c r="C3347" s="2" t="s">
        <v>29</v>
      </c>
      <c r="D3347" s="2" t="s">
        <v>30</v>
      </c>
      <c r="E3347" s="2" t="s">
        <v>24</v>
      </c>
      <c r="F3347">
        <v>268</v>
      </c>
      <c r="G3347">
        <v>456</v>
      </c>
      <c r="H3347">
        <v>122208</v>
      </c>
      <c r="I3347">
        <v>20377.429899999999</v>
      </c>
      <c r="J3347" s="2" t="s">
        <v>46</v>
      </c>
    </row>
    <row r="3348" spans="1:10" x14ac:dyDescent="0.35">
      <c r="A3348" s="1">
        <v>45970</v>
      </c>
      <c r="B3348" s="2" t="s">
        <v>34</v>
      </c>
      <c r="C3348" s="2" t="s">
        <v>29</v>
      </c>
      <c r="D3348" s="2" t="s">
        <v>30</v>
      </c>
      <c r="E3348" s="2" t="s">
        <v>28</v>
      </c>
      <c r="F3348">
        <v>295</v>
      </c>
      <c r="G3348">
        <v>272</v>
      </c>
      <c r="H3348">
        <v>80240</v>
      </c>
      <c r="I3348">
        <v>6899.2879999999996</v>
      </c>
      <c r="J3348" s="2" t="s">
        <v>46</v>
      </c>
    </row>
    <row r="3349" spans="1:10" x14ac:dyDescent="0.35">
      <c r="A3349" s="1">
        <v>45970</v>
      </c>
      <c r="B3349" s="2" t="s">
        <v>15</v>
      </c>
      <c r="C3349" s="2" t="s">
        <v>20</v>
      </c>
      <c r="D3349" s="2" t="s">
        <v>17</v>
      </c>
      <c r="E3349" s="2" t="s">
        <v>33</v>
      </c>
      <c r="F3349">
        <v>58</v>
      </c>
      <c r="G3349">
        <v>203</v>
      </c>
      <c r="H3349">
        <v>11774</v>
      </c>
      <c r="I3349">
        <v>1864.0459000000001</v>
      </c>
      <c r="J3349" s="2" t="s">
        <v>46</v>
      </c>
    </row>
    <row r="3350" spans="1:10" x14ac:dyDescent="0.35">
      <c r="A3350" s="1">
        <v>45970</v>
      </c>
      <c r="B3350" s="2" t="s">
        <v>25</v>
      </c>
      <c r="C3350" s="2" t="s">
        <v>16</v>
      </c>
      <c r="D3350" s="2" t="s">
        <v>30</v>
      </c>
      <c r="E3350" s="2" t="s">
        <v>33</v>
      </c>
      <c r="F3350">
        <v>235</v>
      </c>
      <c r="G3350">
        <v>498</v>
      </c>
      <c r="H3350">
        <v>117030</v>
      </c>
      <c r="I3350">
        <v>25750.588299999999</v>
      </c>
      <c r="J3350" s="2" t="s">
        <v>46</v>
      </c>
    </row>
    <row r="3351" spans="1:10" x14ac:dyDescent="0.35">
      <c r="A3351" s="1">
        <v>45970</v>
      </c>
      <c r="B3351" s="2" t="s">
        <v>19</v>
      </c>
      <c r="C3351" s="2" t="s">
        <v>11</v>
      </c>
      <c r="D3351" s="2" t="s">
        <v>30</v>
      </c>
      <c r="E3351" s="2" t="s">
        <v>13</v>
      </c>
      <c r="F3351">
        <v>886</v>
      </c>
      <c r="G3351">
        <v>225</v>
      </c>
      <c r="H3351">
        <v>199350</v>
      </c>
      <c r="I3351">
        <v>19033.769499999999</v>
      </c>
      <c r="J3351" s="2" t="s">
        <v>46</v>
      </c>
    </row>
    <row r="3352" spans="1:10" x14ac:dyDescent="0.35">
      <c r="A3352" s="1">
        <v>45971</v>
      </c>
      <c r="B3352" s="2" t="s">
        <v>15</v>
      </c>
      <c r="C3352" s="2" t="s">
        <v>23</v>
      </c>
      <c r="D3352" s="2" t="s">
        <v>17</v>
      </c>
      <c r="E3352" s="2" t="s">
        <v>32</v>
      </c>
      <c r="F3352">
        <v>630</v>
      </c>
      <c r="G3352">
        <v>102</v>
      </c>
      <c r="H3352">
        <v>64260</v>
      </c>
      <c r="I3352">
        <v>13255.195599999999</v>
      </c>
      <c r="J3352" s="2" t="s">
        <v>46</v>
      </c>
    </row>
    <row r="3353" spans="1:10" x14ac:dyDescent="0.35">
      <c r="A3353" s="1">
        <v>45972</v>
      </c>
      <c r="B3353" s="2" t="s">
        <v>15</v>
      </c>
      <c r="C3353" s="2" t="s">
        <v>27</v>
      </c>
      <c r="D3353" s="2" t="s">
        <v>17</v>
      </c>
      <c r="E3353" s="2" t="s">
        <v>24</v>
      </c>
      <c r="F3353">
        <v>816</v>
      </c>
      <c r="G3353">
        <v>101</v>
      </c>
      <c r="H3353">
        <v>82416</v>
      </c>
      <c r="I3353">
        <v>8070.6913999999997</v>
      </c>
      <c r="J3353" s="2" t="s">
        <v>46</v>
      </c>
    </row>
    <row r="3354" spans="1:10" x14ac:dyDescent="0.35">
      <c r="A3354" s="1">
        <v>45972</v>
      </c>
      <c r="B3354" s="2" t="s">
        <v>31</v>
      </c>
      <c r="C3354" s="2" t="s">
        <v>11</v>
      </c>
      <c r="D3354" s="2" t="s">
        <v>12</v>
      </c>
      <c r="E3354" s="2" t="s">
        <v>35</v>
      </c>
      <c r="F3354">
        <v>297</v>
      </c>
      <c r="G3354">
        <v>422</v>
      </c>
      <c r="H3354">
        <v>125334</v>
      </c>
      <c r="I3354">
        <v>16702.657599999999</v>
      </c>
      <c r="J3354" s="2" t="s">
        <v>46</v>
      </c>
    </row>
    <row r="3355" spans="1:10" x14ac:dyDescent="0.35">
      <c r="A3355" s="1">
        <v>45972</v>
      </c>
      <c r="B3355" s="2" t="s">
        <v>25</v>
      </c>
      <c r="C3355" s="2" t="s">
        <v>29</v>
      </c>
      <c r="D3355" s="2" t="s">
        <v>21</v>
      </c>
      <c r="E3355" s="2" t="s">
        <v>35</v>
      </c>
      <c r="F3355">
        <v>734</v>
      </c>
      <c r="G3355">
        <v>465</v>
      </c>
      <c r="H3355">
        <v>341310</v>
      </c>
      <c r="I3355">
        <v>81528.820600000006</v>
      </c>
      <c r="J3355" s="2" t="s">
        <v>46</v>
      </c>
    </row>
    <row r="3356" spans="1:10" x14ac:dyDescent="0.35">
      <c r="A3356" s="1">
        <v>45972</v>
      </c>
      <c r="B3356" s="2" t="s">
        <v>15</v>
      </c>
      <c r="C3356" s="2" t="s">
        <v>20</v>
      </c>
      <c r="D3356" s="2" t="s">
        <v>17</v>
      </c>
      <c r="E3356" s="2" t="s">
        <v>33</v>
      </c>
      <c r="F3356">
        <v>420</v>
      </c>
      <c r="G3356">
        <v>333</v>
      </c>
      <c r="H3356">
        <v>139860</v>
      </c>
      <c r="I3356">
        <v>15862.89</v>
      </c>
      <c r="J3356" s="2" t="s">
        <v>46</v>
      </c>
    </row>
    <row r="3357" spans="1:10" x14ac:dyDescent="0.35">
      <c r="A3357" s="1">
        <v>45972</v>
      </c>
      <c r="B3357" s="2" t="s">
        <v>34</v>
      </c>
      <c r="C3357" s="2" t="s">
        <v>29</v>
      </c>
      <c r="D3357" s="2" t="s">
        <v>12</v>
      </c>
      <c r="E3357" s="2" t="s">
        <v>18</v>
      </c>
      <c r="F3357">
        <v>983</v>
      </c>
      <c r="G3357">
        <v>360</v>
      </c>
      <c r="H3357">
        <v>353880</v>
      </c>
      <c r="I3357">
        <v>72042.356199999995</v>
      </c>
      <c r="J3357" s="2" t="s">
        <v>46</v>
      </c>
    </row>
    <row r="3358" spans="1:10" x14ac:dyDescent="0.35">
      <c r="A3358" s="1">
        <v>45973</v>
      </c>
      <c r="B3358" s="2" t="s">
        <v>31</v>
      </c>
      <c r="C3358" s="2" t="s">
        <v>27</v>
      </c>
      <c r="D3358" s="2" t="s">
        <v>30</v>
      </c>
      <c r="E3358" s="2" t="s">
        <v>35</v>
      </c>
      <c r="F3358">
        <v>188</v>
      </c>
      <c r="G3358">
        <v>276</v>
      </c>
      <c r="H3358">
        <v>51888</v>
      </c>
      <c r="I3358">
        <v>8641.8642</v>
      </c>
      <c r="J3358" s="2" t="s">
        <v>46</v>
      </c>
    </row>
    <row r="3359" spans="1:10" x14ac:dyDescent="0.35">
      <c r="A3359" s="1">
        <v>45973</v>
      </c>
      <c r="B3359" s="2" t="s">
        <v>25</v>
      </c>
      <c r="C3359" s="2" t="s">
        <v>23</v>
      </c>
      <c r="D3359" s="2" t="s">
        <v>21</v>
      </c>
      <c r="E3359" s="2" t="s">
        <v>33</v>
      </c>
      <c r="F3359">
        <v>293</v>
      </c>
      <c r="G3359">
        <v>241</v>
      </c>
      <c r="H3359">
        <v>70613</v>
      </c>
      <c r="I3359">
        <v>14942.180700000001</v>
      </c>
      <c r="J3359" s="2" t="s">
        <v>46</v>
      </c>
    </row>
    <row r="3360" spans="1:10" x14ac:dyDescent="0.35">
      <c r="A3360" s="1">
        <v>45973</v>
      </c>
      <c r="B3360" s="2" t="s">
        <v>25</v>
      </c>
      <c r="C3360" s="2" t="s">
        <v>11</v>
      </c>
      <c r="D3360" s="2" t="s">
        <v>21</v>
      </c>
      <c r="E3360" s="2" t="s">
        <v>24</v>
      </c>
      <c r="F3360">
        <v>383</v>
      </c>
      <c r="G3360">
        <v>175</v>
      </c>
      <c r="H3360">
        <v>67025</v>
      </c>
      <c r="I3360">
        <v>9248.2615000000005</v>
      </c>
      <c r="J3360" s="2" t="s">
        <v>46</v>
      </c>
    </row>
    <row r="3361" spans="1:10" x14ac:dyDescent="0.35">
      <c r="A3361" s="1">
        <v>45975</v>
      </c>
      <c r="B3361" s="2" t="s">
        <v>10</v>
      </c>
      <c r="C3361" s="2" t="s">
        <v>16</v>
      </c>
      <c r="D3361" s="2" t="s">
        <v>17</v>
      </c>
      <c r="E3361" s="2" t="s">
        <v>13</v>
      </c>
      <c r="F3361">
        <v>402</v>
      </c>
      <c r="G3361">
        <v>359</v>
      </c>
      <c r="H3361">
        <v>144318</v>
      </c>
      <c r="I3361">
        <v>21158.36</v>
      </c>
      <c r="J3361" s="2" t="s">
        <v>46</v>
      </c>
    </row>
    <row r="3362" spans="1:10" x14ac:dyDescent="0.35">
      <c r="A3362" s="1">
        <v>45975</v>
      </c>
      <c r="B3362" s="2" t="s">
        <v>34</v>
      </c>
      <c r="C3362" s="2" t="s">
        <v>23</v>
      </c>
      <c r="D3362" s="2" t="s">
        <v>21</v>
      </c>
      <c r="E3362" s="2" t="s">
        <v>22</v>
      </c>
      <c r="F3362">
        <v>737</v>
      </c>
      <c r="G3362">
        <v>286</v>
      </c>
      <c r="H3362">
        <v>210782</v>
      </c>
      <c r="I3362">
        <v>19613.337899999999</v>
      </c>
      <c r="J3362" s="2" t="s">
        <v>46</v>
      </c>
    </row>
    <row r="3363" spans="1:10" x14ac:dyDescent="0.35">
      <c r="A3363" s="1">
        <v>45975</v>
      </c>
      <c r="B3363" s="2" t="s">
        <v>34</v>
      </c>
      <c r="C3363" s="2" t="s">
        <v>23</v>
      </c>
      <c r="D3363" s="2" t="s">
        <v>17</v>
      </c>
      <c r="E3363" s="2" t="s">
        <v>35</v>
      </c>
      <c r="F3363">
        <v>751</v>
      </c>
      <c r="G3363">
        <v>432</v>
      </c>
      <c r="H3363">
        <v>324432</v>
      </c>
      <c r="I3363">
        <v>47632.001100000001</v>
      </c>
      <c r="J3363" s="2" t="s">
        <v>46</v>
      </c>
    </row>
    <row r="3364" spans="1:10" x14ac:dyDescent="0.35">
      <c r="A3364" s="1">
        <v>45976</v>
      </c>
      <c r="B3364" s="2" t="s">
        <v>19</v>
      </c>
      <c r="C3364" s="2" t="s">
        <v>20</v>
      </c>
      <c r="D3364" s="2" t="s">
        <v>17</v>
      </c>
      <c r="E3364" s="2" t="s">
        <v>32</v>
      </c>
      <c r="F3364">
        <v>977</v>
      </c>
      <c r="G3364">
        <v>143</v>
      </c>
      <c r="H3364">
        <v>139711</v>
      </c>
      <c r="I3364">
        <v>12175.2811</v>
      </c>
      <c r="J3364" s="2" t="s">
        <v>46</v>
      </c>
    </row>
    <row r="3365" spans="1:10" x14ac:dyDescent="0.35">
      <c r="A3365" s="1">
        <v>45976</v>
      </c>
      <c r="B3365" s="2" t="s">
        <v>15</v>
      </c>
      <c r="C3365" s="2" t="s">
        <v>29</v>
      </c>
      <c r="D3365" s="2" t="s">
        <v>21</v>
      </c>
      <c r="E3365" s="2" t="s">
        <v>33</v>
      </c>
      <c r="F3365">
        <v>504</v>
      </c>
      <c r="G3365">
        <v>300</v>
      </c>
      <c r="H3365">
        <v>151200</v>
      </c>
      <c r="I3365">
        <v>27525.8655</v>
      </c>
      <c r="J3365" s="2" t="s">
        <v>46</v>
      </c>
    </row>
    <row r="3366" spans="1:10" x14ac:dyDescent="0.35">
      <c r="A3366" s="1">
        <v>45976</v>
      </c>
      <c r="B3366" s="2" t="s">
        <v>36</v>
      </c>
      <c r="C3366" s="2" t="s">
        <v>29</v>
      </c>
      <c r="D3366" s="2" t="s">
        <v>17</v>
      </c>
      <c r="E3366" s="2" t="s">
        <v>33</v>
      </c>
      <c r="F3366">
        <v>807</v>
      </c>
      <c r="G3366">
        <v>124</v>
      </c>
      <c r="H3366">
        <v>100068</v>
      </c>
      <c r="I3366">
        <v>18147.612499999999</v>
      </c>
      <c r="J3366" s="2" t="s">
        <v>46</v>
      </c>
    </row>
    <row r="3367" spans="1:10" x14ac:dyDescent="0.35">
      <c r="A3367" s="1">
        <v>45976</v>
      </c>
      <c r="B3367" s="2" t="s">
        <v>15</v>
      </c>
      <c r="C3367" s="2" t="s">
        <v>16</v>
      </c>
      <c r="D3367" s="2" t="s">
        <v>30</v>
      </c>
      <c r="E3367" s="2" t="s">
        <v>24</v>
      </c>
      <c r="F3367">
        <v>276</v>
      </c>
      <c r="G3367">
        <v>176</v>
      </c>
      <c r="H3367">
        <v>48576</v>
      </c>
      <c r="I3367">
        <v>4524.5843999999997</v>
      </c>
      <c r="J3367" s="2" t="s">
        <v>46</v>
      </c>
    </row>
    <row r="3368" spans="1:10" x14ac:dyDescent="0.35">
      <c r="A3368" s="1">
        <v>45977</v>
      </c>
      <c r="B3368" s="2" t="s">
        <v>26</v>
      </c>
      <c r="C3368" s="2" t="s">
        <v>16</v>
      </c>
      <c r="D3368" s="2" t="s">
        <v>30</v>
      </c>
      <c r="E3368" s="2" t="s">
        <v>32</v>
      </c>
      <c r="F3368">
        <v>400</v>
      </c>
      <c r="G3368">
        <v>417</v>
      </c>
      <c r="H3368">
        <v>166800</v>
      </c>
      <c r="I3368">
        <v>40300.507299999997</v>
      </c>
      <c r="J3368" s="2" t="s">
        <v>46</v>
      </c>
    </row>
    <row r="3369" spans="1:10" x14ac:dyDescent="0.35">
      <c r="A3369" s="1">
        <v>45977</v>
      </c>
      <c r="B3369" s="2" t="s">
        <v>36</v>
      </c>
      <c r="C3369" s="2" t="s">
        <v>29</v>
      </c>
      <c r="D3369" s="2" t="s">
        <v>12</v>
      </c>
      <c r="E3369" s="2" t="s">
        <v>13</v>
      </c>
      <c r="F3369">
        <v>620</v>
      </c>
      <c r="G3369">
        <v>380</v>
      </c>
      <c r="H3369">
        <v>235600</v>
      </c>
      <c r="I3369">
        <v>32477.2232</v>
      </c>
      <c r="J3369" s="2" t="s">
        <v>46</v>
      </c>
    </row>
    <row r="3370" spans="1:10" x14ac:dyDescent="0.35">
      <c r="A3370" s="1">
        <v>45978</v>
      </c>
      <c r="B3370" s="2" t="s">
        <v>36</v>
      </c>
      <c r="C3370" s="2" t="s">
        <v>27</v>
      </c>
      <c r="D3370" s="2" t="s">
        <v>17</v>
      </c>
      <c r="E3370" s="2" t="s">
        <v>28</v>
      </c>
      <c r="F3370">
        <v>380</v>
      </c>
      <c r="G3370">
        <v>373</v>
      </c>
      <c r="H3370">
        <v>141740</v>
      </c>
      <c r="I3370">
        <v>34625.141799999998</v>
      </c>
      <c r="J3370" s="2" t="s">
        <v>46</v>
      </c>
    </row>
    <row r="3371" spans="1:10" x14ac:dyDescent="0.35">
      <c r="A3371" s="1">
        <v>45978</v>
      </c>
      <c r="B3371" s="2" t="s">
        <v>34</v>
      </c>
      <c r="C3371" s="2" t="s">
        <v>23</v>
      </c>
      <c r="D3371" s="2" t="s">
        <v>30</v>
      </c>
      <c r="E3371" s="2" t="s">
        <v>22</v>
      </c>
      <c r="F3371">
        <v>79</v>
      </c>
      <c r="G3371">
        <v>244</v>
      </c>
      <c r="H3371">
        <v>19276</v>
      </c>
      <c r="I3371">
        <v>3526.8292000000001</v>
      </c>
      <c r="J3371" s="2" t="s">
        <v>46</v>
      </c>
    </row>
    <row r="3372" spans="1:10" x14ac:dyDescent="0.35">
      <c r="A3372" s="1">
        <v>45978</v>
      </c>
      <c r="B3372" s="2" t="s">
        <v>25</v>
      </c>
      <c r="C3372" s="2" t="s">
        <v>29</v>
      </c>
      <c r="D3372" s="2" t="s">
        <v>21</v>
      </c>
      <c r="E3372" s="2" t="s">
        <v>24</v>
      </c>
      <c r="F3372">
        <v>238</v>
      </c>
      <c r="G3372">
        <v>325</v>
      </c>
      <c r="H3372">
        <v>77350</v>
      </c>
      <c r="I3372">
        <v>14753.2102</v>
      </c>
      <c r="J3372" s="2" t="s">
        <v>46</v>
      </c>
    </row>
    <row r="3373" spans="1:10" x14ac:dyDescent="0.35">
      <c r="A3373" s="1">
        <v>45979</v>
      </c>
      <c r="B3373" s="2" t="s">
        <v>25</v>
      </c>
      <c r="C3373" s="2" t="s">
        <v>16</v>
      </c>
      <c r="D3373" s="2" t="s">
        <v>21</v>
      </c>
      <c r="E3373" s="2" t="s">
        <v>18</v>
      </c>
      <c r="F3373">
        <v>52</v>
      </c>
      <c r="G3373">
        <v>185</v>
      </c>
      <c r="H3373">
        <v>9620</v>
      </c>
      <c r="I3373">
        <v>1964.5273</v>
      </c>
      <c r="J3373" s="2" t="s">
        <v>46</v>
      </c>
    </row>
    <row r="3374" spans="1:10" x14ac:dyDescent="0.35">
      <c r="A3374" s="1">
        <v>45979</v>
      </c>
      <c r="B3374" s="2" t="s">
        <v>36</v>
      </c>
      <c r="C3374" s="2" t="s">
        <v>27</v>
      </c>
      <c r="D3374" s="2" t="s">
        <v>30</v>
      </c>
      <c r="E3374" s="2" t="s">
        <v>32</v>
      </c>
      <c r="F3374">
        <v>400</v>
      </c>
      <c r="G3374">
        <v>412</v>
      </c>
      <c r="H3374">
        <v>164800</v>
      </c>
      <c r="I3374">
        <v>41069.691899999998</v>
      </c>
      <c r="J3374" s="2" t="s">
        <v>46</v>
      </c>
    </row>
    <row r="3375" spans="1:10" x14ac:dyDescent="0.35">
      <c r="A3375" s="1">
        <v>45980</v>
      </c>
      <c r="B3375" s="2" t="s">
        <v>34</v>
      </c>
      <c r="C3375" s="2" t="s">
        <v>11</v>
      </c>
      <c r="D3375" s="2" t="s">
        <v>30</v>
      </c>
      <c r="E3375" s="2" t="s">
        <v>32</v>
      </c>
      <c r="F3375">
        <v>509</v>
      </c>
      <c r="G3375">
        <v>424</v>
      </c>
      <c r="H3375">
        <v>215816</v>
      </c>
      <c r="I3375">
        <v>36047.553999999996</v>
      </c>
      <c r="J3375" s="2" t="s">
        <v>46</v>
      </c>
    </row>
    <row r="3376" spans="1:10" x14ac:dyDescent="0.35">
      <c r="A3376" s="1">
        <v>45980</v>
      </c>
      <c r="B3376" s="2" t="s">
        <v>34</v>
      </c>
      <c r="C3376" s="2" t="s">
        <v>23</v>
      </c>
      <c r="D3376" s="2" t="s">
        <v>17</v>
      </c>
      <c r="E3376" s="2" t="s">
        <v>35</v>
      </c>
      <c r="F3376">
        <v>337</v>
      </c>
      <c r="G3376">
        <v>215</v>
      </c>
      <c r="H3376">
        <v>72455</v>
      </c>
      <c r="I3376">
        <v>14716.696599999999</v>
      </c>
      <c r="J3376" s="2" t="s">
        <v>46</v>
      </c>
    </row>
    <row r="3377" spans="1:10" x14ac:dyDescent="0.35">
      <c r="A3377" s="1">
        <v>45980</v>
      </c>
      <c r="B3377" s="2" t="s">
        <v>31</v>
      </c>
      <c r="C3377" s="2" t="s">
        <v>11</v>
      </c>
      <c r="D3377" s="2" t="s">
        <v>21</v>
      </c>
      <c r="E3377" s="2" t="s">
        <v>18</v>
      </c>
      <c r="F3377">
        <v>974</v>
      </c>
      <c r="G3377">
        <v>232</v>
      </c>
      <c r="H3377">
        <v>225968</v>
      </c>
      <c r="I3377">
        <v>37016.411999999997</v>
      </c>
      <c r="J3377" s="2" t="s">
        <v>46</v>
      </c>
    </row>
    <row r="3378" spans="1:10" x14ac:dyDescent="0.35">
      <c r="A3378" s="1">
        <v>45981</v>
      </c>
      <c r="B3378" s="2" t="s">
        <v>31</v>
      </c>
      <c r="C3378" s="2" t="s">
        <v>23</v>
      </c>
      <c r="D3378" s="2" t="s">
        <v>17</v>
      </c>
      <c r="E3378" s="2" t="s">
        <v>32</v>
      </c>
      <c r="F3378">
        <v>803</v>
      </c>
      <c r="G3378">
        <v>180</v>
      </c>
      <c r="H3378">
        <v>144540</v>
      </c>
      <c r="I3378">
        <v>26510.969400000002</v>
      </c>
      <c r="J3378" s="2" t="s">
        <v>46</v>
      </c>
    </row>
    <row r="3379" spans="1:10" x14ac:dyDescent="0.35">
      <c r="A3379" s="1">
        <v>45981</v>
      </c>
      <c r="B3379" s="2" t="s">
        <v>15</v>
      </c>
      <c r="C3379" s="2" t="s">
        <v>11</v>
      </c>
      <c r="D3379" s="2" t="s">
        <v>12</v>
      </c>
      <c r="E3379" s="2" t="s">
        <v>22</v>
      </c>
      <c r="F3379">
        <v>477</v>
      </c>
      <c r="G3379">
        <v>288</v>
      </c>
      <c r="H3379">
        <v>137376</v>
      </c>
      <c r="I3379">
        <v>31064.1646</v>
      </c>
      <c r="J3379" s="2" t="s">
        <v>46</v>
      </c>
    </row>
    <row r="3380" spans="1:10" x14ac:dyDescent="0.35">
      <c r="A3380" s="1">
        <v>45983</v>
      </c>
      <c r="B3380" s="2" t="s">
        <v>15</v>
      </c>
      <c r="C3380" s="2" t="s">
        <v>29</v>
      </c>
      <c r="D3380" s="2" t="s">
        <v>12</v>
      </c>
      <c r="E3380" s="2" t="s">
        <v>24</v>
      </c>
      <c r="F3380">
        <v>810</v>
      </c>
      <c r="G3380">
        <v>399</v>
      </c>
      <c r="H3380">
        <v>323190</v>
      </c>
      <c r="I3380">
        <v>60965.1152</v>
      </c>
      <c r="J3380" s="2" t="s">
        <v>46</v>
      </c>
    </row>
    <row r="3381" spans="1:10" x14ac:dyDescent="0.35">
      <c r="A3381" s="1">
        <v>45983</v>
      </c>
      <c r="B3381" s="2" t="s">
        <v>34</v>
      </c>
      <c r="C3381" s="2" t="s">
        <v>29</v>
      </c>
      <c r="D3381" s="2" t="s">
        <v>21</v>
      </c>
      <c r="E3381" s="2" t="s">
        <v>35</v>
      </c>
      <c r="F3381">
        <v>309</v>
      </c>
      <c r="G3381">
        <v>174</v>
      </c>
      <c r="H3381">
        <v>53766</v>
      </c>
      <c r="I3381">
        <v>10086.9352</v>
      </c>
      <c r="J3381" s="2" t="s">
        <v>46</v>
      </c>
    </row>
    <row r="3382" spans="1:10" x14ac:dyDescent="0.35">
      <c r="A3382" s="1">
        <v>45983</v>
      </c>
      <c r="B3382" s="2" t="s">
        <v>15</v>
      </c>
      <c r="C3382" s="2" t="s">
        <v>27</v>
      </c>
      <c r="D3382" s="2" t="s">
        <v>30</v>
      </c>
      <c r="E3382" s="2" t="s">
        <v>22</v>
      </c>
      <c r="F3382">
        <v>963</v>
      </c>
      <c r="G3382">
        <v>371</v>
      </c>
      <c r="H3382">
        <v>357273</v>
      </c>
      <c r="I3382">
        <v>33260.502200000003</v>
      </c>
      <c r="J3382" s="2" t="s">
        <v>46</v>
      </c>
    </row>
    <row r="3383" spans="1:10" x14ac:dyDescent="0.35">
      <c r="A3383" s="1">
        <v>45983</v>
      </c>
      <c r="B3383" s="2" t="s">
        <v>25</v>
      </c>
      <c r="C3383" s="2" t="s">
        <v>27</v>
      </c>
      <c r="D3383" s="2" t="s">
        <v>21</v>
      </c>
      <c r="E3383" s="2" t="s">
        <v>28</v>
      </c>
      <c r="F3383">
        <v>709</v>
      </c>
      <c r="G3383">
        <v>498</v>
      </c>
      <c r="H3383">
        <v>353082</v>
      </c>
      <c r="I3383">
        <v>36462.568899999998</v>
      </c>
      <c r="J3383" s="2" t="s">
        <v>46</v>
      </c>
    </row>
    <row r="3384" spans="1:10" x14ac:dyDescent="0.35">
      <c r="A3384" s="1">
        <v>45985</v>
      </c>
      <c r="B3384" s="2" t="s">
        <v>26</v>
      </c>
      <c r="C3384" s="2" t="s">
        <v>29</v>
      </c>
      <c r="D3384" s="2" t="s">
        <v>30</v>
      </c>
      <c r="E3384" s="2" t="s">
        <v>28</v>
      </c>
      <c r="F3384">
        <v>371</v>
      </c>
      <c r="G3384">
        <v>354</v>
      </c>
      <c r="H3384">
        <v>131334</v>
      </c>
      <c r="I3384">
        <v>23223.6734</v>
      </c>
      <c r="J3384" s="2" t="s">
        <v>46</v>
      </c>
    </row>
    <row r="3385" spans="1:10" x14ac:dyDescent="0.35">
      <c r="A3385" s="1">
        <v>45985</v>
      </c>
      <c r="B3385" s="2" t="s">
        <v>34</v>
      </c>
      <c r="C3385" s="2" t="s">
        <v>16</v>
      </c>
      <c r="D3385" s="2" t="s">
        <v>21</v>
      </c>
      <c r="E3385" s="2" t="s">
        <v>33</v>
      </c>
      <c r="F3385">
        <v>638</v>
      </c>
      <c r="G3385">
        <v>168</v>
      </c>
      <c r="H3385">
        <v>107184</v>
      </c>
      <c r="I3385">
        <v>18199.8056</v>
      </c>
      <c r="J3385" s="2" t="s">
        <v>46</v>
      </c>
    </row>
    <row r="3386" spans="1:10" x14ac:dyDescent="0.35">
      <c r="A3386" s="1">
        <v>45985</v>
      </c>
      <c r="B3386" s="2" t="s">
        <v>34</v>
      </c>
      <c r="C3386" s="2" t="s">
        <v>20</v>
      </c>
      <c r="D3386" s="2" t="s">
        <v>21</v>
      </c>
      <c r="E3386" s="2" t="s">
        <v>24</v>
      </c>
      <c r="F3386">
        <v>425</v>
      </c>
      <c r="G3386">
        <v>497</v>
      </c>
      <c r="H3386">
        <v>211225</v>
      </c>
      <c r="I3386">
        <v>19221.414499999999</v>
      </c>
      <c r="J3386" s="2" t="s">
        <v>46</v>
      </c>
    </row>
    <row r="3387" spans="1:10" x14ac:dyDescent="0.35">
      <c r="A3387" s="1">
        <v>45985</v>
      </c>
      <c r="B3387" s="2" t="s">
        <v>26</v>
      </c>
      <c r="C3387" s="2" t="s">
        <v>27</v>
      </c>
      <c r="D3387" s="2" t="s">
        <v>21</v>
      </c>
      <c r="E3387" s="2" t="s">
        <v>18</v>
      </c>
      <c r="F3387">
        <v>407</v>
      </c>
      <c r="G3387">
        <v>402</v>
      </c>
      <c r="H3387">
        <v>163614</v>
      </c>
      <c r="I3387">
        <v>29008.805899999999</v>
      </c>
      <c r="J3387" s="2" t="s">
        <v>46</v>
      </c>
    </row>
    <row r="3388" spans="1:10" x14ac:dyDescent="0.35">
      <c r="A3388" s="1">
        <v>45986</v>
      </c>
      <c r="B3388" s="2" t="s">
        <v>15</v>
      </c>
      <c r="C3388" s="2" t="s">
        <v>23</v>
      </c>
      <c r="D3388" s="2" t="s">
        <v>12</v>
      </c>
      <c r="E3388" s="2" t="s">
        <v>35</v>
      </c>
      <c r="F3388">
        <v>606</v>
      </c>
      <c r="G3388">
        <v>147</v>
      </c>
      <c r="H3388">
        <v>89082</v>
      </c>
      <c r="I3388">
        <v>10508.429700000001</v>
      </c>
      <c r="J3388" s="2" t="s">
        <v>46</v>
      </c>
    </row>
    <row r="3389" spans="1:10" x14ac:dyDescent="0.35">
      <c r="A3389" s="1">
        <v>45987</v>
      </c>
      <c r="B3389" s="2" t="s">
        <v>25</v>
      </c>
      <c r="C3389" s="2" t="s">
        <v>16</v>
      </c>
      <c r="D3389" s="2" t="s">
        <v>17</v>
      </c>
      <c r="E3389" s="2" t="s">
        <v>28</v>
      </c>
      <c r="F3389">
        <v>383</v>
      </c>
      <c r="G3389">
        <v>386</v>
      </c>
      <c r="H3389">
        <v>147838</v>
      </c>
      <c r="I3389">
        <v>31555.752400000001</v>
      </c>
      <c r="J3389" s="2" t="s">
        <v>46</v>
      </c>
    </row>
    <row r="3390" spans="1:10" x14ac:dyDescent="0.35">
      <c r="A3390" s="1">
        <v>45987</v>
      </c>
      <c r="B3390" s="2" t="s">
        <v>15</v>
      </c>
      <c r="C3390" s="2" t="s">
        <v>23</v>
      </c>
      <c r="D3390" s="2" t="s">
        <v>17</v>
      </c>
      <c r="E3390" s="2" t="s">
        <v>28</v>
      </c>
      <c r="F3390">
        <v>202</v>
      </c>
      <c r="G3390">
        <v>232</v>
      </c>
      <c r="H3390">
        <v>46864</v>
      </c>
      <c r="I3390">
        <v>4959.3373000000001</v>
      </c>
      <c r="J3390" s="2" t="s">
        <v>46</v>
      </c>
    </row>
    <row r="3391" spans="1:10" x14ac:dyDescent="0.35">
      <c r="A3391" s="1">
        <v>45988</v>
      </c>
      <c r="B3391" s="2" t="s">
        <v>19</v>
      </c>
      <c r="C3391" s="2" t="s">
        <v>23</v>
      </c>
      <c r="D3391" s="2" t="s">
        <v>17</v>
      </c>
      <c r="E3391" s="2" t="s">
        <v>33</v>
      </c>
      <c r="F3391">
        <v>542</v>
      </c>
      <c r="G3391">
        <v>457</v>
      </c>
      <c r="H3391">
        <v>247694</v>
      </c>
      <c r="I3391">
        <v>51431.480900000002</v>
      </c>
      <c r="J3391" s="2" t="s">
        <v>46</v>
      </c>
    </row>
    <row r="3392" spans="1:10" x14ac:dyDescent="0.35">
      <c r="A3392" s="1">
        <v>45988</v>
      </c>
      <c r="B3392" s="2" t="s">
        <v>31</v>
      </c>
      <c r="C3392" s="2" t="s">
        <v>11</v>
      </c>
      <c r="D3392" s="2" t="s">
        <v>12</v>
      </c>
      <c r="E3392" s="2" t="s">
        <v>33</v>
      </c>
      <c r="F3392">
        <v>719</v>
      </c>
      <c r="G3392">
        <v>284</v>
      </c>
      <c r="H3392">
        <v>204196</v>
      </c>
      <c r="I3392">
        <v>30802.5641</v>
      </c>
      <c r="J3392" s="2" t="s">
        <v>46</v>
      </c>
    </row>
    <row r="3393" spans="1:10" x14ac:dyDescent="0.35">
      <c r="A3393" s="1">
        <v>45989</v>
      </c>
      <c r="B3393" s="2" t="s">
        <v>19</v>
      </c>
      <c r="C3393" s="2" t="s">
        <v>29</v>
      </c>
      <c r="D3393" s="2" t="s">
        <v>12</v>
      </c>
      <c r="E3393" s="2" t="s">
        <v>24</v>
      </c>
      <c r="F3393">
        <v>92</v>
      </c>
      <c r="G3393">
        <v>371</v>
      </c>
      <c r="H3393">
        <v>34132</v>
      </c>
      <c r="I3393">
        <v>5424.0272000000004</v>
      </c>
      <c r="J3393" s="2" t="s">
        <v>46</v>
      </c>
    </row>
    <row r="3394" spans="1:10" x14ac:dyDescent="0.35">
      <c r="A3394" s="1">
        <v>45989</v>
      </c>
      <c r="B3394" s="2" t="s">
        <v>19</v>
      </c>
      <c r="C3394" s="2" t="s">
        <v>23</v>
      </c>
      <c r="D3394" s="2" t="s">
        <v>30</v>
      </c>
      <c r="E3394" s="2" t="s">
        <v>22</v>
      </c>
      <c r="F3394">
        <v>303</v>
      </c>
      <c r="G3394">
        <v>490</v>
      </c>
      <c r="H3394">
        <v>148470</v>
      </c>
      <c r="I3394">
        <v>30385.027399999999</v>
      </c>
      <c r="J3394" s="2" t="s">
        <v>46</v>
      </c>
    </row>
    <row r="3395" spans="1:10" x14ac:dyDescent="0.35">
      <c r="A3395" s="1">
        <v>45989</v>
      </c>
      <c r="B3395" s="2" t="s">
        <v>15</v>
      </c>
      <c r="C3395" s="2" t="s">
        <v>27</v>
      </c>
      <c r="D3395" s="2" t="s">
        <v>21</v>
      </c>
      <c r="E3395" s="2" t="s">
        <v>33</v>
      </c>
      <c r="F3395">
        <v>295</v>
      </c>
      <c r="G3395">
        <v>435</v>
      </c>
      <c r="H3395">
        <v>128325</v>
      </c>
      <c r="I3395">
        <v>11962.0363</v>
      </c>
      <c r="J3395" s="2" t="s">
        <v>46</v>
      </c>
    </row>
    <row r="3396" spans="1:10" x14ac:dyDescent="0.35">
      <c r="A3396" s="1">
        <v>45989</v>
      </c>
      <c r="B3396" s="2" t="s">
        <v>26</v>
      </c>
      <c r="C3396" s="2" t="s">
        <v>16</v>
      </c>
      <c r="D3396" s="2" t="s">
        <v>17</v>
      </c>
      <c r="E3396" s="2" t="s">
        <v>28</v>
      </c>
      <c r="F3396">
        <v>914</v>
      </c>
      <c r="G3396">
        <v>252</v>
      </c>
      <c r="H3396">
        <v>230328</v>
      </c>
      <c r="I3396">
        <v>27365.908200000002</v>
      </c>
      <c r="J3396" s="2" t="s">
        <v>46</v>
      </c>
    </row>
    <row r="3397" spans="1:10" x14ac:dyDescent="0.35">
      <c r="A3397" s="1">
        <v>45989</v>
      </c>
      <c r="B3397" s="2" t="s">
        <v>36</v>
      </c>
      <c r="C3397" s="2" t="s">
        <v>16</v>
      </c>
      <c r="D3397" s="2" t="s">
        <v>17</v>
      </c>
      <c r="E3397" s="2" t="s">
        <v>33</v>
      </c>
      <c r="F3397">
        <v>693</v>
      </c>
      <c r="G3397">
        <v>441</v>
      </c>
      <c r="H3397">
        <v>305613</v>
      </c>
      <c r="I3397">
        <v>36568.185700000002</v>
      </c>
      <c r="J3397" s="2" t="s">
        <v>46</v>
      </c>
    </row>
    <row r="3398" spans="1:10" x14ac:dyDescent="0.35">
      <c r="A3398" s="1">
        <v>45989</v>
      </c>
      <c r="B3398" s="2" t="s">
        <v>15</v>
      </c>
      <c r="C3398" s="2" t="s">
        <v>16</v>
      </c>
      <c r="D3398" s="2" t="s">
        <v>12</v>
      </c>
      <c r="E3398" s="2" t="s">
        <v>28</v>
      </c>
      <c r="F3398">
        <v>628</v>
      </c>
      <c r="G3398">
        <v>158</v>
      </c>
      <c r="H3398">
        <v>99224</v>
      </c>
      <c r="I3398">
        <v>20167.393100000001</v>
      </c>
      <c r="J3398" s="2" t="s">
        <v>46</v>
      </c>
    </row>
    <row r="3399" spans="1:10" x14ac:dyDescent="0.35">
      <c r="A3399" s="1">
        <v>45989</v>
      </c>
      <c r="B3399" s="2" t="s">
        <v>10</v>
      </c>
      <c r="C3399" s="2" t="s">
        <v>20</v>
      </c>
      <c r="D3399" s="2" t="s">
        <v>12</v>
      </c>
      <c r="E3399" s="2" t="s">
        <v>24</v>
      </c>
      <c r="F3399">
        <v>514</v>
      </c>
      <c r="G3399">
        <v>359</v>
      </c>
      <c r="H3399">
        <v>184526</v>
      </c>
      <c r="I3399">
        <v>43186.149899999997</v>
      </c>
      <c r="J3399" s="2" t="s">
        <v>46</v>
      </c>
    </row>
    <row r="3400" spans="1:10" x14ac:dyDescent="0.35">
      <c r="A3400" s="1">
        <v>45989</v>
      </c>
      <c r="B3400" s="2" t="s">
        <v>26</v>
      </c>
      <c r="C3400" s="2" t="s">
        <v>29</v>
      </c>
      <c r="D3400" s="2" t="s">
        <v>21</v>
      </c>
      <c r="E3400" s="2" t="s">
        <v>13</v>
      </c>
      <c r="F3400">
        <v>713</v>
      </c>
      <c r="G3400">
        <v>451</v>
      </c>
      <c r="H3400">
        <v>321563</v>
      </c>
      <c r="I3400">
        <v>43250.172700000003</v>
      </c>
      <c r="J3400" s="2" t="s">
        <v>46</v>
      </c>
    </row>
    <row r="3401" spans="1:10" x14ac:dyDescent="0.35">
      <c r="A3401" s="1">
        <v>45989</v>
      </c>
      <c r="B3401" s="2" t="s">
        <v>25</v>
      </c>
      <c r="C3401" s="2" t="s">
        <v>16</v>
      </c>
      <c r="D3401" s="2" t="s">
        <v>21</v>
      </c>
      <c r="E3401" s="2" t="s">
        <v>28</v>
      </c>
      <c r="F3401">
        <v>650</v>
      </c>
      <c r="G3401">
        <v>325</v>
      </c>
      <c r="H3401">
        <v>211250</v>
      </c>
      <c r="I3401">
        <v>41900.599699999999</v>
      </c>
      <c r="J3401" s="2" t="s">
        <v>46</v>
      </c>
    </row>
    <row r="3402" spans="1:10" x14ac:dyDescent="0.35">
      <c r="A3402" s="1">
        <v>45989</v>
      </c>
      <c r="B3402" s="2" t="s">
        <v>15</v>
      </c>
      <c r="C3402" s="2" t="s">
        <v>16</v>
      </c>
      <c r="D3402" s="2" t="s">
        <v>30</v>
      </c>
      <c r="E3402" s="2" t="s">
        <v>28</v>
      </c>
      <c r="F3402">
        <v>955</v>
      </c>
      <c r="G3402">
        <v>419</v>
      </c>
      <c r="H3402">
        <v>400145</v>
      </c>
      <c r="I3402">
        <v>93148.111000000004</v>
      </c>
      <c r="J3402" s="2" t="s">
        <v>46</v>
      </c>
    </row>
    <row r="3403" spans="1:10" x14ac:dyDescent="0.35">
      <c r="A3403" s="1">
        <v>45990</v>
      </c>
      <c r="B3403" s="2" t="s">
        <v>26</v>
      </c>
      <c r="C3403" s="2" t="s">
        <v>29</v>
      </c>
      <c r="D3403" s="2" t="s">
        <v>21</v>
      </c>
      <c r="E3403" s="2" t="s">
        <v>22</v>
      </c>
      <c r="F3403">
        <v>896</v>
      </c>
      <c r="G3403">
        <v>237</v>
      </c>
      <c r="H3403">
        <v>212352</v>
      </c>
      <c r="I3403">
        <v>23183.735499999999</v>
      </c>
      <c r="J3403" s="2" t="s">
        <v>46</v>
      </c>
    </row>
    <row r="3404" spans="1:10" x14ac:dyDescent="0.35">
      <c r="A3404" s="1">
        <v>45990</v>
      </c>
      <c r="B3404" s="2" t="s">
        <v>26</v>
      </c>
      <c r="C3404" s="2" t="s">
        <v>20</v>
      </c>
      <c r="D3404" s="2" t="s">
        <v>30</v>
      </c>
      <c r="E3404" s="2" t="s">
        <v>28</v>
      </c>
      <c r="F3404">
        <v>867</v>
      </c>
      <c r="G3404">
        <v>163</v>
      </c>
      <c r="H3404">
        <v>141321</v>
      </c>
      <c r="I3404">
        <v>25969.359100000001</v>
      </c>
      <c r="J3404" s="2" t="s">
        <v>46</v>
      </c>
    </row>
    <row r="3405" spans="1:10" x14ac:dyDescent="0.35">
      <c r="A3405" s="1">
        <v>45990</v>
      </c>
      <c r="B3405" s="2" t="s">
        <v>31</v>
      </c>
      <c r="C3405" s="2" t="s">
        <v>16</v>
      </c>
      <c r="D3405" s="2" t="s">
        <v>17</v>
      </c>
      <c r="E3405" s="2" t="s">
        <v>35</v>
      </c>
      <c r="F3405">
        <v>476</v>
      </c>
      <c r="G3405">
        <v>275</v>
      </c>
      <c r="H3405">
        <v>130900</v>
      </c>
      <c r="I3405">
        <v>15918.076300000001</v>
      </c>
      <c r="J3405" s="2" t="s">
        <v>46</v>
      </c>
    </row>
    <row r="3406" spans="1:10" x14ac:dyDescent="0.35">
      <c r="A3406" s="1">
        <v>45991</v>
      </c>
      <c r="B3406" s="2" t="s">
        <v>10</v>
      </c>
      <c r="C3406" s="2" t="s">
        <v>23</v>
      </c>
      <c r="D3406" s="2" t="s">
        <v>30</v>
      </c>
      <c r="E3406" s="2" t="s">
        <v>13</v>
      </c>
      <c r="F3406">
        <v>592</v>
      </c>
      <c r="G3406">
        <v>154</v>
      </c>
      <c r="H3406">
        <v>91168</v>
      </c>
      <c r="I3406">
        <v>12117.531999999999</v>
      </c>
      <c r="J3406" s="2" t="s">
        <v>46</v>
      </c>
    </row>
    <row r="3407" spans="1:10" x14ac:dyDescent="0.35">
      <c r="A3407" s="1">
        <v>45991</v>
      </c>
      <c r="B3407" s="2" t="s">
        <v>31</v>
      </c>
      <c r="C3407" s="2" t="s">
        <v>23</v>
      </c>
      <c r="D3407" s="2" t="s">
        <v>30</v>
      </c>
      <c r="E3407" s="2" t="s">
        <v>13</v>
      </c>
      <c r="F3407">
        <v>614</v>
      </c>
      <c r="G3407">
        <v>177</v>
      </c>
      <c r="H3407">
        <v>108678</v>
      </c>
      <c r="I3407">
        <v>17832.312600000001</v>
      </c>
      <c r="J3407" s="2" t="s">
        <v>46</v>
      </c>
    </row>
    <row r="3408" spans="1:10" x14ac:dyDescent="0.35">
      <c r="A3408" s="1">
        <v>45991</v>
      </c>
      <c r="B3408" s="2" t="s">
        <v>31</v>
      </c>
      <c r="C3408" s="2" t="s">
        <v>27</v>
      </c>
      <c r="D3408" s="2" t="s">
        <v>17</v>
      </c>
      <c r="E3408" s="2" t="s">
        <v>32</v>
      </c>
      <c r="F3408">
        <v>567</v>
      </c>
      <c r="G3408">
        <v>275</v>
      </c>
      <c r="H3408">
        <v>155925</v>
      </c>
      <c r="I3408">
        <v>20301.755499999999</v>
      </c>
      <c r="J3408" s="2" t="s">
        <v>46</v>
      </c>
    </row>
    <row r="3409" spans="1:10" x14ac:dyDescent="0.35">
      <c r="A3409" s="1">
        <v>45991</v>
      </c>
      <c r="B3409" s="2" t="s">
        <v>25</v>
      </c>
      <c r="C3409" s="2" t="s">
        <v>20</v>
      </c>
      <c r="D3409" s="2" t="s">
        <v>17</v>
      </c>
      <c r="E3409" s="2" t="s">
        <v>28</v>
      </c>
      <c r="F3409">
        <v>990</v>
      </c>
      <c r="G3409">
        <v>447</v>
      </c>
      <c r="H3409">
        <v>442530</v>
      </c>
      <c r="I3409">
        <v>51883.760300000002</v>
      </c>
      <c r="J3409" s="2" t="s">
        <v>46</v>
      </c>
    </row>
    <row r="3410" spans="1:10" x14ac:dyDescent="0.35">
      <c r="A3410" s="1">
        <v>45991</v>
      </c>
      <c r="B3410" s="2" t="s">
        <v>36</v>
      </c>
      <c r="C3410" s="2" t="s">
        <v>23</v>
      </c>
      <c r="D3410" s="2" t="s">
        <v>30</v>
      </c>
      <c r="E3410" s="2" t="s">
        <v>35</v>
      </c>
      <c r="F3410">
        <v>164</v>
      </c>
      <c r="G3410">
        <v>392</v>
      </c>
      <c r="H3410">
        <v>64288</v>
      </c>
      <c r="I3410">
        <v>8184.8653999999997</v>
      </c>
      <c r="J3410" s="2" t="s">
        <v>46</v>
      </c>
    </row>
    <row r="3411" spans="1:10" x14ac:dyDescent="0.35">
      <c r="A3411" s="1">
        <v>45992</v>
      </c>
      <c r="B3411" s="2" t="s">
        <v>26</v>
      </c>
      <c r="C3411" s="2" t="s">
        <v>11</v>
      </c>
      <c r="D3411" s="2" t="s">
        <v>30</v>
      </c>
      <c r="E3411" s="2" t="s">
        <v>32</v>
      </c>
      <c r="F3411">
        <v>189</v>
      </c>
      <c r="G3411">
        <v>491</v>
      </c>
      <c r="H3411">
        <v>92799</v>
      </c>
      <c r="I3411">
        <v>18401.109</v>
      </c>
      <c r="J3411" s="2" t="s">
        <v>47</v>
      </c>
    </row>
    <row r="3412" spans="1:10" x14ac:dyDescent="0.35">
      <c r="A3412" s="1">
        <v>45992</v>
      </c>
      <c r="B3412" s="2" t="s">
        <v>36</v>
      </c>
      <c r="C3412" s="2" t="s">
        <v>29</v>
      </c>
      <c r="D3412" s="2" t="s">
        <v>30</v>
      </c>
      <c r="E3412" s="2" t="s">
        <v>18</v>
      </c>
      <c r="F3412">
        <v>930</v>
      </c>
      <c r="G3412">
        <v>314</v>
      </c>
      <c r="H3412">
        <v>292020</v>
      </c>
      <c r="I3412">
        <v>28958.262299999999</v>
      </c>
      <c r="J3412" s="2" t="s">
        <v>47</v>
      </c>
    </row>
    <row r="3413" spans="1:10" x14ac:dyDescent="0.35">
      <c r="A3413" s="1">
        <v>45993</v>
      </c>
      <c r="B3413" s="2" t="s">
        <v>36</v>
      </c>
      <c r="C3413" s="2" t="s">
        <v>11</v>
      </c>
      <c r="D3413" s="2" t="s">
        <v>17</v>
      </c>
      <c r="E3413" s="2" t="s">
        <v>33</v>
      </c>
      <c r="F3413">
        <v>388</v>
      </c>
      <c r="G3413">
        <v>475</v>
      </c>
      <c r="H3413">
        <v>184300</v>
      </c>
      <c r="I3413">
        <v>36467.744100000004</v>
      </c>
      <c r="J3413" s="2" t="s">
        <v>47</v>
      </c>
    </row>
    <row r="3414" spans="1:10" x14ac:dyDescent="0.35">
      <c r="A3414" s="1">
        <v>45994</v>
      </c>
      <c r="B3414" s="2" t="s">
        <v>10</v>
      </c>
      <c r="C3414" s="2" t="s">
        <v>20</v>
      </c>
      <c r="D3414" s="2" t="s">
        <v>30</v>
      </c>
      <c r="E3414" s="2" t="s">
        <v>35</v>
      </c>
      <c r="F3414">
        <v>626</v>
      </c>
      <c r="G3414">
        <v>491</v>
      </c>
      <c r="H3414">
        <v>307366</v>
      </c>
      <c r="I3414">
        <v>48431.372199999998</v>
      </c>
      <c r="J3414" s="2" t="s">
        <v>47</v>
      </c>
    </row>
    <row r="3415" spans="1:10" x14ac:dyDescent="0.35">
      <c r="A3415" s="1">
        <v>45994</v>
      </c>
      <c r="B3415" s="2" t="s">
        <v>10</v>
      </c>
      <c r="C3415" s="2" t="s">
        <v>16</v>
      </c>
      <c r="D3415" s="2" t="s">
        <v>21</v>
      </c>
      <c r="E3415" s="2" t="s">
        <v>22</v>
      </c>
      <c r="F3415">
        <v>564</v>
      </c>
      <c r="G3415">
        <v>476</v>
      </c>
      <c r="H3415">
        <v>268464</v>
      </c>
      <c r="I3415">
        <v>21746.2497</v>
      </c>
      <c r="J3415" s="2" t="s">
        <v>47</v>
      </c>
    </row>
    <row r="3416" spans="1:10" x14ac:dyDescent="0.35">
      <c r="A3416" s="1">
        <v>45994</v>
      </c>
      <c r="B3416" s="2" t="s">
        <v>19</v>
      </c>
      <c r="C3416" s="2" t="s">
        <v>29</v>
      </c>
      <c r="D3416" s="2" t="s">
        <v>30</v>
      </c>
      <c r="E3416" s="2" t="s">
        <v>13</v>
      </c>
      <c r="F3416">
        <v>753</v>
      </c>
      <c r="G3416">
        <v>373</v>
      </c>
      <c r="H3416">
        <v>280869</v>
      </c>
      <c r="I3416">
        <v>29578.545999999998</v>
      </c>
      <c r="J3416" s="2" t="s">
        <v>47</v>
      </c>
    </row>
    <row r="3417" spans="1:10" x14ac:dyDescent="0.35">
      <c r="A3417" s="1">
        <v>45994</v>
      </c>
      <c r="B3417" s="2" t="s">
        <v>31</v>
      </c>
      <c r="C3417" s="2" t="s">
        <v>27</v>
      </c>
      <c r="D3417" s="2" t="s">
        <v>17</v>
      </c>
      <c r="E3417" s="2" t="s">
        <v>35</v>
      </c>
      <c r="F3417">
        <v>650</v>
      </c>
      <c r="G3417">
        <v>114</v>
      </c>
      <c r="H3417">
        <v>74100</v>
      </c>
      <c r="I3417">
        <v>18089.642100000001</v>
      </c>
      <c r="J3417" s="2" t="s">
        <v>47</v>
      </c>
    </row>
    <row r="3418" spans="1:10" x14ac:dyDescent="0.35">
      <c r="A3418" s="1">
        <v>45994</v>
      </c>
      <c r="B3418" s="2" t="s">
        <v>36</v>
      </c>
      <c r="C3418" s="2" t="s">
        <v>23</v>
      </c>
      <c r="D3418" s="2" t="s">
        <v>12</v>
      </c>
      <c r="E3418" s="2" t="s">
        <v>28</v>
      </c>
      <c r="F3418">
        <v>649</v>
      </c>
      <c r="G3418">
        <v>154</v>
      </c>
      <c r="H3418">
        <v>99946</v>
      </c>
      <c r="I3418">
        <v>14755.949699999999</v>
      </c>
      <c r="J3418" s="2" t="s">
        <v>47</v>
      </c>
    </row>
    <row r="3419" spans="1:10" x14ac:dyDescent="0.35">
      <c r="A3419" s="1">
        <v>45995</v>
      </c>
      <c r="B3419" s="2" t="s">
        <v>34</v>
      </c>
      <c r="C3419" s="2" t="s">
        <v>20</v>
      </c>
      <c r="D3419" s="2" t="s">
        <v>17</v>
      </c>
      <c r="E3419" s="2" t="s">
        <v>24</v>
      </c>
      <c r="F3419">
        <v>256</v>
      </c>
      <c r="G3419">
        <v>245</v>
      </c>
      <c r="H3419">
        <v>62720</v>
      </c>
      <c r="I3419">
        <v>5447.6783999999998</v>
      </c>
      <c r="J3419" s="2" t="s">
        <v>47</v>
      </c>
    </row>
    <row r="3420" spans="1:10" x14ac:dyDescent="0.35">
      <c r="A3420" s="1">
        <v>45995</v>
      </c>
      <c r="B3420" s="2" t="s">
        <v>36</v>
      </c>
      <c r="C3420" s="2" t="s">
        <v>16</v>
      </c>
      <c r="D3420" s="2" t="s">
        <v>12</v>
      </c>
      <c r="E3420" s="2" t="s">
        <v>35</v>
      </c>
      <c r="F3420">
        <v>530</v>
      </c>
      <c r="G3420">
        <v>378</v>
      </c>
      <c r="H3420">
        <v>200340</v>
      </c>
      <c r="I3420">
        <v>22584.0635</v>
      </c>
      <c r="J3420" s="2" t="s">
        <v>47</v>
      </c>
    </row>
    <row r="3421" spans="1:10" x14ac:dyDescent="0.35">
      <c r="A3421" s="1">
        <v>45996</v>
      </c>
      <c r="B3421" s="2" t="s">
        <v>15</v>
      </c>
      <c r="C3421" s="2" t="s">
        <v>16</v>
      </c>
      <c r="D3421" s="2" t="s">
        <v>17</v>
      </c>
      <c r="E3421" s="2" t="s">
        <v>13</v>
      </c>
      <c r="F3421">
        <v>428</v>
      </c>
      <c r="G3421">
        <v>388</v>
      </c>
      <c r="H3421">
        <v>166064</v>
      </c>
      <c r="I3421">
        <v>16042.178099999999</v>
      </c>
      <c r="J3421" s="2" t="s">
        <v>47</v>
      </c>
    </row>
    <row r="3422" spans="1:10" x14ac:dyDescent="0.35">
      <c r="A3422" s="1">
        <v>45996</v>
      </c>
      <c r="B3422" s="2" t="s">
        <v>36</v>
      </c>
      <c r="C3422" s="2" t="s">
        <v>27</v>
      </c>
      <c r="D3422" s="2" t="s">
        <v>12</v>
      </c>
      <c r="E3422" s="2" t="s">
        <v>35</v>
      </c>
      <c r="F3422">
        <v>111</v>
      </c>
      <c r="G3422">
        <v>498</v>
      </c>
      <c r="H3422">
        <v>55278</v>
      </c>
      <c r="I3422">
        <v>12031.1726</v>
      </c>
      <c r="J3422" s="2" t="s">
        <v>47</v>
      </c>
    </row>
    <row r="3423" spans="1:10" x14ac:dyDescent="0.35">
      <c r="A3423" s="1">
        <v>45996</v>
      </c>
      <c r="B3423" s="2" t="s">
        <v>34</v>
      </c>
      <c r="C3423" s="2" t="s">
        <v>23</v>
      </c>
      <c r="D3423" s="2" t="s">
        <v>12</v>
      </c>
      <c r="E3423" s="2" t="s">
        <v>24</v>
      </c>
      <c r="F3423">
        <v>376</v>
      </c>
      <c r="G3423">
        <v>405</v>
      </c>
      <c r="H3423">
        <v>152280</v>
      </c>
      <c r="I3423">
        <v>34373.188300000002</v>
      </c>
      <c r="J3423" s="2" t="s">
        <v>47</v>
      </c>
    </row>
    <row r="3424" spans="1:10" x14ac:dyDescent="0.35">
      <c r="A3424" s="1">
        <v>45996</v>
      </c>
      <c r="B3424" s="2" t="s">
        <v>31</v>
      </c>
      <c r="C3424" s="2" t="s">
        <v>20</v>
      </c>
      <c r="D3424" s="2" t="s">
        <v>12</v>
      </c>
      <c r="E3424" s="2" t="s">
        <v>18</v>
      </c>
      <c r="F3424">
        <v>823</v>
      </c>
      <c r="G3424">
        <v>240</v>
      </c>
      <c r="H3424">
        <v>197520</v>
      </c>
      <c r="I3424">
        <v>22668.731</v>
      </c>
      <c r="J3424" s="2" t="s">
        <v>47</v>
      </c>
    </row>
    <row r="3425" spans="1:10" x14ac:dyDescent="0.35">
      <c r="A3425" s="1">
        <v>45997</v>
      </c>
      <c r="B3425" s="2" t="s">
        <v>36</v>
      </c>
      <c r="C3425" s="2" t="s">
        <v>29</v>
      </c>
      <c r="D3425" s="2" t="s">
        <v>21</v>
      </c>
      <c r="E3425" s="2" t="s">
        <v>32</v>
      </c>
      <c r="F3425">
        <v>194</v>
      </c>
      <c r="G3425">
        <v>314</v>
      </c>
      <c r="H3425">
        <v>60916</v>
      </c>
      <c r="I3425">
        <v>6603.4480000000003</v>
      </c>
      <c r="J3425" s="2" t="s">
        <v>47</v>
      </c>
    </row>
    <row r="3426" spans="1:10" x14ac:dyDescent="0.35">
      <c r="A3426" s="1">
        <v>45997</v>
      </c>
      <c r="B3426" s="2" t="s">
        <v>25</v>
      </c>
      <c r="C3426" s="2" t="s">
        <v>23</v>
      </c>
      <c r="D3426" s="2" t="s">
        <v>17</v>
      </c>
      <c r="E3426" s="2" t="s">
        <v>33</v>
      </c>
      <c r="F3426">
        <v>680</v>
      </c>
      <c r="G3426">
        <v>152</v>
      </c>
      <c r="H3426">
        <v>103360</v>
      </c>
      <c r="I3426">
        <v>10677.3624</v>
      </c>
      <c r="J3426" s="2" t="s">
        <v>47</v>
      </c>
    </row>
    <row r="3427" spans="1:10" x14ac:dyDescent="0.35">
      <c r="A3427" s="1">
        <v>45997</v>
      </c>
      <c r="B3427" s="2" t="s">
        <v>15</v>
      </c>
      <c r="C3427" s="2" t="s">
        <v>23</v>
      </c>
      <c r="D3427" s="2" t="s">
        <v>21</v>
      </c>
      <c r="E3427" s="2" t="s">
        <v>28</v>
      </c>
      <c r="F3427">
        <v>261</v>
      </c>
      <c r="G3427">
        <v>373</v>
      </c>
      <c r="H3427">
        <v>97353</v>
      </c>
      <c r="I3427">
        <v>12468.2817</v>
      </c>
      <c r="J3427" s="2" t="s">
        <v>47</v>
      </c>
    </row>
    <row r="3428" spans="1:10" x14ac:dyDescent="0.35">
      <c r="A3428" s="1">
        <v>45997</v>
      </c>
      <c r="B3428" s="2" t="s">
        <v>10</v>
      </c>
      <c r="C3428" s="2" t="s">
        <v>23</v>
      </c>
      <c r="D3428" s="2" t="s">
        <v>12</v>
      </c>
      <c r="E3428" s="2" t="s">
        <v>32</v>
      </c>
      <c r="F3428">
        <v>487</v>
      </c>
      <c r="G3428">
        <v>233</v>
      </c>
      <c r="H3428">
        <v>113471</v>
      </c>
      <c r="I3428">
        <v>14867.785</v>
      </c>
      <c r="J3428" s="2" t="s">
        <v>47</v>
      </c>
    </row>
    <row r="3429" spans="1:10" x14ac:dyDescent="0.35">
      <c r="A3429" s="1">
        <v>45997</v>
      </c>
      <c r="B3429" s="2" t="s">
        <v>25</v>
      </c>
      <c r="C3429" s="2" t="s">
        <v>23</v>
      </c>
      <c r="D3429" s="2" t="s">
        <v>12</v>
      </c>
      <c r="E3429" s="2" t="s">
        <v>32</v>
      </c>
      <c r="F3429">
        <v>411</v>
      </c>
      <c r="G3429">
        <v>467</v>
      </c>
      <c r="H3429">
        <v>191937</v>
      </c>
      <c r="I3429">
        <v>19858.810799999999</v>
      </c>
      <c r="J3429" s="2" t="s">
        <v>47</v>
      </c>
    </row>
    <row r="3430" spans="1:10" x14ac:dyDescent="0.35">
      <c r="A3430" s="1">
        <v>45997</v>
      </c>
      <c r="B3430" s="2" t="s">
        <v>31</v>
      </c>
      <c r="C3430" s="2" t="s">
        <v>27</v>
      </c>
      <c r="D3430" s="2" t="s">
        <v>17</v>
      </c>
      <c r="E3430" s="2" t="s">
        <v>28</v>
      </c>
      <c r="F3430">
        <v>751</v>
      </c>
      <c r="G3430">
        <v>299</v>
      </c>
      <c r="H3430">
        <v>224549</v>
      </c>
      <c r="I3430">
        <v>31411.661899999999</v>
      </c>
      <c r="J3430" s="2" t="s">
        <v>47</v>
      </c>
    </row>
    <row r="3431" spans="1:10" x14ac:dyDescent="0.35">
      <c r="A3431" s="1">
        <v>45998</v>
      </c>
      <c r="B3431" s="2" t="s">
        <v>34</v>
      </c>
      <c r="C3431" s="2" t="s">
        <v>20</v>
      </c>
      <c r="D3431" s="2" t="s">
        <v>21</v>
      </c>
      <c r="E3431" s="2" t="s">
        <v>18</v>
      </c>
      <c r="F3431">
        <v>427</v>
      </c>
      <c r="G3431">
        <v>197</v>
      </c>
      <c r="H3431">
        <v>84119</v>
      </c>
      <c r="I3431">
        <v>7345.5878000000002</v>
      </c>
      <c r="J3431" s="2" t="s">
        <v>47</v>
      </c>
    </row>
    <row r="3432" spans="1:10" x14ac:dyDescent="0.35">
      <c r="A3432" s="1">
        <v>45998</v>
      </c>
      <c r="B3432" s="2" t="s">
        <v>36</v>
      </c>
      <c r="C3432" s="2" t="s">
        <v>11</v>
      </c>
      <c r="D3432" s="2" t="s">
        <v>12</v>
      </c>
      <c r="E3432" s="2" t="s">
        <v>24</v>
      </c>
      <c r="F3432">
        <v>226</v>
      </c>
      <c r="G3432">
        <v>271</v>
      </c>
      <c r="H3432">
        <v>61246</v>
      </c>
      <c r="I3432">
        <v>14643.8521</v>
      </c>
      <c r="J3432" s="2" t="s">
        <v>47</v>
      </c>
    </row>
    <row r="3433" spans="1:10" x14ac:dyDescent="0.35">
      <c r="A3433" s="1">
        <v>45999</v>
      </c>
      <c r="B3433" s="2" t="s">
        <v>15</v>
      </c>
      <c r="C3433" s="2" t="s">
        <v>16</v>
      </c>
      <c r="D3433" s="2" t="s">
        <v>12</v>
      </c>
      <c r="E3433" s="2" t="s">
        <v>35</v>
      </c>
      <c r="F3433">
        <v>980</v>
      </c>
      <c r="G3433">
        <v>433</v>
      </c>
      <c r="H3433">
        <v>424340</v>
      </c>
      <c r="I3433">
        <v>77618.385899999994</v>
      </c>
      <c r="J3433" s="2" t="s">
        <v>47</v>
      </c>
    </row>
    <row r="3434" spans="1:10" x14ac:dyDescent="0.35">
      <c r="A3434" s="1">
        <v>45999</v>
      </c>
      <c r="B3434" s="2" t="s">
        <v>10</v>
      </c>
      <c r="C3434" s="2" t="s">
        <v>29</v>
      </c>
      <c r="D3434" s="2" t="s">
        <v>21</v>
      </c>
      <c r="E3434" s="2" t="s">
        <v>33</v>
      </c>
      <c r="F3434">
        <v>464</v>
      </c>
      <c r="G3434">
        <v>276</v>
      </c>
      <c r="H3434">
        <v>128064</v>
      </c>
      <c r="I3434">
        <v>18903.0664</v>
      </c>
      <c r="J3434" s="2" t="s">
        <v>47</v>
      </c>
    </row>
    <row r="3435" spans="1:10" x14ac:dyDescent="0.35">
      <c r="A3435" s="1">
        <v>45999</v>
      </c>
      <c r="B3435" s="2" t="s">
        <v>19</v>
      </c>
      <c r="C3435" s="2" t="s">
        <v>23</v>
      </c>
      <c r="D3435" s="2" t="s">
        <v>21</v>
      </c>
      <c r="E3435" s="2" t="s">
        <v>13</v>
      </c>
      <c r="F3435">
        <v>571</v>
      </c>
      <c r="G3435">
        <v>246</v>
      </c>
      <c r="H3435">
        <v>140466</v>
      </c>
      <c r="I3435">
        <v>33016.748699999996</v>
      </c>
      <c r="J3435" s="2" t="s">
        <v>47</v>
      </c>
    </row>
    <row r="3436" spans="1:10" x14ac:dyDescent="0.35">
      <c r="A3436" s="1">
        <v>45999</v>
      </c>
      <c r="B3436" s="2" t="s">
        <v>26</v>
      </c>
      <c r="C3436" s="2" t="s">
        <v>16</v>
      </c>
      <c r="D3436" s="2" t="s">
        <v>12</v>
      </c>
      <c r="E3436" s="2" t="s">
        <v>35</v>
      </c>
      <c r="F3436">
        <v>505</v>
      </c>
      <c r="G3436">
        <v>317</v>
      </c>
      <c r="H3436">
        <v>160085</v>
      </c>
      <c r="I3436">
        <v>16193.388199999999</v>
      </c>
      <c r="J3436" s="2" t="s">
        <v>47</v>
      </c>
    </row>
    <row r="3437" spans="1:10" x14ac:dyDescent="0.35">
      <c r="A3437" s="1">
        <v>45999</v>
      </c>
      <c r="B3437" s="2" t="s">
        <v>26</v>
      </c>
      <c r="C3437" s="2" t="s">
        <v>11</v>
      </c>
      <c r="D3437" s="2" t="s">
        <v>12</v>
      </c>
      <c r="E3437" s="2" t="s">
        <v>13</v>
      </c>
      <c r="F3437">
        <v>900</v>
      </c>
      <c r="G3437">
        <v>318</v>
      </c>
      <c r="H3437">
        <v>286200</v>
      </c>
      <c r="I3437">
        <v>35660.286899999999</v>
      </c>
      <c r="J3437" s="2" t="s">
        <v>47</v>
      </c>
    </row>
    <row r="3438" spans="1:10" x14ac:dyDescent="0.35">
      <c r="A3438" s="1">
        <v>46001</v>
      </c>
      <c r="B3438" s="2" t="s">
        <v>31</v>
      </c>
      <c r="C3438" s="2" t="s">
        <v>20</v>
      </c>
      <c r="D3438" s="2" t="s">
        <v>21</v>
      </c>
      <c r="E3438" s="2" t="s">
        <v>13</v>
      </c>
      <c r="F3438">
        <v>985</v>
      </c>
      <c r="G3438">
        <v>464</v>
      </c>
      <c r="H3438">
        <v>457040</v>
      </c>
      <c r="I3438">
        <v>74395.570500000002</v>
      </c>
      <c r="J3438" s="2" t="s">
        <v>47</v>
      </c>
    </row>
    <row r="3439" spans="1:10" x14ac:dyDescent="0.35">
      <c r="A3439" s="1">
        <v>46001</v>
      </c>
      <c r="B3439" s="2" t="s">
        <v>10</v>
      </c>
      <c r="C3439" s="2" t="s">
        <v>27</v>
      </c>
      <c r="D3439" s="2" t="s">
        <v>12</v>
      </c>
      <c r="E3439" s="2" t="s">
        <v>13</v>
      </c>
      <c r="F3439">
        <v>614</v>
      </c>
      <c r="G3439">
        <v>408</v>
      </c>
      <c r="H3439">
        <v>250512</v>
      </c>
      <c r="I3439">
        <v>32038.430799999998</v>
      </c>
      <c r="J3439" s="2" t="s">
        <v>47</v>
      </c>
    </row>
    <row r="3440" spans="1:10" x14ac:dyDescent="0.35">
      <c r="A3440" s="1">
        <v>46003</v>
      </c>
      <c r="B3440" s="2" t="s">
        <v>34</v>
      </c>
      <c r="C3440" s="2" t="s">
        <v>16</v>
      </c>
      <c r="D3440" s="2" t="s">
        <v>30</v>
      </c>
      <c r="E3440" s="2" t="s">
        <v>35</v>
      </c>
      <c r="F3440">
        <v>693</v>
      </c>
      <c r="G3440">
        <v>295</v>
      </c>
      <c r="H3440">
        <v>204435</v>
      </c>
      <c r="I3440">
        <v>27630.838</v>
      </c>
      <c r="J3440" s="2" t="s">
        <v>47</v>
      </c>
    </row>
    <row r="3441" spans="1:10" x14ac:dyDescent="0.35">
      <c r="A3441" s="1">
        <v>46003</v>
      </c>
      <c r="B3441" s="2" t="s">
        <v>31</v>
      </c>
      <c r="C3441" s="2" t="s">
        <v>29</v>
      </c>
      <c r="D3441" s="2" t="s">
        <v>21</v>
      </c>
      <c r="E3441" s="2" t="s">
        <v>24</v>
      </c>
      <c r="F3441">
        <v>215</v>
      </c>
      <c r="G3441">
        <v>397</v>
      </c>
      <c r="H3441">
        <v>85355</v>
      </c>
      <c r="I3441">
        <v>13130.808800000001</v>
      </c>
      <c r="J3441" s="2" t="s">
        <v>47</v>
      </c>
    </row>
    <row r="3442" spans="1:10" x14ac:dyDescent="0.35">
      <c r="A3442" s="1">
        <v>46003</v>
      </c>
      <c r="B3442" s="2" t="s">
        <v>34</v>
      </c>
      <c r="C3442" s="2" t="s">
        <v>23</v>
      </c>
      <c r="D3442" s="2" t="s">
        <v>21</v>
      </c>
      <c r="E3442" s="2" t="s">
        <v>32</v>
      </c>
      <c r="F3442">
        <v>505</v>
      </c>
      <c r="G3442">
        <v>373</v>
      </c>
      <c r="H3442">
        <v>188365</v>
      </c>
      <c r="I3442">
        <v>25406.954900000001</v>
      </c>
      <c r="J3442" s="2" t="s">
        <v>47</v>
      </c>
    </row>
    <row r="3443" spans="1:10" x14ac:dyDescent="0.35">
      <c r="A3443" s="1">
        <v>46003</v>
      </c>
      <c r="B3443" s="2" t="s">
        <v>15</v>
      </c>
      <c r="C3443" s="2" t="s">
        <v>16</v>
      </c>
      <c r="D3443" s="2" t="s">
        <v>17</v>
      </c>
      <c r="E3443" s="2" t="s">
        <v>35</v>
      </c>
      <c r="F3443">
        <v>406</v>
      </c>
      <c r="G3443">
        <v>106</v>
      </c>
      <c r="H3443">
        <v>43036</v>
      </c>
      <c r="I3443">
        <v>6459.5666000000001</v>
      </c>
      <c r="J3443" s="2" t="s">
        <v>47</v>
      </c>
    </row>
    <row r="3444" spans="1:10" x14ac:dyDescent="0.35">
      <c r="A3444" s="1">
        <v>46003</v>
      </c>
      <c r="B3444" s="2" t="s">
        <v>36</v>
      </c>
      <c r="C3444" s="2" t="s">
        <v>29</v>
      </c>
      <c r="D3444" s="2" t="s">
        <v>17</v>
      </c>
      <c r="E3444" s="2" t="s">
        <v>22</v>
      </c>
      <c r="F3444">
        <v>380</v>
      </c>
      <c r="G3444">
        <v>219</v>
      </c>
      <c r="H3444">
        <v>83220</v>
      </c>
      <c r="I3444">
        <v>11941.2093</v>
      </c>
      <c r="J3444" s="2" t="s">
        <v>47</v>
      </c>
    </row>
    <row r="3445" spans="1:10" x14ac:dyDescent="0.35">
      <c r="A3445" s="1">
        <v>46003</v>
      </c>
      <c r="B3445" s="2" t="s">
        <v>26</v>
      </c>
      <c r="C3445" s="2" t="s">
        <v>23</v>
      </c>
      <c r="D3445" s="2" t="s">
        <v>12</v>
      </c>
      <c r="E3445" s="2" t="s">
        <v>35</v>
      </c>
      <c r="F3445">
        <v>380</v>
      </c>
      <c r="G3445">
        <v>203</v>
      </c>
      <c r="H3445">
        <v>77140</v>
      </c>
      <c r="I3445">
        <v>10960.5821</v>
      </c>
      <c r="J3445" s="2" t="s">
        <v>47</v>
      </c>
    </row>
    <row r="3446" spans="1:10" x14ac:dyDescent="0.35">
      <c r="A3446" s="1">
        <v>46004</v>
      </c>
      <c r="B3446" s="2" t="s">
        <v>25</v>
      </c>
      <c r="C3446" s="2" t="s">
        <v>16</v>
      </c>
      <c r="D3446" s="2" t="s">
        <v>30</v>
      </c>
      <c r="E3446" s="2" t="s">
        <v>13</v>
      </c>
      <c r="F3446">
        <v>619</v>
      </c>
      <c r="G3446">
        <v>250</v>
      </c>
      <c r="H3446">
        <v>154750</v>
      </c>
      <c r="I3446">
        <v>13685.187099999999</v>
      </c>
      <c r="J3446" s="2" t="s">
        <v>47</v>
      </c>
    </row>
    <row r="3447" spans="1:10" x14ac:dyDescent="0.35">
      <c r="A3447" s="1">
        <v>46004</v>
      </c>
      <c r="B3447" s="2" t="s">
        <v>10</v>
      </c>
      <c r="C3447" s="2" t="s">
        <v>11</v>
      </c>
      <c r="D3447" s="2" t="s">
        <v>12</v>
      </c>
      <c r="E3447" s="2" t="s">
        <v>33</v>
      </c>
      <c r="F3447">
        <v>391</v>
      </c>
      <c r="G3447">
        <v>340</v>
      </c>
      <c r="H3447">
        <v>132940</v>
      </c>
      <c r="I3447">
        <v>24935.692200000001</v>
      </c>
      <c r="J3447" s="2" t="s">
        <v>47</v>
      </c>
    </row>
    <row r="3448" spans="1:10" x14ac:dyDescent="0.35">
      <c r="A3448" s="1">
        <v>46004</v>
      </c>
      <c r="B3448" s="2" t="s">
        <v>15</v>
      </c>
      <c r="C3448" s="2" t="s">
        <v>11</v>
      </c>
      <c r="D3448" s="2" t="s">
        <v>30</v>
      </c>
      <c r="E3448" s="2" t="s">
        <v>33</v>
      </c>
      <c r="F3448">
        <v>839</v>
      </c>
      <c r="G3448">
        <v>165</v>
      </c>
      <c r="H3448">
        <v>138435</v>
      </c>
      <c r="I3448">
        <v>27267.1217</v>
      </c>
      <c r="J3448" s="2" t="s">
        <v>47</v>
      </c>
    </row>
    <row r="3449" spans="1:10" x14ac:dyDescent="0.35">
      <c r="A3449" s="1">
        <v>46005</v>
      </c>
      <c r="B3449" s="2" t="s">
        <v>19</v>
      </c>
      <c r="C3449" s="2" t="s">
        <v>23</v>
      </c>
      <c r="D3449" s="2" t="s">
        <v>12</v>
      </c>
      <c r="E3449" s="2" t="s">
        <v>28</v>
      </c>
      <c r="F3449">
        <v>56</v>
      </c>
      <c r="G3449">
        <v>281</v>
      </c>
      <c r="H3449">
        <v>15736</v>
      </c>
      <c r="I3449">
        <v>3831.7856999999999</v>
      </c>
      <c r="J3449" s="2" t="s">
        <v>47</v>
      </c>
    </row>
    <row r="3450" spans="1:10" x14ac:dyDescent="0.35">
      <c r="A3450" s="1">
        <v>46006</v>
      </c>
      <c r="B3450" s="2" t="s">
        <v>15</v>
      </c>
      <c r="C3450" s="2" t="s">
        <v>16</v>
      </c>
      <c r="D3450" s="2" t="s">
        <v>21</v>
      </c>
      <c r="E3450" s="2" t="s">
        <v>32</v>
      </c>
      <c r="F3450">
        <v>425</v>
      </c>
      <c r="G3450">
        <v>211</v>
      </c>
      <c r="H3450">
        <v>89675</v>
      </c>
      <c r="I3450">
        <v>13709.670899999999</v>
      </c>
      <c r="J3450" s="2" t="s">
        <v>47</v>
      </c>
    </row>
    <row r="3451" spans="1:10" x14ac:dyDescent="0.35">
      <c r="A3451" s="1">
        <v>46006</v>
      </c>
      <c r="B3451" s="2" t="s">
        <v>31</v>
      </c>
      <c r="C3451" s="2" t="s">
        <v>16</v>
      </c>
      <c r="D3451" s="2" t="s">
        <v>17</v>
      </c>
      <c r="E3451" s="2" t="s">
        <v>33</v>
      </c>
      <c r="F3451">
        <v>249</v>
      </c>
      <c r="G3451">
        <v>232</v>
      </c>
      <c r="H3451">
        <v>57768</v>
      </c>
      <c r="I3451">
        <v>8563.0935000000009</v>
      </c>
      <c r="J3451" s="2" t="s">
        <v>47</v>
      </c>
    </row>
    <row r="3452" spans="1:10" x14ac:dyDescent="0.35">
      <c r="A3452" s="1">
        <v>46007</v>
      </c>
      <c r="B3452" s="2" t="s">
        <v>25</v>
      </c>
      <c r="C3452" s="2" t="s">
        <v>23</v>
      </c>
      <c r="D3452" s="2" t="s">
        <v>21</v>
      </c>
      <c r="E3452" s="2" t="s">
        <v>35</v>
      </c>
      <c r="F3452">
        <v>892</v>
      </c>
      <c r="G3452">
        <v>418</v>
      </c>
      <c r="H3452">
        <v>372856</v>
      </c>
      <c r="I3452">
        <v>37285.547299999998</v>
      </c>
      <c r="J3452" s="2" t="s">
        <v>47</v>
      </c>
    </row>
    <row r="3453" spans="1:10" x14ac:dyDescent="0.35">
      <c r="A3453" s="1">
        <v>46007</v>
      </c>
      <c r="B3453" s="2" t="s">
        <v>25</v>
      </c>
      <c r="C3453" s="2" t="s">
        <v>23</v>
      </c>
      <c r="D3453" s="2" t="s">
        <v>21</v>
      </c>
      <c r="E3453" s="2" t="s">
        <v>18</v>
      </c>
      <c r="F3453">
        <v>844</v>
      </c>
      <c r="G3453">
        <v>215</v>
      </c>
      <c r="H3453">
        <v>181460</v>
      </c>
      <c r="I3453">
        <v>45059.182500000003</v>
      </c>
      <c r="J3453" s="2" t="s">
        <v>47</v>
      </c>
    </row>
    <row r="3454" spans="1:10" x14ac:dyDescent="0.35">
      <c r="A3454" s="1">
        <v>46008</v>
      </c>
      <c r="B3454" s="2" t="s">
        <v>31</v>
      </c>
      <c r="C3454" s="2" t="s">
        <v>16</v>
      </c>
      <c r="D3454" s="2" t="s">
        <v>30</v>
      </c>
      <c r="E3454" s="2" t="s">
        <v>35</v>
      </c>
      <c r="F3454">
        <v>458</v>
      </c>
      <c r="G3454">
        <v>466</v>
      </c>
      <c r="H3454">
        <v>213428</v>
      </c>
      <c r="I3454">
        <v>30018.357</v>
      </c>
      <c r="J3454" s="2" t="s">
        <v>47</v>
      </c>
    </row>
    <row r="3455" spans="1:10" x14ac:dyDescent="0.35">
      <c r="A3455" s="1">
        <v>46008</v>
      </c>
      <c r="B3455" s="2" t="s">
        <v>26</v>
      </c>
      <c r="C3455" s="2" t="s">
        <v>11</v>
      </c>
      <c r="D3455" s="2" t="s">
        <v>12</v>
      </c>
      <c r="E3455" s="2" t="s">
        <v>24</v>
      </c>
      <c r="F3455">
        <v>526</v>
      </c>
      <c r="G3455">
        <v>121</v>
      </c>
      <c r="H3455">
        <v>63646</v>
      </c>
      <c r="I3455">
        <v>12004.222299999999</v>
      </c>
      <c r="J3455" s="2" t="s">
        <v>47</v>
      </c>
    </row>
    <row r="3456" spans="1:10" x14ac:dyDescent="0.35">
      <c r="A3456" s="1">
        <v>46008</v>
      </c>
      <c r="B3456" s="2" t="s">
        <v>19</v>
      </c>
      <c r="C3456" s="2" t="s">
        <v>16</v>
      </c>
      <c r="D3456" s="2" t="s">
        <v>21</v>
      </c>
      <c r="E3456" s="2" t="s">
        <v>33</v>
      </c>
      <c r="F3456">
        <v>339</v>
      </c>
      <c r="G3456">
        <v>370</v>
      </c>
      <c r="H3456">
        <v>125430</v>
      </c>
      <c r="I3456">
        <v>23952.4872</v>
      </c>
      <c r="J3456" s="2" t="s">
        <v>47</v>
      </c>
    </row>
    <row r="3457" spans="1:10" x14ac:dyDescent="0.35">
      <c r="A3457" s="1">
        <v>46008</v>
      </c>
      <c r="B3457" s="2" t="s">
        <v>10</v>
      </c>
      <c r="C3457" s="2" t="s">
        <v>20</v>
      </c>
      <c r="D3457" s="2" t="s">
        <v>12</v>
      </c>
      <c r="E3457" s="2" t="s">
        <v>32</v>
      </c>
      <c r="F3457">
        <v>209</v>
      </c>
      <c r="G3457">
        <v>102</v>
      </c>
      <c r="H3457">
        <v>21318</v>
      </c>
      <c r="I3457">
        <v>1777.9744000000001</v>
      </c>
      <c r="J3457" s="2" t="s">
        <v>47</v>
      </c>
    </row>
    <row r="3458" spans="1:10" x14ac:dyDescent="0.35">
      <c r="A3458" s="1">
        <v>46009</v>
      </c>
      <c r="B3458" s="2" t="s">
        <v>31</v>
      </c>
      <c r="C3458" s="2" t="s">
        <v>11</v>
      </c>
      <c r="D3458" s="2" t="s">
        <v>12</v>
      </c>
      <c r="E3458" s="2" t="s">
        <v>24</v>
      </c>
      <c r="F3458">
        <v>554</v>
      </c>
      <c r="G3458">
        <v>256</v>
      </c>
      <c r="H3458">
        <v>141824</v>
      </c>
      <c r="I3458">
        <v>29386.899099999999</v>
      </c>
      <c r="J3458" s="2" t="s">
        <v>47</v>
      </c>
    </row>
    <row r="3459" spans="1:10" x14ac:dyDescent="0.35">
      <c r="A3459" s="1">
        <v>46009</v>
      </c>
      <c r="B3459" s="2" t="s">
        <v>25</v>
      </c>
      <c r="C3459" s="2" t="s">
        <v>16</v>
      </c>
      <c r="D3459" s="2" t="s">
        <v>12</v>
      </c>
      <c r="E3459" s="2" t="s">
        <v>24</v>
      </c>
      <c r="F3459">
        <v>853</v>
      </c>
      <c r="G3459">
        <v>101</v>
      </c>
      <c r="H3459">
        <v>86153</v>
      </c>
      <c r="I3459">
        <v>21294.651099999999</v>
      </c>
      <c r="J3459" s="2" t="s">
        <v>47</v>
      </c>
    </row>
    <row r="3460" spans="1:10" x14ac:dyDescent="0.35">
      <c r="A3460" s="1">
        <v>46009</v>
      </c>
      <c r="B3460" s="2" t="s">
        <v>19</v>
      </c>
      <c r="C3460" s="2" t="s">
        <v>11</v>
      </c>
      <c r="D3460" s="2" t="s">
        <v>21</v>
      </c>
      <c r="E3460" s="2" t="s">
        <v>35</v>
      </c>
      <c r="F3460">
        <v>74</v>
      </c>
      <c r="G3460">
        <v>208</v>
      </c>
      <c r="H3460">
        <v>15392</v>
      </c>
      <c r="I3460">
        <v>2737.8615</v>
      </c>
      <c r="J3460" s="2" t="s">
        <v>47</v>
      </c>
    </row>
    <row r="3461" spans="1:10" x14ac:dyDescent="0.35">
      <c r="A3461" s="1">
        <v>46009</v>
      </c>
      <c r="B3461" s="2" t="s">
        <v>25</v>
      </c>
      <c r="C3461" s="2" t="s">
        <v>27</v>
      </c>
      <c r="D3461" s="2" t="s">
        <v>17</v>
      </c>
      <c r="E3461" s="2" t="s">
        <v>24</v>
      </c>
      <c r="F3461">
        <v>776</v>
      </c>
      <c r="G3461">
        <v>297</v>
      </c>
      <c r="H3461">
        <v>230472</v>
      </c>
      <c r="I3461">
        <v>36327.607199999999</v>
      </c>
      <c r="J3461" s="2" t="s">
        <v>47</v>
      </c>
    </row>
    <row r="3462" spans="1:10" x14ac:dyDescent="0.35">
      <c r="A3462" s="1">
        <v>46009</v>
      </c>
      <c r="B3462" s="2" t="s">
        <v>15</v>
      </c>
      <c r="C3462" s="2" t="s">
        <v>27</v>
      </c>
      <c r="D3462" s="2" t="s">
        <v>21</v>
      </c>
      <c r="E3462" s="2" t="s">
        <v>35</v>
      </c>
      <c r="F3462">
        <v>580</v>
      </c>
      <c r="G3462">
        <v>120</v>
      </c>
      <c r="H3462">
        <v>69600</v>
      </c>
      <c r="I3462">
        <v>6793.7614999999996</v>
      </c>
      <c r="J3462" s="2" t="s">
        <v>47</v>
      </c>
    </row>
    <row r="3463" spans="1:10" x14ac:dyDescent="0.35">
      <c r="A3463" s="1">
        <v>46009</v>
      </c>
      <c r="B3463" s="2" t="s">
        <v>25</v>
      </c>
      <c r="C3463" s="2" t="s">
        <v>20</v>
      </c>
      <c r="D3463" s="2" t="s">
        <v>30</v>
      </c>
      <c r="E3463" s="2" t="s">
        <v>18</v>
      </c>
      <c r="F3463">
        <v>715</v>
      </c>
      <c r="G3463">
        <v>234</v>
      </c>
      <c r="H3463">
        <v>167310</v>
      </c>
      <c r="I3463">
        <v>34203.208299999998</v>
      </c>
      <c r="J3463" s="2" t="s">
        <v>47</v>
      </c>
    </row>
    <row r="3464" spans="1:10" x14ac:dyDescent="0.35">
      <c r="A3464" s="1">
        <v>46009</v>
      </c>
      <c r="B3464" s="2" t="s">
        <v>10</v>
      </c>
      <c r="C3464" s="2" t="s">
        <v>23</v>
      </c>
      <c r="D3464" s="2" t="s">
        <v>30</v>
      </c>
      <c r="E3464" s="2" t="s">
        <v>28</v>
      </c>
      <c r="F3464">
        <v>561</v>
      </c>
      <c r="G3464">
        <v>264</v>
      </c>
      <c r="H3464">
        <v>148104</v>
      </c>
      <c r="I3464">
        <v>36830.612699999998</v>
      </c>
      <c r="J3464" s="2" t="s">
        <v>47</v>
      </c>
    </row>
    <row r="3465" spans="1:10" x14ac:dyDescent="0.35">
      <c r="A3465" s="1">
        <v>46010</v>
      </c>
      <c r="B3465" s="2" t="s">
        <v>15</v>
      </c>
      <c r="C3465" s="2" t="s">
        <v>16</v>
      </c>
      <c r="D3465" s="2" t="s">
        <v>21</v>
      </c>
      <c r="E3465" s="2" t="s">
        <v>22</v>
      </c>
      <c r="F3465">
        <v>205</v>
      </c>
      <c r="G3465">
        <v>339</v>
      </c>
      <c r="H3465">
        <v>69495</v>
      </c>
      <c r="I3465">
        <v>13240.472</v>
      </c>
      <c r="J3465" s="2" t="s">
        <v>47</v>
      </c>
    </row>
    <row r="3466" spans="1:10" x14ac:dyDescent="0.35">
      <c r="A3466" s="1">
        <v>46010</v>
      </c>
      <c r="B3466" s="2" t="s">
        <v>36</v>
      </c>
      <c r="C3466" s="2" t="s">
        <v>23</v>
      </c>
      <c r="D3466" s="2" t="s">
        <v>17</v>
      </c>
      <c r="E3466" s="2" t="s">
        <v>13</v>
      </c>
      <c r="F3466">
        <v>427</v>
      </c>
      <c r="G3466">
        <v>346</v>
      </c>
      <c r="H3466">
        <v>147742</v>
      </c>
      <c r="I3466">
        <v>28083.4365</v>
      </c>
      <c r="J3466" s="2" t="s">
        <v>47</v>
      </c>
    </row>
    <row r="3467" spans="1:10" x14ac:dyDescent="0.35">
      <c r="A3467" s="1">
        <v>46010</v>
      </c>
      <c r="B3467" s="2" t="s">
        <v>36</v>
      </c>
      <c r="C3467" s="2" t="s">
        <v>29</v>
      </c>
      <c r="D3467" s="2" t="s">
        <v>30</v>
      </c>
      <c r="E3467" s="2" t="s">
        <v>35</v>
      </c>
      <c r="F3467">
        <v>557</v>
      </c>
      <c r="G3467">
        <v>141</v>
      </c>
      <c r="H3467">
        <v>78537</v>
      </c>
      <c r="I3467">
        <v>13190.676600000001</v>
      </c>
      <c r="J3467" s="2" t="s">
        <v>47</v>
      </c>
    </row>
    <row r="3468" spans="1:10" x14ac:dyDescent="0.35">
      <c r="A3468" s="1">
        <v>46012</v>
      </c>
      <c r="B3468" s="2" t="s">
        <v>25</v>
      </c>
      <c r="C3468" s="2" t="s">
        <v>23</v>
      </c>
      <c r="D3468" s="2" t="s">
        <v>30</v>
      </c>
      <c r="E3468" s="2" t="s">
        <v>33</v>
      </c>
      <c r="F3468">
        <v>920</v>
      </c>
      <c r="G3468">
        <v>274</v>
      </c>
      <c r="H3468">
        <v>252080</v>
      </c>
      <c r="I3468">
        <v>39415.5844</v>
      </c>
      <c r="J3468" s="2" t="s">
        <v>47</v>
      </c>
    </row>
    <row r="3469" spans="1:10" x14ac:dyDescent="0.35">
      <c r="A3469" s="1">
        <v>46012</v>
      </c>
      <c r="B3469" s="2" t="s">
        <v>36</v>
      </c>
      <c r="C3469" s="2" t="s">
        <v>11</v>
      </c>
      <c r="D3469" s="2" t="s">
        <v>30</v>
      </c>
      <c r="E3469" s="2" t="s">
        <v>18</v>
      </c>
      <c r="F3469">
        <v>451</v>
      </c>
      <c r="G3469">
        <v>428</v>
      </c>
      <c r="H3469">
        <v>193028</v>
      </c>
      <c r="I3469">
        <v>29640.252499999999</v>
      </c>
      <c r="J3469" s="2" t="s">
        <v>47</v>
      </c>
    </row>
    <row r="3470" spans="1:10" x14ac:dyDescent="0.35">
      <c r="A3470" s="1">
        <v>46013</v>
      </c>
      <c r="B3470" s="2" t="s">
        <v>19</v>
      </c>
      <c r="C3470" s="2" t="s">
        <v>16</v>
      </c>
      <c r="D3470" s="2" t="s">
        <v>12</v>
      </c>
      <c r="E3470" s="2" t="s">
        <v>28</v>
      </c>
      <c r="F3470">
        <v>178</v>
      </c>
      <c r="G3470">
        <v>490</v>
      </c>
      <c r="H3470">
        <v>87220</v>
      </c>
      <c r="I3470">
        <v>10630.525</v>
      </c>
      <c r="J3470" s="2" t="s">
        <v>47</v>
      </c>
    </row>
    <row r="3471" spans="1:10" x14ac:dyDescent="0.35">
      <c r="A3471" s="1">
        <v>46013</v>
      </c>
      <c r="B3471" s="2" t="s">
        <v>15</v>
      </c>
      <c r="C3471" s="2" t="s">
        <v>23</v>
      </c>
      <c r="D3471" s="2" t="s">
        <v>17</v>
      </c>
      <c r="E3471" s="2" t="s">
        <v>35</v>
      </c>
      <c r="F3471">
        <v>659</v>
      </c>
      <c r="G3471">
        <v>314</v>
      </c>
      <c r="H3471">
        <v>206926</v>
      </c>
      <c r="I3471">
        <v>19044.764899999998</v>
      </c>
      <c r="J3471" s="2" t="s">
        <v>47</v>
      </c>
    </row>
    <row r="3472" spans="1:10" x14ac:dyDescent="0.35">
      <c r="A3472" s="1">
        <v>46013</v>
      </c>
      <c r="B3472" s="2" t="s">
        <v>26</v>
      </c>
      <c r="C3472" s="2" t="s">
        <v>23</v>
      </c>
      <c r="D3472" s="2" t="s">
        <v>30</v>
      </c>
      <c r="E3472" s="2" t="s">
        <v>28</v>
      </c>
      <c r="F3472">
        <v>807</v>
      </c>
      <c r="G3472">
        <v>367</v>
      </c>
      <c r="H3472">
        <v>296169</v>
      </c>
      <c r="I3472">
        <v>65764.618199999997</v>
      </c>
      <c r="J3472" s="2" t="s">
        <v>47</v>
      </c>
    </row>
    <row r="3473" spans="1:10" x14ac:dyDescent="0.35">
      <c r="A3473" s="1">
        <v>46013</v>
      </c>
      <c r="B3473" s="2" t="s">
        <v>10</v>
      </c>
      <c r="C3473" s="2" t="s">
        <v>20</v>
      </c>
      <c r="D3473" s="2" t="s">
        <v>21</v>
      </c>
      <c r="E3473" s="2" t="s">
        <v>24</v>
      </c>
      <c r="F3473">
        <v>839</v>
      </c>
      <c r="G3473">
        <v>198</v>
      </c>
      <c r="H3473">
        <v>166122</v>
      </c>
      <c r="I3473">
        <v>27131.361700000001</v>
      </c>
      <c r="J3473" s="2" t="s">
        <v>47</v>
      </c>
    </row>
    <row r="3474" spans="1:10" x14ac:dyDescent="0.35">
      <c r="A3474" s="1">
        <v>46013</v>
      </c>
      <c r="B3474" s="2" t="s">
        <v>31</v>
      </c>
      <c r="C3474" s="2" t="s">
        <v>29</v>
      </c>
      <c r="D3474" s="2" t="s">
        <v>12</v>
      </c>
      <c r="E3474" s="2" t="s">
        <v>22</v>
      </c>
      <c r="F3474">
        <v>248</v>
      </c>
      <c r="G3474">
        <v>306</v>
      </c>
      <c r="H3474">
        <v>75888</v>
      </c>
      <c r="I3474">
        <v>13453.529200000001</v>
      </c>
      <c r="J3474" s="2" t="s">
        <v>47</v>
      </c>
    </row>
    <row r="3475" spans="1:10" x14ac:dyDescent="0.35">
      <c r="A3475" s="1">
        <v>46014</v>
      </c>
      <c r="B3475" s="2" t="s">
        <v>15</v>
      </c>
      <c r="C3475" s="2" t="s">
        <v>27</v>
      </c>
      <c r="D3475" s="2" t="s">
        <v>30</v>
      </c>
      <c r="E3475" s="2" t="s">
        <v>28</v>
      </c>
      <c r="F3475">
        <v>753</v>
      </c>
      <c r="G3475">
        <v>242</v>
      </c>
      <c r="H3475">
        <v>182226</v>
      </c>
      <c r="I3475">
        <v>27159.153900000001</v>
      </c>
      <c r="J3475" s="2" t="s">
        <v>47</v>
      </c>
    </row>
    <row r="3476" spans="1:10" x14ac:dyDescent="0.35">
      <c r="A3476" s="1">
        <v>46015</v>
      </c>
      <c r="B3476" s="2" t="s">
        <v>26</v>
      </c>
      <c r="C3476" s="2" t="s">
        <v>20</v>
      </c>
      <c r="D3476" s="2" t="s">
        <v>17</v>
      </c>
      <c r="E3476" s="2" t="s">
        <v>28</v>
      </c>
      <c r="F3476">
        <v>432</v>
      </c>
      <c r="G3476">
        <v>361</v>
      </c>
      <c r="H3476">
        <v>155952</v>
      </c>
      <c r="I3476">
        <v>19740.953399999999</v>
      </c>
      <c r="J3476" s="2" t="s">
        <v>47</v>
      </c>
    </row>
    <row r="3477" spans="1:10" x14ac:dyDescent="0.35">
      <c r="A3477" s="1">
        <v>46015</v>
      </c>
      <c r="B3477" s="2" t="s">
        <v>34</v>
      </c>
      <c r="C3477" s="2" t="s">
        <v>20</v>
      </c>
      <c r="D3477" s="2" t="s">
        <v>21</v>
      </c>
      <c r="E3477" s="2" t="s">
        <v>35</v>
      </c>
      <c r="F3477">
        <v>499</v>
      </c>
      <c r="G3477">
        <v>467</v>
      </c>
      <c r="H3477">
        <v>233033</v>
      </c>
      <c r="I3477">
        <v>34313.866699999999</v>
      </c>
      <c r="J3477" s="2" t="s">
        <v>47</v>
      </c>
    </row>
    <row r="3478" spans="1:10" x14ac:dyDescent="0.35">
      <c r="A3478" s="1">
        <v>46015</v>
      </c>
      <c r="B3478" s="2" t="s">
        <v>26</v>
      </c>
      <c r="C3478" s="2" t="s">
        <v>20</v>
      </c>
      <c r="D3478" s="2" t="s">
        <v>17</v>
      </c>
      <c r="E3478" s="2" t="s">
        <v>28</v>
      </c>
      <c r="F3478">
        <v>135</v>
      </c>
      <c r="G3478">
        <v>201</v>
      </c>
      <c r="H3478">
        <v>27135</v>
      </c>
      <c r="I3478">
        <v>4692.4669999999996</v>
      </c>
      <c r="J3478" s="2" t="s">
        <v>47</v>
      </c>
    </row>
    <row r="3479" spans="1:10" x14ac:dyDescent="0.35">
      <c r="A3479" s="1">
        <v>46015</v>
      </c>
      <c r="B3479" s="2" t="s">
        <v>36</v>
      </c>
      <c r="C3479" s="2" t="s">
        <v>27</v>
      </c>
      <c r="D3479" s="2" t="s">
        <v>12</v>
      </c>
      <c r="E3479" s="2" t="s">
        <v>35</v>
      </c>
      <c r="F3479">
        <v>616</v>
      </c>
      <c r="G3479">
        <v>190</v>
      </c>
      <c r="H3479">
        <v>117040</v>
      </c>
      <c r="I3479">
        <v>17068.415700000001</v>
      </c>
      <c r="J3479" s="2" t="s">
        <v>47</v>
      </c>
    </row>
    <row r="3480" spans="1:10" x14ac:dyDescent="0.35">
      <c r="A3480" s="1">
        <v>46015</v>
      </c>
      <c r="B3480" s="2" t="s">
        <v>34</v>
      </c>
      <c r="C3480" s="2" t="s">
        <v>29</v>
      </c>
      <c r="D3480" s="2" t="s">
        <v>17</v>
      </c>
      <c r="E3480" s="2" t="s">
        <v>32</v>
      </c>
      <c r="F3480">
        <v>655</v>
      </c>
      <c r="G3480">
        <v>279</v>
      </c>
      <c r="H3480">
        <v>182745</v>
      </c>
      <c r="I3480">
        <v>16476.348300000001</v>
      </c>
      <c r="J3480" s="2" t="s">
        <v>47</v>
      </c>
    </row>
    <row r="3481" spans="1:10" x14ac:dyDescent="0.35">
      <c r="A3481" s="1">
        <v>46015</v>
      </c>
      <c r="B3481" s="2" t="s">
        <v>10</v>
      </c>
      <c r="C3481" s="2" t="s">
        <v>16</v>
      </c>
      <c r="D3481" s="2" t="s">
        <v>30</v>
      </c>
      <c r="E3481" s="2" t="s">
        <v>28</v>
      </c>
      <c r="F3481">
        <v>199</v>
      </c>
      <c r="G3481">
        <v>354</v>
      </c>
      <c r="H3481">
        <v>70446</v>
      </c>
      <c r="I3481">
        <v>6430.9780000000001</v>
      </c>
      <c r="J3481" s="2" t="s">
        <v>47</v>
      </c>
    </row>
    <row r="3482" spans="1:10" x14ac:dyDescent="0.35">
      <c r="A3482" s="1">
        <v>46016</v>
      </c>
      <c r="B3482" s="2" t="s">
        <v>26</v>
      </c>
      <c r="C3482" s="2" t="s">
        <v>27</v>
      </c>
      <c r="D3482" s="2" t="s">
        <v>12</v>
      </c>
      <c r="E3482" s="2" t="s">
        <v>24</v>
      </c>
      <c r="F3482">
        <v>400</v>
      </c>
      <c r="G3482">
        <v>498</v>
      </c>
      <c r="H3482">
        <v>199200</v>
      </c>
      <c r="I3482">
        <v>43058.954100000003</v>
      </c>
      <c r="J3482" s="2" t="s">
        <v>47</v>
      </c>
    </row>
    <row r="3483" spans="1:10" x14ac:dyDescent="0.35">
      <c r="A3483" s="1">
        <v>46016</v>
      </c>
      <c r="B3483" s="2" t="s">
        <v>36</v>
      </c>
      <c r="C3483" s="2" t="s">
        <v>20</v>
      </c>
      <c r="D3483" s="2" t="s">
        <v>17</v>
      </c>
      <c r="E3483" s="2" t="s">
        <v>32</v>
      </c>
      <c r="F3483">
        <v>412</v>
      </c>
      <c r="G3483">
        <v>303</v>
      </c>
      <c r="H3483">
        <v>124836</v>
      </c>
      <c r="I3483">
        <v>26336.6482</v>
      </c>
      <c r="J3483" s="2" t="s">
        <v>47</v>
      </c>
    </row>
    <row r="3484" spans="1:10" x14ac:dyDescent="0.35">
      <c r="A3484" s="1">
        <v>46016</v>
      </c>
      <c r="B3484" s="2" t="s">
        <v>26</v>
      </c>
      <c r="C3484" s="2" t="s">
        <v>27</v>
      </c>
      <c r="D3484" s="2" t="s">
        <v>12</v>
      </c>
      <c r="E3484" s="2" t="s">
        <v>24</v>
      </c>
      <c r="F3484">
        <v>112</v>
      </c>
      <c r="G3484">
        <v>446</v>
      </c>
      <c r="H3484">
        <v>49952</v>
      </c>
      <c r="I3484">
        <v>12399.2585</v>
      </c>
      <c r="J3484" s="2" t="s">
        <v>47</v>
      </c>
    </row>
    <row r="3485" spans="1:10" x14ac:dyDescent="0.35">
      <c r="A3485" s="1">
        <v>46016</v>
      </c>
      <c r="B3485" s="2" t="s">
        <v>25</v>
      </c>
      <c r="C3485" s="2" t="s">
        <v>11</v>
      </c>
      <c r="D3485" s="2" t="s">
        <v>30</v>
      </c>
      <c r="E3485" s="2" t="s">
        <v>18</v>
      </c>
      <c r="F3485">
        <v>493</v>
      </c>
      <c r="G3485">
        <v>118</v>
      </c>
      <c r="H3485">
        <v>58174</v>
      </c>
      <c r="I3485">
        <v>8657.1388999999999</v>
      </c>
      <c r="J3485" s="2" t="s">
        <v>47</v>
      </c>
    </row>
    <row r="3486" spans="1:10" x14ac:dyDescent="0.35">
      <c r="A3486" s="1">
        <v>46017</v>
      </c>
      <c r="B3486" s="2" t="s">
        <v>19</v>
      </c>
      <c r="C3486" s="2" t="s">
        <v>29</v>
      </c>
      <c r="D3486" s="2" t="s">
        <v>12</v>
      </c>
      <c r="E3486" s="2" t="s">
        <v>33</v>
      </c>
      <c r="F3486">
        <v>963</v>
      </c>
      <c r="G3486">
        <v>104</v>
      </c>
      <c r="H3486">
        <v>100152</v>
      </c>
      <c r="I3486">
        <v>24676.165400000002</v>
      </c>
      <c r="J3486" s="2" t="s">
        <v>47</v>
      </c>
    </row>
    <row r="3487" spans="1:10" x14ac:dyDescent="0.35">
      <c r="A3487" s="1">
        <v>46018</v>
      </c>
      <c r="B3487" s="2" t="s">
        <v>31</v>
      </c>
      <c r="C3487" s="2" t="s">
        <v>23</v>
      </c>
      <c r="D3487" s="2" t="s">
        <v>12</v>
      </c>
      <c r="E3487" s="2" t="s">
        <v>33</v>
      </c>
      <c r="F3487">
        <v>272</v>
      </c>
      <c r="G3487">
        <v>160</v>
      </c>
      <c r="H3487">
        <v>43520</v>
      </c>
      <c r="I3487">
        <v>8829.5643999999993</v>
      </c>
      <c r="J3487" s="2" t="s">
        <v>47</v>
      </c>
    </row>
    <row r="3488" spans="1:10" x14ac:dyDescent="0.35">
      <c r="A3488" s="1">
        <v>46018</v>
      </c>
      <c r="B3488" s="2" t="s">
        <v>34</v>
      </c>
      <c r="C3488" s="2" t="s">
        <v>27</v>
      </c>
      <c r="D3488" s="2" t="s">
        <v>17</v>
      </c>
      <c r="E3488" s="2" t="s">
        <v>28</v>
      </c>
      <c r="F3488">
        <v>564</v>
      </c>
      <c r="G3488">
        <v>275</v>
      </c>
      <c r="H3488">
        <v>155100</v>
      </c>
      <c r="I3488">
        <v>12846.7328</v>
      </c>
      <c r="J3488" s="2" t="s">
        <v>47</v>
      </c>
    </row>
    <row r="3489" spans="1:10" x14ac:dyDescent="0.35">
      <c r="A3489" s="1">
        <v>46018</v>
      </c>
      <c r="B3489" s="2" t="s">
        <v>10</v>
      </c>
      <c r="C3489" s="2" t="s">
        <v>29</v>
      </c>
      <c r="D3489" s="2" t="s">
        <v>12</v>
      </c>
      <c r="E3489" s="2" t="s">
        <v>35</v>
      </c>
      <c r="F3489">
        <v>437</v>
      </c>
      <c r="G3489">
        <v>289</v>
      </c>
      <c r="H3489">
        <v>126293</v>
      </c>
      <c r="I3489">
        <v>25482.436300000001</v>
      </c>
      <c r="J3489" s="2" t="s">
        <v>47</v>
      </c>
    </row>
    <row r="3490" spans="1:10" x14ac:dyDescent="0.35">
      <c r="A3490" s="1">
        <v>46019</v>
      </c>
      <c r="B3490" s="2" t="s">
        <v>19</v>
      </c>
      <c r="C3490" s="2" t="s">
        <v>23</v>
      </c>
      <c r="D3490" s="2" t="s">
        <v>17</v>
      </c>
      <c r="E3490" s="2" t="s">
        <v>13</v>
      </c>
      <c r="F3490">
        <v>841</v>
      </c>
      <c r="G3490">
        <v>119</v>
      </c>
      <c r="H3490">
        <v>100079</v>
      </c>
      <c r="I3490">
        <v>8383.4354999999996</v>
      </c>
      <c r="J3490" s="2" t="s">
        <v>47</v>
      </c>
    </row>
    <row r="3491" spans="1:10" x14ac:dyDescent="0.35">
      <c r="A3491" s="1">
        <v>46019</v>
      </c>
      <c r="B3491" s="2" t="s">
        <v>34</v>
      </c>
      <c r="C3491" s="2" t="s">
        <v>23</v>
      </c>
      <c r="D3491" s="2" t="s">
        <v>30</v>
      </c>
      <c r="E3491" s="2" t="s">
        <v>28</v>
      </c>
      <c r="F3491">
        <v>515</v>
      </c>
      <c r="G3491">
        <v>302</v>
      </c>
      <c r="H3491">
        <v>155530</v>
      </c>
      <c r="I3491">
        <v>26290.428199999998</v>
      </c>
      <c r="J3491" s="2" t="s">
        <v>47</v>
      </c>
    </row>
    <row r="3492" spans="1:10" x14ac:dyDescent="0.35">
      <c r="A3492" s="1">
        <v>46019</v>
      </c>
      <c r="B3492" s="2" t="s">
        <v>34</v>
      </c>
      <c r="C3492" s="2" t="s">
        <v>29</v>
      </c>
      <c r="D3492" s="2" t="s">
        <v>30</v>
      </c>
      <c r="E3492" s="2" t="s">
        <v>18</v>
      </c>
      <c r="F3492">
        <v>809</v>
      </c>
      <c r="G3492">
        <v>342</v>
      </c>
      <c r="H3492">
        <v>276678</v>
      </c>
      <c r="I3492">
        <v>45540.782700000003</v>
      </c>
      <c r="J3492" s="2" t="s">
        <v>47</v>
      </c>
    </row>
    <row r="3493" spans="1:10" x14ac:dyDescent="0.35">
      <c r="A3493" s="1">
        <v>46019</v>
      </c>
      <c r="B3493" s="2" t="s">
        <v>36</v>
      </c>
      <c r="C3493" s="2" t="s">
        <v>29</v>
      </c>
      <c r="D3493" s="2" t="s">
        <v>30</v>
      </c>
      <c r="E3493" s="2" t="s">
        <v>33</v>
      </c>
      <c r="F3493">
        <v>208</v>
      </c>
      <c r="G3493">
        <v>120</v>
      </c>
      <c r="H3493">
        <v>24960</v>
      </c>
      <c r="I3493">
        <v>3819.9203000000002</v>
      </c>
      <c r="J3493" s="2" t="s">
        <v>47</v>
      </c>
    </row>
    <row r="3494" spans="1:10" x14ac:dyDescent="0.35">
      <c r="A3494" s="1">
        <v>46019</v>
      </c>
      <c r="B3494" s="2" t="s">
        <v>26</v>
      </c>
      <c r="C3494" s="2" t="s">
        <v>23</v>
      </c>
      <c r="D3494" s="2" t="s">
        <v>30</v>
      </c>
      <c r="E3494" s="2" t="s">
        <v>35</v>
      </c>
      <c r="F3494">
        <v>891</v>
      </c>
      <c r="G3494">
        <v>245</v>
      </c>
      <c r="H3494">
        <v>218295</v>
      </c>
      <c r="I3494">
        <v>19949.0065</v>
      </c>
      <c r="J3494" s="2" t="s">
        <v>47</v>
      </c>
    </row>
    <row r="3495" spans="1:10" x14ac:dyDescent="0.35">
      <c r="A3495" s="1">
        <v>46020</v>
      </c>
      <c r="B3495" s="2" t="s">
        <v>19</v>
      </c>
      <c r="C3495" s="2" t="s">
        <v>23</v>
      </c>
      <c r="D3495" s="2" t="s">
        <v>17</v>
      </c>
      <c r="E3495" s="2" t="s">
        <v>18</v>
      </c>
      <c r="F3495">
        <v>481</v>
      </c>
      <c r="G3495">
        <v>370</v>
      </c>
      <c r="H3495">
        <v>177970</v>
      </c>
      <c r="I3495">
        <v>35865.101300000002</v>
      </c>
      <c r="J3495" s="2" t="s">
        <v>47</v>
      </c>
    </row>
    <row r="3496" spans="1:10" x14ac:dyDescent="0.35">
      <c r="A3496" s="1">
        <v>46020</v>
      </c>
      <c r="B3496" s="2" t="s">
        <v>25</v>
      </c>
      <c r="C3496" s="2" t="s">
        <v>20</v>
      </c>
      <c r="D3496" s="2" t="s">
        <v>30</v>
      </c>
      <c r="E3496" s="2" t="s">
        <v>28</v>
      </c>
      <c r="F3496">
        <v>194</v>
      </c>
      <c r="G3496">
        <v>337</v>
      </c>
      <c r="H3496">
        <v>65378</v>
      </c>
      <c r="I3496">
        <v>7528.4639999999999</v>
      </c>
      <c r="J3496" s="2" t="s">
        <v>47</v>
      </c>
    </row>
    <row r="3497" spans="1:10" x14ac:dyDescent="0.35">
      <c r="A3497" s="1">
        <v>46020</v>
      </c>
      <c r="B3497" s="2" t="s">
        <v>36</v>
      </c>
      <c r="C3497" s="2" t="s">
        <v>20</v>
      </c>
      <c r="D3497" s="2" t="s">
        <v>17</v>
      </c>
      <c r="E3497" s="2" t="s">
        <v>32</v>
      </c>
      <c r="F3497">
        <v>294</v>
      </c>
      <c r="G3497">
        <v>376</v>
      </c>
      <c r="H3497">
        <v>110544</v>
      </c>
      <c r="I3497">
        <v>25929.210899999998</v>
      </c>
      <c r="J3497" s="2" t="s">
        <v>47</v>
      </c>
    </row>
    <row r="3498" spans="1:10" x14ac:dyDescent="0.35">
      <c r="A3498" s="1">
        <v>46020</v>
      </c>
      <c r="B3498" s="2" t="s">
        <v>34</v>
      </c>
      <c r="C3498" s="2" t="s">
        <v>11</v>
      </c>
      <c r="D3498" s="2" t="s">
        <v>21</v>
      </c>
      <c r="E3498" s="2" t="s">
        <v>22</v>
      </c>
      <c r="F3498">
        <v>925</v>
      </c>
      <c r="G3498">
        <v>180</v>
      </c>
      <c r="H3498">
        <v>166500</v>
      </c>
      <c r="I3498">
        <v>14967.287899999999</v>
      </c>
      <c r="J3498" s="2" t="s">
        <v>47</v>
      </c>
    </row>
    <row r="3499" spans="1:10" x14ac:dyDescent="0.35">
      <c r="A3499" s="1">
        <v>46022</v>
      </c>
      <c r="B3499" s="2" t="s">
        <v>10</v>
      </c>
      <c r="C3499" s="2" t="s">
        <v>16</v>
      </c>
      <c r="D3499" s="2" t="s">
        <v>12</v>
      </c>
      <c r="E3499" s="2" t="s">
        <v>18</v>
      </c>
      <c r="F3499">
        <v>532</v>
      </c>
      <c r="G3499">
        <v>330</v>
      </c>
      <c r="H3499">
        <v>175560</v>
      </c>
      <c r="I3499">
        <v>34895.044699999999</v>
      </c>
      <c r="J3499" s="2" t="s">
        <v>47</v>
      </c>
    </row>
    <row r="3500" spans="1:10" x14ac:dyDescent="0.35">
      <c r="A3500" s="1">
        <v>46022</v>
      </c>
      <c r="B3500" s="2" t="s">
        <v>19</v>
      </c>
      <c r="C3500" s="2" t="s">
        <v>20</v>
      </c>
      <c r="D3500" s="2" t="s">
        <v>17</v>
      </c>
      <c r="E3500" s="2" t="s">
        <v>32</v>
      </c>
      <c r="F3500">
        <v>907</v>
      </c>
      <c r="G3500">
        <v>330</v>
      </c>
      <c r="H3500">
        <v>299310</v>
      </c>
      <c r="I3500">
        <v>61313.313600000001</v>
      </c>
      <c r="J3500" s="2" t="s">
        <v>47</v>
      </c>
    </row>
    <row r="3501" spans="1:10" x14ac:dyDescent="0.35">
      <c r="A3501" s="1">
        <v>46022</v>
      </c>
      <c r="B3501" s="2" t="s">
        <v>31</v>
      </c>
      <c r="C3501" s="2" t="s">
        <v>27</v>
      </c>
      <c r="D3501" s="2" t="s">
        <v>17</v>
      </c>
      <c r="E3501" s="2" t="s">
        <v>33</v>
      </c>
      <c r="F3501">
        <v>571</v>
      </c>
      <c r="G3501">
        <v>286</v>
      </c>
      <c r="H3501">
        <v>163306</v>
      </c>
      <c r="I3501">
        <v>25329.643</v>
      </c>
      <c r="J3501" s="2" t="s">
        <v>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750B6-E3AF-43D7-86C3-8AD470D87141}">
  <dimension ref="A1"/>
  <sheetViews>
    <sheetView showGridLines="0" tabSelected="1" zoomScale="58" zoomScaleNormal="58" workbookViewId="0">
      <selection activeCell="U20" sqref="U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66686D1D-F36D-41EF-A083-27ED14FFF7B2}">
  <ds:schemaRefs/>
</ds:datastoreItem>
</file>

<file path=customXml/itemProps2.xml><?xml version="1.0" encoding="utf-8"?>
<ds:datastoreItem xmlns:ds="http://schemas.openxmlformats.org/officeDocument/2006/customXml" ds:itemID="{43686FAA-D196-4A1D-B7CA-E38388821AE2}">
  <ds:schemaRefs/>
</ds:datastoreItem>
</file>

<file path=customXml/itemProps3.xml><?xml version="1.0" encoding="utf-8"?>
<ds:datastoreItem xmlns:ds="http://schemas.openxmlformats.org/officeDocument/2006/customXml" ds:itemID="{EE257146-6561-4B1E-AD8D-DE3873420D30}">
  <ds:schemaRefs/>
</ds:datastoreItem>
</file>

<file path=customXml/itemProps4.xml><?xml version="1.0" encoding="utf-8"?>
<ds:datastoreItem xmlns:ds="http://schemas.openxmlformats.org/officeDocument/2006/customXml" ds:itemID="{4C8D15BA-53C0-455B-B0B4-6A1A96430D8E}">
  <ds:schemaRefs/>
</ds:datastoreItem>
</file>

<file path=customXml/itemProps5.xml><?xml version="1.0" encoding="utf-8"?>
<ds:datastoreItem xmlns:ds="http://schemas.openxmlformats.org/officeDocument/2006/customXml" ds:itemID="{5A558206-49F4-4412-928C-4CCE3228FB09}">
  <ds:schemaRefs/>
</ds:datastoreItem>
</file>

<file path=customXml/itemProps6.xml><?xml version="1.0" encoding="utf-8"?>
<ds:datastoreItem xmlns:ds="http://schemas.openxmlformats.org/officeDocument/2006/customXml" ds:itemID="{0B1F0C46-FE66-401F-A407-7C1D3F6AC1EA}">
  <ds:schemaRefs/>
</ds:datastoreItem>
</file>

<file path=customXml/itemProps7.xml><?xml version="1.0" encoding="utf-8"?>
<ds:datastoreItem xmlns:ds="http://schemas.openxmlformats.org/officeDocument/2006/customXml" ds:itemID="{299F4543-04C9-4A6B-9B76-CD612DCC0AB4}">
  <ds:schemaRefs>
    <ds:schemaRef ds:uri="http://schemas.microsoft.com/DataMashup"/>
  </ds:schemaRefs>
</ds:datastoreItem>
</file>

<file path=customXml/itemProps8.xml><?xml version="1.0" encoding="utf-8"?>
<ds:datastoreItem xmlns:ds="http://schemas.openxmlformats.org/officeDocument/2006/customXml" ds:itemID="{B4D90F9F-C74A-4920-9F70-04FD9C1008C4}">
  <ds:schemaRefs/>
</ds:datastoreItem>
</file>

<file path=customXml/itemProps9.xml><?xml version="1.0" encoding="utf-8"?>
<ds:datastoreItem xmlns:ds="http://schemas.openxmlformats.org/officeDocument/2006/customXml" ds:itemID="{A66E9C0C-42E5-4905-A109-B9671370C293}">
  <ds:schemaRefs/>
</ds:datastoreItem>
</file>

<file path=customXml/itemProps10.xml><?xml version="1.0" encoding="utf-8"?>
<ds:datastoreItem xmlns:ds="http://schemas.openxmlformats.org/officeDocument/2006/customXml" ds:itemID="{6C4EB1BB-0FE4-4E2B-BCCF-79DCDC8DCA32}">
  <ds:schemaRefs/>
</ds:datastoreItem>
</file>

<file path=customXml/itemProps11.xml><?xml version="1.0" encoding="utf-8"?>
<ds:datastoreItem xmlns:ds="http://schemas.openxmlformats.org/officeDocument/2006/customXml" ds:itemID="{800C5193-BA65-46F9-97A9-27074D58A68F}">
  <ds:schemaRefs/>
</ds:datastoreItem>
</file>

<file path=customXml/itemProps12.xml><?xml version="1.0" encoding="utf-8"?>
<ds:datastoreItem xmlns:ds="http://schemas.openxmlformats.org/officeDocument/2006/customXml" ds:itemID="{021CCAAE-6F85-4A48-A34F-6AD29AD6ECC9}">
  <ds:schemaRefs/>
</ds:datastoreItem>
</file>

<file path=customXml/itemProps13.xml><?xml version="1.0" encoding="utf-8"?>
<ds:datastoreItem xmlns:ds="http://schemas.openxmlformats.org/officeDocument/2006/customXml" ds:itemID="{B4375CD4-7912-4DE6-B47E-0F3361280AF9}">
  <ds:schemaRefs/>
</ds:datastoreItem>
</file>

<file path=customXml/itemProps14.xml><?xml version="1.0" encoding="utf-8"?>
<ds:datastoreItem xmlns:ds="http://schemas.openxmlformats.org/officeDocument/2006/customXml" ds:itemID="{F7D873D6-A0D1-468D-90FD-B3D7A8A93BAF}">
  <ds:schemaRefs/>
</ds:datastoreItem>
</file>

<file path=customXml/itemProps15.xml><?xml version="1.0" encoding="utf-8"?>
<ds:datastoreItem xmlns:ds="http://schemas.openxmlformats.org/officeDocument/2006/customXml" ds:itemID="{C9FDFE2B-5759-4E08-921D-2A2234DBB765}">
  <ds:schemaRefs/>
</ds:datastoreItem>
</file>

<file path=customXml/itemProps16.xml><?xml version="1.0" encoding="utf-8"?>
<ds:datastoreItem xmlns:ds="http://schemas.openxmlformats.org/officeDocument/2006/customXml" ds:itemID="{CDB4B798-32B2-48E5-993F-4503C830E6BE}">
  <ds:schemaRefs/>
</ds:datastoreItem>
</file>

<file path=customXml/itemProps17.xml><?xml version="1.0" encoding="utf-8"?>
<ds:datastoreItem xmlns:ds="http://schemas.openxmlformats.org/officeDocument/2006/customXml" ds:itemID="{E6727030-ECDC-4C96-B87A-143FD0CBA411}">
  <ds:schemaRefs/>
</ds:datastoreItem>
</file>

<file path=customXml/itemProps18.xml><?xml version="1.0" encoding="utf-8"?>
<ds:datastoreItem xmlns:ds="http://schemas.openxmlformats.org/officeDocument/2006/customXml" ds:itemID="{C92C23D0-9C7C-47DC-B78F-FDBF6988ED41}">
  <ds:schemaRefs/>
</ds:datastoreItem>
</file>

<file path=customXml/itemProps19.xml><?xml version="1.0" encoding="utf-8"?>
<ds:datastoreItem xmlns:ds="http://schemas.openxmlformats.org/officeDocument/2006/customXml" ds:itemID="{DC2E4C72-A4F2-4584-902A-84972B994E14}">
  <ds:schemaRefs/>
</ds:datastoreItem>
</file>

<file path=customXml/itemProps20.xml><?xml version="1.0" encoding="utf-8"?>
<ds:datastoreItem xmlns:ds="http://schemas.openxmlformats.org/officeDocument/2006/customXml" ds:itemID="{FF394483-83B5-4703-8729-FCF6FDE8CDB7}">
  <ds:schemaRefs/>
</ds:datastoreItem>
</file>

<file path=customXml/itemProps21.xml><?xml version="1.0" encoding="utf-8"?>
<ds:datastoreItem xmlns:ds="http://schemas.openxmlformats.org/officeDocument/2006/customXml" ds:itemID="{28532022-F92F-46D4-8575-A5083EF99EAE}">
  <ds:schemaRefs/>
</ds:datastoreItem>
</file>

<file path=customXml/itemProps22.xml><?xml version="1.0" encoding="utf-8"?>
<ds:datastoreItem xmlns:ds="http://schemas.openxmlformats.org/officeDocument/2006/customXml" ds:itemID="{5974381C-4C1A-40A0-9E11-34A3163436E0}">
  <ds:schemaRefs/>
</ds:datastoreItem>
</file>

<file path=customXml/itemProps23.xml><?xml version="1.0" encoding="utf-8"?>
<ds:datastoreItem xmlns:ds="http://schemas.openxmlformats.org/officeDocument/2006/customXml" ds:itemID="{B574E84B-BF5A-4914-87CC-A5725234B5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vt:i4>
      </vt:variant>
    </vt:vector>
  </HeadingPairs>
  <TitlesOfParts>
    <vt:vector size="13" baseType="lpstr">
      <vt:lpstr>Analysis</vt:lpstr>
      <vt:lpstr>Coke</vt:lpstr>
      <vt:lpstr>Dashbaord </vt:lpstr>
      <vt:lpstr>avg</vt:lpstr>
      <vt:lpstr>mar</vt:lpstr>
      <vt:lpstr>pro</vt:lpstr>
      <vt:lpstr>rev</vt:lpstr>
      <vt:lpstr>uni</vt:lpstr>
      <vt:lpstr>yoyap</vt:lpstr>
      <vt:lpstr>yoym</vt:lpstr>
      <vt:lpstr>yoyp</vt:lpstr>
      <vt:lpstr>yoyr</vt:lpstr>
      <vt:lpstr>yoyus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Fatolu Peter</dc:creator>
  <cp:lastModifiedBy>Mfon Joseph</cp:lastModifiedBy>
  <dcterms:created xsi:type="dcterms:W3CDTF">2026-05-27T14:41:19Z</dcterms:created>
  <dcterms:modified xsi:type="dcterms:W3CDTF">2026-05-30T11:38:12Z</dcterms:modified>
</cp:coreProperties>
</file>